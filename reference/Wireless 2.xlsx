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xr:revisionPtr revIDLastSave="6" documentId="11_A2690D99B1F395136510D897E53A89034210A838" xr6:coauthVersionLast="47" xr6:coauthVersionMax="47" xr10:uidLastSave="{63B2AD9C-0CDC-4647-A7E6-61A1C1084C7D}"/>
  <bookViews>
    <workbookView xWindow="0" yWindow="0" windowWidth="0" windowHeight="0" xr2:uid="{00000000-000D-0000-FFFF-FFFF00000000}"/>
  </bookViews>
  <sheets>
    <sheet name="Price Estimate"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1" l="1"/>
  <c r="I27" i="1"/>
  <c r="K27" i="1" s="1"/>
  <c r="I26" i="1"/>
  <c r="K26" i="1" s="1"/>
  <c r="I25" i="1"/>
  <c r="K25" i="1" s="1"/>
  <c r="I24" i="1"/>
  <c r="K24" i="1" s="1"/>
  <c r="I23" i="1"/>
  <c r="I22" i="1"/>
  <c r="K22" i="1" s="1"/>
  <c r="I21" i="1"/>
  <c r="K21" i="1" s="1"/>
  <c r="I20" i="1"/>
  <c r="K20" i="1" s="1"/>
  <c r="I19" i="1"/>
  <c r="K19" i="1" s="1"/>
  <c r="K30" i="1" s="1"/>
  <c r="K33" i="1" s="1"/>
</calcChain>
</file>

<file path=xl/sharedStrings.xml><?xml version="1.0" encoding="utf-8"?>
<sst xmlns="http://schemas.openxmlformats.org/spreadsheetml/2006/main" count="123" uniqueCount="58">
  <si>
    <t>Price Estimate</t>
  </si>
  <si>
    <t>NTT Data</t>
  </si>
  <si>
    <t/>
  </si>
  <si>
    <t>Dimension Data Saudi Arabia</t>
  </si>
  <si>
    <t>RIYADH,RIYADH</t>
  </si>
  <si>
    <t>RIYADH, 0-0</t>
  </si>
  <si>
    <t>SAUDI ARABIA</t>
  </si>
  <si>
    <t>Ph no:+966 011 252 3099</t>
  </si>
  <si>
    <t>Price Estimate for planning and information purposes only and is not a binding offer from Cisco.</t>
  </si>
  <si>
    <r>
      <rPr>
        <b/>
        <sz val="9"/>
        <color indexed="8"/>
        <rFont val="Calibri"/>
      </rPr>
      <t>Date:</t>
    </r>
    <r>
      <rPr>
        <sz val="9"/>
        <color indexed="8"/>
        <rFont val="Calibri"/>
      </rPr>
      <t xml:space="preserve"> 14-Oct-2025</t>
    </r>
  </si>
  <si>
    <t>Estimate ID:</t>
  </si>
  <si>
    <t>PQ164161394TX</t>
  </si>
  <si>
    <t>Deal ID:</t>
  </si>
  <si>
    <t>NA</t>
  </si>
  <si>
    <t>Price List:</t>
  </si>
  <si>
    <t>Global Price List Emerging (USD)</t>
  </si>
  <si>
    <t>All prices are shown in USD</t>
  </si>
  <si>
    <t>Part Number</t>
  </si>
  <si>
    <t>Smart Account Mandatory</t>
  </si>
  <si>
    <t>Description</t>
  </si>
  <si>
    <t>Service Duration (Months)</t>
  </si>
  <si>
    <t>Estimated Lead Time (Days)</t>
  </si>
  <si>
    <t>Unit List Price</t>
  </si>
  <si>
    <t>Pricing Term</t>
  </si>
  <si>
    <t>Qty</t>
  </si>
  <si>
    <t>Unit Net Price</t>
  </si>
  <si>
    <t>Disc(%)</t>
  </si>
  <si>
    <t>Extended Net Price</t>
  </si>
  <si>
    <t>C9120AXE-E</t>
  </si>
  <si>
    <t>-</t>
  </si>
  <si>
    <t>C9120AX External 802.11ax 4x4:4 MIMO;IOT;BT5;mGig;USB;RHL</t>
  </si>
  <si>
    <t>---</t>
  </si>
  <si>
    <t>SW9120AX-CAPWAP-K9</t>
  </si>
  <si>
    <t>Capwap software for Catalyst 9120AX</t>
  </si>
  <si>
    <t>AIR-AP-BRACKET-1</t>
  </si>
  <si>
    <t>802.11 AP Low Profile Mounting Bracket (Default)</t>
  </si>
  <si>
    <t>AIR-AP-T-RAIL-R</t>
  </si>
  <si>
    <t>Ceiling Grid Clip for APs &amp; Cellular Gateways-Recessed</t>
  </si>
  <si>
    <t>AIR-ANT2524DW-RS</t>
  </si>
  <si>
    <t>2.4GHz 2 dBi/5GHz 4 dBi Dipole Ant., White, RP-TNC, Self ID</t>
  </si>
  <si>
    <t>C9120AX-DNA-OPTOUT</t>
  </si>
  <si>
    <t>CISCO DNA SUBSCRIPTION OPTOUT for C9120AX</t>
  </si>
  <si>
    <t>NETWORK-PNP-LIC</t>
  </si>
  <si>
    <t>Yes</t>
  </si>
  <si>
    <t>Network Plug-n-Play Connect for zero-touch device deployment</t>
  </si>
  <si>
    <t>C9120AXE-SINGLE</t>
  </si>
  <si>
    <t>SINGLE PACK OPTION</t>
  </si>
  <si>
    <t>C9120-OVER</t>
  </si>
  <si>
    <t>C9120AX OVERPACK OPTION</t>
  </si>
  <si>
    <r>
      <rPr>
        <b/>
        <sz val="9"/>
        <color indexed="8"/>
        <rFont val="Calibri"/>
      </rPr>
      <t>Valid through:</t>
    </r>
    <r>
      <rPr>
        <sz val="9"/>
        <color indexed="8"/>
        <rFont val="Calibri"/>
      </rPr>
      <t xml:space="preserve">  </t>
    </r>
  </si>
  <si>
    <t>Product Total</t>
  </si>
  <si>
    <r>
      <rPr>
        <b/>
        <sz val="9"/>
        <color indexed="8"/>
        <rFont val="Calibri"/>
      </rPr>
      <t>FOB Point:</t>
    </r>
    <r>
      <rPr>
        <sz val="9"/>
        <color indexed="8"/>
        <rFont val="Calibri"/>
      </rPr>
      <t xml:space="preserve">         None</t>
    </r>
  </si>
  <si>
    <t>Service Total :</t>
  </si>
  <si>
    <t>Subscription Total</t>
  </si>
  <si>
    <t>Total Price:</t>
  </si>
  <si>
    <t>Notes</t>
  </si>
  <si>
    <t>Signed:</t>
  </si>
  <si>
    <t>"This Price Estimate does not constitute an offer by CISCO to sell products, but is instead an invitation to issue a purchase order to CISCO until the valid date specified in this price estimate. Such a purchase order will be subject to Cisco's standard procedures, terms and conditions for the acceptance of purchase orders. This order may be subject to indirect tax (VAT, GST, sales tax or other indirect taxes), duty and freight charges even if not noted on this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</si>
</sst>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Calibri"/>
      <family val="2"/>
      <scheme val="minor"/>
    </font>
    <font>
      <b/>
      <sz val="16"/>
      <color indexed="8"/>
      <name val="Helvetica"/>
    </font>
    <font>
      <b/>
      <sz val="11"/>
      <color indexed="10"/>
      <name val="Helvetica"/>
    </font>
    <font>
      <b/>
      <sz val="9"/>
      <color indexed="8"/>
      <name val="Helvetica"/>
    </font>
    <font>
      <sz val="9"/>
      <color indexed="8"/>
      <name val="Helvetica"/>
    </font>
    <font>
      <sz val="7"/>
      <color indexed="8"/>
      <name val="Helvetica"/>
    </font>
    <font>
      <sz val="8"/>
      <color indexed="8"/>
      <name val="Calibri"/>
    </font>
    <font>
      <b/>
      <sz val="9"/>
      <color indexed="8"/>
      <name val="Calibri"/>
    </font>
    <font>
      <sz val="9"/>
      <color indexed="8"/>
      <name val="Calibri"/>
    </font>
  </fonts>
  <fills count="3">
    <fill>
      <patternFill patternType="none"/>
    </fill>
    <fill>
      <patternFill patternType="gray125"/>
    </fill>
    <fill>
      <patternFill patternType="solid">
        <fgColor indexed="55"/>
      </patternFill>
    </fill>
  </fills>
  <borders count="4">
    <border>
      <left/>
      <right/>
      <top/>
      <bottom/>
      <diagonal/>
    </border>
    <border>
      <left/>
      <right/>
      <top/>
      <bottom style="thin">
        <color indexed="8"/>
      </bottom>
      <diagonal/>
    </border>
    <border>
      <left/>
      <right/>
      <top/>
      <bottom style="medium">
        <color indexed="8"/>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25">
    <xf numFmtId="0" fontId="0" fillId="0" borderId="0" xfId="0"/>
    <xf numFmtId="0" fontId="0" fillId="0" borderId="1" xfId="0" applyBorder="1"/>
    <xf numFmtId="0" fontId="0" fillId="0" borderId="2" xfId="0" applyBorder="1"/>
    <xf numFmtId="0" fontId="3" fillId="0" borderId="0" xfId="0" applyFont="1" applyAlignment="1">
      <alignment horizontal="left" vertical="center"/>
    </xf>
    <xf numFmtId="0" fontId="4" fillId="0" borderId="0" xfId="0" applyFont="1" applyAlignment="1">
      <alignment horizontal="right" vertical="center"/>
    </xf>
    <xf numFmtId="0" fontId="3" fillId="2"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right" vertical="center" wrapText="1"/>
    </xf>
    <xf numFmtId="0" fontId="3" fillId="0" borderId="3" xfId="0" applyFont="1" applyBorder="1" applyAlignment="1">
      <alignment horizontal="left"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center" wrapText="1"/>
    </xf>
    <xf numFmtId="4" fontId="4" fillId="0" borderId="3" xfId="0" applyNumberFormat="1" applyFont="1" applyBorder="1" applyAlignment="1">
      <alignment horizontal="right" vertical="center" wrapText="1"/>
    </xf>
    <xf numFmtId="1" fontId="4" fillId="0" borderId="3" xfId="0" applyNumberFormat="1" applyFont="1" applyBorder="1" applyAlignment="1">
      <alignment horizontal="center" vertical="center" wrapText="1"/>
    </xf>
    <xf numFmtId="0" fontId="4" fillId="0" borderId="3" xfId="0" applyFont="1" applyBorder="1" applyAlignment="1">
      <alignment horizontal="left" vertical="center" wrapText="1"/>
    </xf>
    <xf numFmtId="4" fontId="4" fillId="0" borderId="0" xfId="0" applyNumberFormat="1" applyFont="1" applyAlignment="1">
      <alignment horizontal="right" vertical="center"/>
    </xf>
    <xf numFmtId="4" fontId="3" fillId="0" borderId="0" xfId="0" applyNumberFormat="1" applyFont="1" applyAlignment="1">
      <alignment horizontal="right" vertical="center"/>
    </xf>
    <xf numFmtId="0" fontId="4" fillId="0" borderId="0" xfId="0" applyFont="1" applyAlignment="1">
      <alignment horizontal="center" vertical="center"/>
    </xf>
    <xf numFmtId="0" fontId="3" fillId="0" borderId="0" xfId="0" applyFont="1" applyAlignment="1">
      <alignment horizontal="left" vertical="center"/>
    </xf>
    <xf numFmtId="0" fontId="6" fillId="0" borderId="0" xfId="0" applyFont="1" applyAlignment="1">
      <alignment horizontal="left" vertical="top" wrapText="1"/>
    </xf>
    <xf numFmtId="0" fontId="5" fillId="0" borderId="0" xfId="0" applyFont="1" applyAlignment="1">
      <alignment horizontal="left" vertical="center" wrapText="1"/>
    </xf>
    <xf numFmtId="0" fontId="2" fillId="0" borderId="0" xfId="0" applyFont="1" applyAlignment="1">
      <alignment horizontal="center" vertical="center" wrapText="1"/>
    </xf>
    <xf numFmtId="0" fontId="4" fillId="0" borderId="0" xfId="0" applyFont="1" applyAlignment="1">
      <alignment horizontal="right" vertical="center"/>
    </xf>
    <xf numFmtId="0" fontId="4" fillId="0" borderId="0" xfId="0" applyFont="1" applyAlignment="1">
      <alignment horizontal="left" vertical="center" wrapText="1"/>
    </xf>
    <xf numFmtId="0" fontId="1" fillId="0" borderId="0" xfId="0" applyFont="1"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40"/>
  <sheetViews>
    <sheetView showGridLines="0" tabSelected="1" topLeftCell="A12" workbookViewId="0">
      <selection activeCell="M27" sqref="M27"/>
    </sheetView>
  </sheetViews>
  <sheetFormatPr defaultColWidth="14.85546875" defaultRowHeight="12.75" customHeight="1"/>
  <cols>
    <col min="1" max="1" width="23.42578125" customWidth="1"/>
    <col min="2" max="2" width="13.7109375" customWidth="1"/>
    <col min="3" max="3" width="31.28515625" customWidth="1"/>
    <col min="4" max="4" width="16.42578125" customWidth="1"/>
    <col min="5" max="5" width="13.28515625" customWidth="1"/>
    <col min="6" max="6" width="18.42578125" customWidth="1"/>
    <col min="7" max="8" width="9.7109375" customWidth="1"/>
    <col min="9" max="9" width="13.7109375" customWidth="1"/>
    <col min="10" max="10" width="7" customWidth="1"/>
    <col min="11" max="11" width="21.85546875" bestFit="1" customWidth="1"/>
  </cols>
  <sheetData>
    <row r="2" spans="1:11" ht="20.45" customHeight="1">
      <c r="A2" s="23" t="s">
        <v>0</v>
      </c>
      <c r="B2" s="24"/>
      <c r="C2" s="24"/>
      <c r="D2" s="24"/>
      <c r="E2" s="24"/>
      <c r="F2" s="24"/>
      <c r="G2" s="24"/>
      <c r="H2" s="24"/>
      <c r="I2" s="24"/>
      <c r="J2" s="24"/>
      <c r="K2" s="24"/>
    </row>
    <row r="3" spans="1:11">
      <c r="A3" s="22" t="s">
        <v>1</v>
      </c>
      <c r="B3" s="24"/>
      <c r="C3" s="24"/>
      <c r="J3" s="17" t="s">
        <v>2</v>
      </c>
      <c r="K3" s="24"/>
    </row>
    <row r="4" spans="1:11">
      <c r="A4" s="22" t="s">
        <v>3</v>
      </c>
      <c r="B4" s="24"/>
      <c r="C4" s="24"/>
      <c r="J4" s="22" t="s">
        <v>2</v>
      </c>
      <c r="K4" s="24"/>
    </row>
    <row r="5" spans="1:11">
      <c r="A5" s="22" t="s">
        <v>4</v>
      </c>
      <c r="B5" s="24"/>
      <c r="C5" s="24"/>
      <c r="J5" s="22" t="s">
        <v>2</v>
      </c>
      <c r="K5" s="24"/>
    </row>
    <row r="6" spans="1:11">
      <c r="A6" s="22" t="s">
        <v>5</v>
      </c>
      <c r="B6" s="24"/>
      <c r="C6" s="24"/>
      <c r="J6" s="22" t="s">
        <v>6</v>
      </c>
      <c r="K6" s="24"/>
    </row>
    <row r="7" spans="1:11">
      <c r="A7" s="22" t="s">
        <v>6</v>
      </c>
      <c r="B7" s="24"/>
      <c r="C7" s="24"/>
      <c r="J7" s="24"/>
      <c r="K7" s="24"/>
    </row>
    <row r="8" spans="1:11">
      <c r="A8" s="22" t="s">
        <v>7</v>
      </c>
      <c r="B8" s="24"/>
      <c r="C8" s="24"/>
      <c r="J8" s="24"/>
      <c r="K8" s="24"/>
    </row>
    <row r="10" spans="1:11">
      <c r="A10" s="2" t="s">
        <v>2</v>
      </c>
      <c r="B10" s="2" t="s">
        <v>2</v>
      </c>
      <c r="C10" s="2" t="s">
        <v>2</v>
      </c>
      <c r="D10" s="2" t="s">
        <v>2</v>
      </c>
      <c r="E10" s="2" t="s">
        <v>2</v>
      </c>
      <c r="F10" s="2" t="s">
        <v>2</v>
      </c>
      <c r="G10" s="2" t="s">
        <v>2</v>
      </c>
      <c r="H10" s="2" t="s">
        <v>2</v>
      </c>
      <c r="I10" s="2" t="s">
        <v>2</v>
      </c>
      <c r="J10" s="2" t="s">
        <v>2</v>
      </c>
      <c r="K10" s="2" t="s">
        <v>2</v>
      </c>
    </row>
    <row r="11" spans="1:11">
      <c r="A11" s="20" t="s">
        <v>8</v>
      </c>
      <c r="B11" s="24"/>
      <c r="C11" s="24"/>
      <c r="D11" s="24"/>
      <c r="E11" s="24"/>
      <c r="F11" s="24"/>
      <c r="G11" s="24"/>
      <c r="H11" s="24"/>
      <c r="I11" s="24"/>
      <c r="J11" s="24"/>
      <c r="K11" s="24"/>
    </row>
    <row r="12" spans="1:11" ht="12.75" customHeight="1">
      <c r="A12" s="24"/>
      <c r="B12" s="24"/>
      <c r="C12" s="24"/>
      <c r="D12" s="24"/>
      <c r="E12" s="24"/>
      <c r="F12" s="24"/>
      <c r="G12" s="24"/>
      <c r="H12" s="24"/>
      <c r="I12" s="24"/>
      <c r="J12" s="24"/>
      <c r="K12" s="24"/>
    </row>
    <row r="13" spans="1:11">
      <c r="A13" s="17" t="s">
        <v>9</v>
      </c>
      <c r="B13" s="24"/>
      <c r="I13" s="3" t="s">
        <v>10</v>
      </c>
      <c r="K13" s="4" t="s">
        <v>11</v>
      </c>
    </row>
    <row r="14" spans="1:11">
      <c r="I14" s="3" t="s">
        <v>12</v>
      </c>
      <c r="K14" s="4" t="s">
        <v>13</v>
      </c>
    </row>
    <row r="15" spans="1:11">
      <c r="I15" s="3" t="s">
        <v>14</v>
      </c>
      <c r="K15" s="4" t="s">
        <v>15</v>
      </c>
    </row>
    <row r="17" spans="1:11">
      <c r="I17" s="21" t="s">
        <v>16</v>
      </c>
      <c r="J17" s="24"/>
      <c r="K17" s="24"/>
    </row>
    <row r="18" spans="1:11" ht="42" customHeight="1">
      <c r="A18" s="5" t="s">
        <v>17</v>
      </c>
      <c r="B18" s="5" t="s">
        <v>18</v>
      </c>
      <c r="C18" s="5" t="s">
        <v>19</v>
      </c>
      <c r="D18" s="6" t="s">
        <v>20</v>
      </c>
      <c r="E18" s="6" t="s">
        <v>21</v>
      </c>
      <c r="F18" s="7" t="s">
        <v>22</v>
      </c>
      <c r="G18" s="6" t="s">
        <v>23</v>
      </c>
      <c r="H18" s="6" t="s">
        <v>24</v>
      </c>
      <c r="I18" s="7" t="s">
        <v>25</v>
      </c>
      <c r="J18" s="7" t="s">
        <v>26</v>
      </c>
      <c r="K18" s="7" t="s">
        <v>27</v>
      </c>
    </row>
    <row r="19" spans="1:11">
      <c r="A19" s="8" t="s">
        <v>28</v>
      </c>
      <c r="B19" s="9" t="s">
        <v>29</v>
      </c>
      <c r="C19" s="9" t="s">
        <v>30</v>
      </c>
      <c r="D19" s="10" t="s">
        <v>31</v>
      </c>
      <c r="E19" s="10">
        <v>28</v>
      </c>
      <c r="F19" s="11">
        <v>2354.48</v>
      </c>
      <c r="G19" s="12" t="s">
        <v>2</v>
      </c>
      <c r="H19" s="12">
        <v>8</v>
      </c>
      <c r="I19" s="11">
        <f>ROUND(F19-((F19*J19)/100),2)</f>
        <v>2354.48</v>
      </c>
      <c r="J19" s="11">
        <v>0</v>
      </c>
      <c r="K19" s="11">
        <f>ROUND((H19 * I19),2)</f>
        <v>18835.84</v>
      </c>
    </row>
    <row r="20" spans="1:11">
      <c r="A20" s="13" t="s">
        <v>32</v>
      </c>
      <c r="B20" s="13" t="s">
        <v>29</v>
      </c>
      <c r="C20" s="9" t="s">
        <v>33</v>
      </c>
      <c r="D20" s="10" t="s">
        <v>31</v>
      </c>
      <c r="E20" s="10">
        <v>28</v>
      </c>
      <c r="F20" s="11">
        <v>0</v>
      </c>
      <c r="G20" s="12" t="s">
        <v>2</v>
      </c>
      <c r="H20" s="12">
        <v>8</v>
      </c>
      <c r="I20" s="11">
        <f>ROUND(F20-((F20*J20)/100),2)</f>
        <v>0</v>
      </c>
      <c r="J20" s="11">
        <v>0</v>
      </c>
      <c r="K20" s="11">
        <f>ROUND((H20 * I20),2)</f>
        <v>0</v>
      </c>
    </row>
    <row r="21" spans="1:11">
      <c r="A21" s="13" t="s">
        <v>34</v>
      </c>
      <c r="B21" s="13" t="s">
        <v>29</v>
      </c>
      <c r="C21" s="9" t="s">
        <v>35</v>
      </c>
      <c r="D21" s="10" t="s">
        <v>31</v>
      </c>
      <c r="E21" s="10">
        <v>28</v>
      </c>
      <c r="F21" s="11">
        <v>0</v>
      </c>
      <c r="G21" s="12" t="s">
        <v>2</v>
      </c>
      <c r="H21" s="12">
        <v>8</v>
      </c>
      <c r="I21" s="11">
        <f>ROUND(F21-((F21*J21)/100),2)</f>
        <v>0</v>
      </c>
      <c r="J21" s="11">
        <v>0</v>
      </c>
      <c r="K21" s="11">
        <f>ROUND((H21 * I21),2)</f>
        <v>0</v>
      </c>
    </row>
    <row r="22" spans="1:11">
      <c r="A22" s="13" t="s">
        <v>36</v>
      </c>
      <c r="B22" s="13" t="s">
        <v>29</v>
      </c>
      <c r="C22" s="9" t="s">
        <v>37</v>
      </c>
      <c r="D22" s="10" t="s">
        <v>31</v>
      </c>
      <c r="E22" s="10">
        <v>28</v>
      </c>
      <c r="F22" s="11">
        <v>0</v>
      </c>
      <c r="G22" s="12" t="s">
        <v>2</v>
      </c>
      <c r="H22" s="12">
        <v>8</v>
      </c>
      <c r="I22" s="11">
        <f>ROUND(F22-((F22*J22)/100),2)</f>
        <v>0</v>
      </c>
      <c r="J22" s="11">
        <v>0</v>
      </c>
      <c r="K22" s="11">
        <f>ROUND((H22 * I22),2)</f>
        <v>0</v>
      </c>
    </row>
    <row r="23" spans="1:11">
      <c r="A23" s="13" t="s">
        <v>38</v>
      </c>
      <c r="B23" s="13" t="s">
        <v>29</v>
      </c>
      <c r="C23" s="9" t="s">
        <v>39</v>
      </c>
      <c r="D23" s="10" t="s">
        <v>31</v>
      </c>
      <c r="E23" s="10">
        <v>28</v>
      </c>
      <c r="F23" s="11">
        <v>65.88</v>
      </c>
      <c r="G23" s="12" t="s">
        <v>2</v>
      </c>
      <c r="H23" s="12">
        <v>32</v>
      </c>
      <c r="I23" s="11">
        <f>ROUND(F23-((F23*J23)/100),2)</f>
        <v>65.88</v>
      </c>
      <c r="J23" s="11">
        <v>0</v>
      </c>
      <c r="K23" s="11">
        <f>ROUND((H23 * I23),2)</f>
        <v>2108.16</v>
      </c>
    </row>
    <row r="24" spans="1:11">
      <c r="A24" s="13" t="s">
        <v>40</v>
      </c>
      <c r="B24" s="13" t="s">
        <v>29</v>
      </c>
      <c r="C24" s="9" t="s">
        <v>41</v>
      </c>
      <c r="D24" s="10" t="s">
        <v>31</v>
      </c>
      <c r="E24" s="10">
        <v>28</v>
      </c>
      <c r="F24" s="11">
        <v>0</v>
      </c>
      <c r="G24" s="12" t="s">
        <v>2</v>
      </c>
      <c r="H24" s="12">
        <v>8</v>
      </c>
      <c r="I24" s="11">
        <f>ROUND(F24-((F24*J24)/100),2)</f>
        <v>0</v>
      </c>
      <c r="J24" s="11">
        <v>0</v>
      </c>
      <c r="K24" s="11">
        <f>ROUND((H24 * I24),2)</f>
        <v>0</v>
      </c>
    </row>
    <row r="25" spans="1:11">
      <c r="A25" s="13" t="s">
        <v>42</v>
      </c>
      <c r="B25" s="13" t="s">
        <v>43</v>
      </c>
      <c r="C25" s="9" t="s">
        <v>44</v>
      </c>
      <c r="D25" s="10" t="s">
        <v>31</v>
      </c>
      <c r="E25" s="10">
        <v>3</v>
      </c>
      <c r="F25" s="11">
        <v>0</v>
      </c>
      <c r="G25" s="12" t="s">
        <v>2</v>
      </c>
      <c r="H25" s="12">
        <v>8</v>
      </c>
      <c r="I25" s="11">
        <f>ROUND(F25-((F25*J25)/100),2)</f>
        <v>0</v>
      </c>
      <c r="J25" s="11">
        <v>0</v>
      </c>
      <c r="K25" s="11">
        <f>ROUND((H25 * I25),2)</f>
        <v>0</v>
      </c>
    </row>
    <row r="26" spans="1:11">
      <c r="A26" s="13" t="s">
        <v>45</v>
      </c>
      <c r="B26" s="13" t="s">
        <v>29</v>
      </c>
      <c r="C26" s="9" t="s">
        <v>46</v>
      </c>
      <c r="D26" s="10" t="s">
        <v>31</v>
      </c>
      <c r="E26" s="10">
        <v>28</v>
      </c>
      <c r="F26" s="11">
        <v>0</v>
      </c>
      <c r="G26" s="12" t="s">
        <v>2</v>
      </c>
      <c r="H26" s="12">
        <v>8</v>
      </c>
      <c r="I26" s="11">
        <f>ROUND(F26-((F26*J26)/100),2)</f>
        <v>0</v>
      </c>
      <c r="J26" s="11">
        <v>0</v>
      </c>
      <c r="K26" s="11">
        <f>ROUND((H26 * I26),2)</f>
        <v>0</v>
      </c>
    </row>
    <row r="27" spans="1:11">
      <c r="A27" s="13" t="s">
        <v>47</v>
      </c>
      <c r="B27" s="13" t="s">
        <v>29</v>
      </c>
      <c r="C27" s="9" t="s">
        <v>48</v>
      </c>
      <c r="D27" s="10" t="s">
        <v>31</v>
      </c>
      <c r="E27" s="10">
        <v>28</v>
      </c>
      <c r="F27" s="11">
        <v>0</v>
      </c>
      <c r="G27" s="12" t="s">
        <v>2</v>
      </c>
      <c r="H27" s="12">
        <v>8</v>
      </c>
      <c r="I27" s="11">
        <f>ROUND(F27-((F27*J27)/100),2)</f>
        <v>0</v>
      </c>
      <c r="J27" s="11">
        <v>0</v>
      </c>
      <c r="K27" s="11">
        <f>ROUND((H27 * I27),2)</f>
        <v>0</v>
      </c>
    </row>
    <row r="28" spans="1:11">
      <c r="A28" s="2" t="s">
        <v>2</v>
      </c>
      <c r="B28" s="2" t="s">
        <v>2</v>
      </c>
      <c r="C28" s="2" t="s">
        <v>2</v>
      </c>
      <c r="D28" s="2" t="s">
        <v>2</v>
      </c>
      <c r="E28" s="2" t="s">
        <v>2</v>
      </c>
      <c r="F28" s="2" t="s">
        <v>2</v>
      </c>
      <c r="G28" s="2" t="s">
        <v>2</v>
      </c>
      <c r="H28" s="2" t="s">
        <v>2</v>
      </c>
      <c r="I28" s="2" t="s">
        <v>2</v>
      </c>
      <c r="J28" s="2" t="s">
        <v>2</v>
      </c>
      <c r="K28" s="2" t="s">
        <v>2</v>
      </c>
    </row>
    <row r="30" spans="1:11">
      <c r="A30" s="17" t="s">
        <v>49</v>
      </c>
      <c r="B30" s="17" t="s">
        <v>2</v>
      </c>
      <c r="C30" s="24"/>
      <c r="D30" s="24"/>
      <c r="I30" s="3" t="s">
        <v>50</v>
      </c>
      <c r="K30" s="14">
        <f>(K19+K20+K21+K22+K23+K24+K25+K26+K27)</f>
        <v>20944</v>
      </c>
    </row>
    <row r="31" spans="1:11">
      <c r="A31" s="17" t="s">
        <v>51</v>
      </c>
      <c r="B31" s="17" t="s">
        <v>2</v>
      </c>
      <c r="C31" s="24"/>
      <c r="D31" s="24"/>
      <c r="I31" s="3" t="s">
        <v>52</v>
      </c>
      <c r="K31" s="14">
        <v>0</v>
      </c>
    </row>
    <row r="32" spans="1:11">
      <c r="I32" s="3" t="s">
        <v>53</v>
      </c>
      <c r="K32" s="14">
        <v>0</v>
      </c>
    </row>
    <row r="33" spans="1:11">
      <c r="I33" s="3" t="s">
        <v>54</v>
      </c>
      <c r="K33" s="15">
        <f>(K31+K30+K32)</f>
        <v>20944</v>
      </c>
    </row>
    <row r="34" spans="1:11">
      <c r="A34" s="17" t="s">
        <v>55</v>
      </c>
      <c r="B34" s="24"/>
      <c r="C34" s="24"/>
      <c r="D34" s="24"/>
    </row>
    <row r="35" spans="1:11">
      <c r="A35" s="18" t="s">
        <v>2</v>
      </c>
      <c r="B35" s="24"/>
      <c r="C35" s="24"/>
      <c r="D35" s="24"/>
      <c r="E35" s="24"/>
      <c r="F35" s="24"/>
      <c r="G35" s="24"/>
      <c r="I35" s="17" t="s">
        <v>56</v>
      </c>
      <c r="J35" s="24"/>
      <c r="K35" s="1" t="s">
        <v>2</v>
      </c>
    </row>
    <row r="36" spans="1:11" ht="21.95" customHeight="1">
      <c r="A36" s="24"/>
      <c r="B36" s="24"/>
      <c r="C36" s="24"/>
      <c r="D36" s="24"/>
      <c r="E36" s="24"/>
      <c r="F36" s="24"/>
      <c r="G36" s="24"/>
      <c r="K36" s="16" t="s">
        <v>1</v>
      </c>
    </row>
    <row r="37" spans="1:11">
      <c r="A37" s="2" t="s">
        <v>2</v>
      </c>
      <c r="B37" s="2" t="s">
        <v>2</v>
      </c>
      <c r="C37" s="2" t="s">
        <v>2</v>
      </c>
      <c r="D37" s="2" t="s">
        <v>2</v>
      </c>
      <c r="E37" s="2" t="s">
        <v>2</v>
      </c>
      <c r="F37" s="2" t="s">
        <v>2</v>
      </c>
      <c r="G37" s="2" t="s">
        <v>2</v>
      </c>
      <c r="H37" s="2" t="s">
        <v>2</v>
      </c>
      <c r="I37" s="2" t="s">
        <v>2</v>
      </c>
      <c r="J37" s="2" t="s">
        <v>2</v>
      </c>
      <c r="K37" s="2" t="s">
        <v>2</v>
      </c>
    </row>
    <row r="38" spans="1:11">
      <c r="A38" s="19" t="s">
        <v>57</v>
      </c>
      <c r="B38" s="24"/>
      <c r="C38" s="24"/>
      <c r="D38" s="24"/>
      <c r="E38" s="24"/>
      <c r="F38" s="24"/>
      <c r="G38" s="24"/>
      <c r="H38" s="24"/>
      <c r="I38" s="24"/>
      <c r="J38" s="24"/>
      <c r="K38" s="24"/>
    </row>
    <row r="39" spans="1:11" ht="12.75" customHeight="1">
      <c r="A39" s="24"/>
      <c r="B39" s="24"/>
      <c r="C39" s="24"/>
      <c r="D39" s="24"/>
      <c r="E39" s="24"/>
      <c r="F39" s="24"/>
      <c r="G39" s="24"/>
      <c r="H39" s="24"/>
      <c r="I39" s="24"/>
      <c r="J39" s="24"/>
      <c r="K39" s="24"/>
    </row>
    <row r="40" spans="1:11" ht="12.75" customHeight="1">
      <c r="A40" s="24"/>
      <c r="B40" s="24"/>
      <c r="C40" s="24"/>
      <c r="D40" s="24"/>
      <c r="E40" s="24"/>
      <c r="F40" s="24"/>
      <c r="G40" s="24"/>
      <c r="H40" s="24"/>
      <c r="I40" s="24"/>
      <c r="J40" s="24"/>
      <c r="K40" s="24"/>
    </row>
  </sheetData>
  <mergeCells count="22">
    <mergeCell ref="A2:K2"/>
    <mergeCell ref="A3:C3"/>
    <mergeCell ref="A4:C4"/>
    <mergeCell ref="A5:C5"/>
    <mergeCell ref="A6:C6"/>
    <mergeCell ref="A7:C7"/>
    <mergeCell ref="A8:C8"/>
    <mergeCell ref="J3:K3"/>
    <mergeCell ref="J4:K4"/>
    <mergeCell ref="J5:K5"/>
    <mergeCell ref="J6:K6"/>
    <mergeCell ref="J7:K7"/>
    <mergeCell ref="J8:K8"/>
    <mergeCell ref="A34:D34"/>
    <mergeCell ref="A35:G36"/>
    <mergeCell ref="I35:J35"/>
    <mergeCell ref="A38:K40"/>
    <mergeCell ref="A11:K12"/>
    <mergeCell ref="A13:B13"/>
    <mergeCell ref="I17:K17"/>
    <mergeCell ref="A30:D30"/>
    <mergeCell ref="A31:D31"/>
  </mergeCells>
  <printOptions horizontalCentered="1"/>
  <pageMargins left="0.7" right="0.7" top="0.75" bottom="0.75" header="0.3" footer="0.3"/>
  <pageSetup paperSize="9" orientation="landscape"/>
  <headerFooter>
    <oddFooter>&amp;C_x000D_&amp;1#&amp;"Arial"&amp;8&amp;K2E404D Sensitivity Label: General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Josias Sekhebesa</cp:lastModifiedBy>
  <cp:revision/>
  <dcterms:created xsi:type="dcterms:W3CDTF">2025-10-14T07:18:59Z</dcterms:created>
  <dcterms:modified xsi:type="dcterms:W3CDTF">2025-10-17T11:55:29Z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37e5cc-ed1f-4ad6-a881-35c0f1c6f3d8_Enabled">
    <vt:lpwstr>true</vt:lpwstr>
  </property>
  <property fmtid="{D5CDD505-2E9C-101B-9397-08002B2CF9AE}" pid="3" name="MSIP_Label_4637e5cc-ed1f-4ad6-a881-35c0f1c6f3d8_SetDate">
    <vt:lpwstr>2025-10-15T07:24:07Z</vt:lpwstr>
  </property>
  <property fmtid="{D5CDD505-2E9C-101B-9397-08002B2CF9AE}" pid="4" name="MSIP_Label_4637e5cc-ed1f-4ad6-a881-35c0f1c6f3d8_Method">
    <vt:lpwstr>Standard</vt:lpwstr>
  </property>
  <property fmtid="{D5CDD505-2E9C-101B-9397-08002B2CF9AE}" pid="5" name="MSIP_Label_4637e5cc-ed1f-4ad6-a881-35c0f1c6f3d8_Name">
    <vt:lpwstr>General</vt:lpwstr>
  </property>
  <property fmtid="{D5CDD505-2E9C-101B-9397-08002B2CF9AE}" pid="6" name="MSIP_Label_4637e5cc-ed1f-4ad6-a881-35c0f1c6f3d8_SiteId">
    <vt:lpwstr>e3cf3c98-a978-465f-8254-9d541eeea73c</vt:lpwstr>
  </property>
  <property fmtid="{D5CDD505-2E9C-101B-9397-08002B2CF9AE}" pid="7" name="MSIP_Label_4637e5cc-ed1f-4ad6-a881-35c0f1c6f3d8_ActionId">
    <vt:lpwstr>1af309ed-422b-4f78-9881-64a7a37ec80d</vt:lpwstr>
  </property>
  <property fmtid="{D5CDD505-2E9C-101B-9397-08002B2CF9AE}" pid="8" name="MSIP_Label_4637e5cc-ed1f-4ad6-a881-35c0f1c6f3d8_ContentBits">
    <vt:lpwstr>2</vt:lpwstr>
  </property>
  <property fmtid="{D5CDD505-2E9C-101B-9397-08002B2CF9AE}" pid="9" name="MSIP_Label_4637e5cc-ed1f-4ad6-a881-35c0f1c6f3d8_Tag">
    <vt:lpwstr>10, 3, 0, 2</vt:lpwstr>
  </property>
</Properties>
</file>