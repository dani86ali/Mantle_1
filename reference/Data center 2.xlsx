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defaultThemeVersion="166925"/>
  <xr:revisionPtr revIDLastSave="4" documentId="11_92A9CF8BB1F39583EE56CCF420C988C07E27977A" xr6:coauthVersionLast="47" xr6:coauthVersionMax="47" xr10:uidLastSave="{0F1FD043-3525-4EE3-BE76-555A6EB6FA1B}"/>
  <bookViews>
    <workbookView xWindow="0" yWindow="0" windowWidth="0" windowHeight="0" xr2:uid="{00000000-000D-0000-FFFF-FFFF00000000}"/>
  </bookViews>
  <sheets>
    <sheet name="Price Estimate"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7" i="1" l="1"/>
  <c r="K47" i="1" s="1"/>
  <c r="I46" i="1"/>
  <c r="K46" i="1" s="1"/>
  <c r="I45" i="1"/>
  <c r="K45" i="1" s="1"/>
  <c r="I44" i="1"/>
  <c r="K44" i="1" s="1"/>
  <c r="I43" i="1"/>
  <c r="K43" i="1" s="1"/>
  <c r="I42" i="1"/>
  <c r="K42" i="1" s="1"/>
  <c r="I41" i="1"/>
  <c r="K41" i="1" s="1"/>
  <c r="I40" i="1"/>
  <c r="K40" i="1" s="1"/>
  <c r="I39" i="1"/>
  <c r="K39" i="1" s="1"/>
  <c r="I38" i="1"/>
  <c r="K38" i="1" s="1"/>
  <c r="I37" i="1"/>
  <c r="K37" i="1" s="1"/>
  <c r="I36" i="1"/>
  <c r="K36" i="1" s="1"/>
  <c r="I35" i="1"/>
  <c r="K35" i="1" s="1"/>
  <c r="I34" i="1"/>
  <c r="K34" i="1" s="1"/>
  <c r="I33" i="1"/>
  <c r="K33" i="1" s="1"/>
  <c r="I32" i="1"/>
  <c r="K32" i="1" s="1"/>
  <c r="I31" i="1"/>
  <c r="K31" i="1" s="1"/>
  <c r="I30" i="1"/>
  <c r="K30" i="1" s="1"/>
  <c r="I29" i="1"/>
  <c r="K29" i="1" s="1"/>
  <c r="I28" i="1"/>
  <c r="K28" i="1" s="1"/>
  <c r="I27" i="1"/>
  <c r="K27" i="1" s="1"/>
  <c r="M51" i="1" s="1"/>
  <c r="I26" i="1"/>
  <c r="K26" i="1" s="1"/>
  <c r="K25" i="1"/>
  <c r="I25" i="1"/>
  <c r="K24" i="1"/>
  <c r="I24" i="1"/>
  <c r="K23" i="1"/>
  <c r="I23" i="1"/>
  <c r="K22" i="1"/>
  <c r="I22" i="1"/>
  <c r="I20" i="1"/>
  <c r="K20" i="1" s="1"/>
  <c r="M52" i="1" s="1"/>
  <c r="I19" i="1"/>
  <c r="K19" i="1" s="1"/>
  <c r="M50" i="1" s="1"/>
  <c r="M53" i="1" l="1"/>
</calcChain>
</file>

<file path=xl/sharedStrings.xml><?xml version="1.0" encoding="utf-8"?>
<sst xmlns="http://schemas.openxmlformats.org/spreadsheetml/2006/main" count="239" uniqueCount="100">
  <si>
    <t>Price Estimate</t>
  </si>
  <si>
    <t>NTT Data</t>
  </si>
  <si>
    <t/>
  </si>
  <si>
    <t>Dimension Data Saudi Arabia</t>
  </si>
  <si>
    <t>RIYADH,RIYADH</t>
  </si>
  <si>
    <t>RIYADH, 0-0</t>
  </si>
  <si>
    <t>SAUDI ARABIA</t>
  </si>
  <si>
    <t>Ph no:+966 011 252 3099</t>
  </si>
  <si>
    <t>Price Estimate for planning and information purposes only and is not a binding offer from Cisco.</t>
  </si>
  <si>
    <r>
      <rPr>
        <b/>
        <sz val="9"/>
        <color indexed="8"/>
        <rFont val="Calibri"/>
      </rPr>
      <t>Date:</t>
    </r>
    <r>
      <rPr>
        <sz val="9"/>
        <color indexed="8"/>
        <rFont val="Calibri"/>
      </rPr>
      <t xml:space="preserve"> 14-Oct-2025</t>
    </r>
  </si>
  <si>
    <t>Estimate ID:</t>
  </si>
  <si>
    <t>VZ164162237UR</t>
  </si>
  <si>
    <t>Deal ID:</t>
  </si>
  <si>
    <t>NA</t>
  </si>
  <si>
    <t>Price List:</t>
  </si>
  <si>
    <t>Global Price List Emerging (USD)</t>
  </si>
  <si>
    <t>All prices are shown in USD</t>
  </si>
  <si>
    <t>Part Number</t>
  </si>
  <si>
    <t>Smart Account Mandatory</t>
  </si>
  <si>
    <t>Description</t>
  </si>
  <si>
    <t>Service Duration (Months)</t>
  </si>
  <si>
    <t>Estimated Lead Time (Days)</t>
  </si>
  <si>
    <t>Unit List Price</t>
  </si>
  <si>
    <t>Pricing Term</t>
  </si>
  <si>
    <t>Qty</t>
  </si>
  <si>
    <t>Unit Net Price</t>
  </si>
  <si>
    <t>Disc(%)</t>
  </si>
  <si>
    <t>Extended Net Price</t>
  </si>
  <si>
    <t>Original Unit List Price</t>
  </si>
  <si>
    <t>Bundle Discount</t>
  </si>
  <si>
    <t>UCS-M6-MLB</t>
  </si>
  <si>
    <t>-</t>
  </si>
  <si>
    <t>UCS M6 RACK, BLADE MLB</t>
  </si>
  <si>
    <t>---</t>
  </si>
  <si>
    <t>N/A</t>
  </si>
  <si>
    <t>DC-MGT-SAAS</t>
  </si>
  <si>
    <t>Cisco Intersight SaaS</t>
  </si>
  <si>
    <t>Initial Term - 36.00 Months   |   Auto Renewal Term - 12 Months   |   Billing Model - Prepaid Term   |   Requested Start Date - 17-Oct-2025   |   Requested End Date - 16-Oct-2028</t>
  </si>
  <si>
    <t>DC-MGT-IS-SAAS-AD</t>
  </si>
  <si>
    <t>Yes</t>
  </si>
  <si>
    <t>Infrastructure Services SaaS/CVA - Advantage</t>
  </si>
  <si>
    <t>SVS-DCM-SUPT-BAS</t>
  </si>
  <si>
    <t>Cisco Support Standard for DCM</t>
  </si>
  <si>
    <t>DC-MGT-UCSC-1S</t>
  </si>
  <si>
    <t>UCS Central Per Server - 1 Server License</t>
  </si>
  <si>
    <t>DC-MGT-ADOPT-BAS</t>
  </si>
  <si>
    <t>Intersight - Virtual adopt session http://cs.co/requestCSS</t>
  </si>
  <si>
    <t>UCSC-C220-M6S</t>
  </si>
  <si>
    <t>UCS C220 M6 Rack w/o CPU, mem, drives, 1U wSFF HDD backplane</t>
  </si>
  <si>
    <t>CON-SNTP-UCSCSC22</t>
  </si>
  <si>
    <t>SNTC-24X7X4 UCS C220 M6 Rack</t>
  </si>
  <si>
    <t>CIMC-LATEST</t>
  </si>
  <si>
    <t>IMC SW (Recommended) latest release for C-Series Servers.</t>
  </si>
  <si>
    <t>UCSX-TPM-002C</t>
  </si>
  <si>
    <t>TPM 2.0, TCG, FIPS140-2, CC EAL4+ Certified, for M6 servers</t>
  </si>
  <si>
    <t>UCSC-RAIL-M6</t>
  </si>
  <si>
    <t>Ball Bearing Rail Kit for C220 &amp; C240 M6 rack servers</t>
  </si>
  <si>
    <t>UCSC-CMA-C220M6</t>
  </si>
  <si>
    <t>Reversible CMA for C220 M6 ball bearing rail kit</t>
  </si>
  <si>
    <t>UCSC-BBLKD-S2</t>
  </si>
  <si>
    <t>UCS C-Series M5 SFF drive blanking panel</t>
  </si>
  <si>
    <t>UCSC-PSU-M5BLK</t>
  </si>
  <si>
    <t>Power Supply Blanking Panel for M5 servers</t>
  </si>
  <si>
    <t>UCS-DIMM-BLK</t>
  </si>
  <si>
    <t>UCS DIMM Blanks</t>
  </si>
  <si>
    <t>UCSC-HSLP-M6</t>
  </si>
  <si>
    <t>Heatsink for 1U/2U LFF/SFF GPU SKU</t>
  </si>
  <si>
    <t>UCSC-FBRS-C220M6</t>
  </si>
  <si>
    <t>C220M6 HH Riser3 blank</t>
  </si>
  <si>
    <t>CBL-SAS-C220M6</t>
  </si>
  <si>
    <t>C220M6 SAS cable (1U); (Pismo HBA)</t>
  </si>
  <si>
    <t>UCS-SCAP-M6</t>
  </si>
  <si>
    <t>M6 SuperCap</t>
  </si>
  <si>
    <t>CBL-SCAP-C220M6</t>
  </si>
  <si>
    <t>C220/C240M6 1U/2U Super Cap cable</t>
  </si>
  <si>
    <t>UCSC-RIS2H-220M6</t>
  </si>
  <si>
    <t>C220 M6 Riser2 HH; x16;  LPBkt; (CPU2)</t>
  </si>
  <si>
    <t>UCS-CPU-I6326</t>
  </si>
  <si>
    <t>Intel 6326 2.9GHz/185W 16C/24MB DDR4 3200MHz</t>
  </si>
  <si>
    <t>UCS-ML-128G4RW</t>
  </si>
  <si>
    <t>128GB LRDIMM QRx4 3200 (16Gb)</t>
  </si>
  <si>
    <t>UCSC-RAID-220M6</t>
  </si>
  <si>
    <t>Cisco 12G SAS RAID Controller w/4GB FBWC (16 Drv) w/1U Brkt</t>
  </si>
  <si>
    <t>UCS-SD960GM2NK9</t>
  </si>
  <si>
    <t>960GB Enterprise value SATA SSD (1X , SED)</t>
  </si>
  <si>
    <t>UCS-SD240GBM1X-EV</t>
  </si>
  <si>
    <t>240GB 2.5 inch Enterprise Value 6G SATA SSD</t>
  </si>
  <si>
    <t>UCSC-PSU1-1200W</t>
  </si>
  <si>
    <t>1200w AC Titanium Power Supply for C-series Rack Servers</t>
  </si>
  <si>
    <t>CAB-C13-C14-2M</t>
  </si>
  <si>
    <t>Power Cord Jumper, C13-C14 Connectors, 2 Meter Length</t>
  </si>
  <si>
    <r>
      <rPr>
        <b/>
        <sz val="9"/>
        <color indexed="8"/>
        <rFont val="Calibri"/>
      </rPr>
      <t>Valid through:</t>
    </r>
    <r>
      <rPr>
        <sz val="9"/>
        <color indexed="8"/>
        <rFont val="Calibri"/>
      </rPr>
      <t xml:space="preserve">  </t>
    </r>
  </si>
  <si>
    <t>Product Total</t>
  </si>
  <si>
    <r>
      <rPr>
        <b/>
        <sz val="9"/>
        <color indexed="8"/>
        <rFont val="Calibri"/>
      </rPr>
      <t>FOB Point:</t>
    </r>
    <r>
      <rPr>
        <sz val="9"/>
        <color indexed="8"/>
        <rFont val="Calibri"/>
      </rPr>
      <t xml:space="preserve">         None</t>
    </r>
  </si>
  <si>
    <t>Service Total :</t>
  </si>
  <si>
    <t>Subscription Total</t>
  </si>
  <si>
    <t>Total Price:</t>
  </si>
  <si>
    <t>Notes</t>
  </si>
  <si>
    <t>Signed:</t>
  </si>
  <si>
    <t>"This Price Estimate does not constitute an offer by CISCO to sell products, but is instead an invitation to issue a purchase order to CISCO until the valid date specified in this price estimate. Such a purchase order will be subject to Cisco's standard procedures, terms and conditions for the acceptance of purchase orders. This order may be subject to indirect tax (VAT, GST, sales tax or other indirect taxes), duty and freight charges even if not noted on this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</si>
</sst>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0"/>
  </numFmts>
  <fonts count="9">
    <font>
      <sz val="11"/>
      <color indexed="8"/>
      <name val="Calibri"/>
      <family val="2"/>
      <scheme val="minor"/>
    </font>
    <font>
      <b/>
      <sz val="16"/>
      <color indexed="8"/>
      <name val="Helvetica"/>
    </font>
    <font>
      <b/>
      <sz val="11"/>
      <color indexed="10"/>
      <name val="Helvetica"/>
    </font>
    <font>
      <b/>
      <sz val="9"/>
      <color indexed="8"/>
      <name val="Helvetica"/>
    </font>
    <font>
      <sz val="9"/>
      <color indexed="8"/>
      <name val="Helvetica"/>
    </font>
    <font>
      <sz val="7"/>
      <color indexed="8"/>
      <name val="Helvetica"/>
    </font>
    <font>
      <sz val="8"/>
      <color indexed="8"/>
      <name val="Calibri"/>
    </font>
    <font>
      <b/>
      <sz val="9"/>
      <color indexed="8"/>
      <name val="Calibri"/>
    </font>
    <font>
      <sz val="9"/>
      <color indexed="8"/>
      <name val="Calibri"/>
    </font>
  </fonts>
  <fills count="4">
    <fill>
      <patternFill patternType="none"/>
    </fill>
    <fill>
      <patternFill patternType="gray125"/>
    </fill>
    <fill>
      <patternFill patternType="solid">
        <fgColor indexed="55"/>
      </patternFill>
    </fill>
    <fill>
      <patternFill patternType="solid">
        <fgColor rgb="FFFFFF00"/>
        <bgColor indexed="64"/>
      </patternFill>
    </fill>
  </fills>
  <borders count="7">
    <border>
      <left/>
      <right/>
      <top/>
      <bottom/>
      <diagonal/>
    </border>
    <border>
      <left/>
      <right/>
      <top/>
      <bottom style="thin">
        <color indexed="8"/>
      </bottom>
      <diagonal/>
    </border>
    <border>
      <left/>
      <right/>
      <top/>
      <bottom style="medium">
        <color indexed="8"/>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right style="thin">
        <color indexed="22"/>
      </right>
      <top style="thin">
        <color indexed="8"/>
      </top>
      <bottom style="thin">
        <color indexed="8"/>
      </bottom>
      <diagonal/>
    </border>
    <border>
      <left style="thin">
        <color indexed="22"/>
      </left>
      <right/>
      <top style="thin">
        <color indexed="8"/>
      </top>
      <bottom style="thin">
        <color indexed="8"/>
      </bottom>
      <diagonal/>
    </border>
  </borders>
  <cellStyleXfs count="1">
    <xf numFmtId="0" fontId="0" fillId="0" borderId="0"/>
  </cellStyleXfs>
  <cellXfs count="33">
    <xf numFmtId="0" fontId="0" fillId="0" borderId="0" xfId="0"/>
    <xf numFmtId="0" fontId="0" fillId="0" borderId="1" xfId="0" applyBorder="1"/>
    <xf numFmtId="0" fontId="0" fillId="0" borderId="2" xfId="0" applyBorder="1"/>
    <xf numFmtId="0" fontId="3" fillId="0" borderId="0" xfId="0" applyFont="1" applyAlignment="1">
      <alignment horizontal="left" vertical="center"/>
    </xf>
    <xf numFmtId="0" fontId="1" fillId="0" borderId="0" xfId="0" applyFont="1" applyAlignment="1">
      <alignment horizontal="center" vertical="center"/>
    </xf>
    <xf numFmtId="0" fontId="4" fillId="0" borderId="0" xfId="0" applyFont="1" applyAlignment="1">
      <alignment horizontal="left" vertical="center" wrapText="1"/>
    </xf>
    <xf numFmtId="0" fontId="3" fillId="0" borderId="0" xfId="0" applyFont="1" applyAlignment="1">
      <alignment horizontal="left" vertical="center"/>
    </xf>
    <xf numFmtId="0" fontId="2" fillId="0" borderId="0" xfId="0" applyFont="1" applyAlignment="1">
      <alignment horizontal="center" vertical="center" wrapText="1"/>
    </xf>
    <xf numFmtId="0" fontId="0" fillId="0" borderId="6" xfId="0" applyBorder="1" applyAlignment="1">
      <alignment horizontal="left" vertical="center" wrapText="1"/>
    </xf>
    <xf numFmtId="0" fontId="0" fillId="0" borderId="5" xfId="0" applyBorder="1" applyAlignment="1">
      <alignment horizontal="left" vertical="center" wrapText="1"/>
    </xf>
    <xf numFmtId="0" fontId="6" fillId="0" borderId="0" xfId="0" applyFont="1" applyAlignment="1">
      <alignment horizontal="left" vertical="top" wrapText="1"/>
    </xf>
    <xf numFmtId="0" fontId="0" fillId="0" borderId="0" xfId="0" applyAlignment="1"/>
    <xf numFmtId="0" fontId="4" fillId="0" borderId="0" xfId="0" applyFont="1" applyAlignment="1">
      <alignment horizontal="right" vertical="center"/>
    </xf>
    <xf numFmtId="0" fontId="4" fillId="0" borderId="0" xfId="0" applyFont="1" applyAlignment="1">
      <alignment horizontal="right" vertical="center"/>
    </xf>
    <xf numFmtId="0" fontId="3" fillId="2" borderId="4" xfId="0" applyFont="1" applyFill="1" applyBorder="1" applyAlignment="1">
      <alignment horizontal="left" vertical="center" wrapText="1"/>
    </xf>
    <xf numFmtId="0" fontId="3" fillId="2" borderId="4" xfId="0" applyFont="1" applyFill="1" applyBorder="1" applyAlignment="1">
      <alignment horizontal="center" vertical="center" wrapText="1"/>
    </xf>
    <xf numFmtId="0" fontId="3" fillId="2" borderId="4" xfId="0" applyFont="1" applyFill="1" applyBorder="1" applyAlignment="1">
      <alignment horizontal="right" vertical="center" wrapText="1"/>
    </xf>
    <xf numFmtId="0" fontId="3" fillId="0" borderId="4" xfId="0" applyFont="1" applyBorder="1" applyAlignment="1">
      <alignment horizontal="left" vertical="top" wrapText="1"/>
    </xf>
    <xf numFmtId="0" fontId="4" fillId="0" borderId="4" xfId="0" applyFont="1" applyBorder="1" applyAlignment="1">
      <alignment horizontal="left" vertical="top" wrapText="1"/>
    </xf>
    <xf numFmtId="0" fontId="4" fillId="0" borderId="4" xfId="0" applyFont="1" applyBorder="1" applyAlignment="1">
      <alignment horizontal="center" vertical="center" wrapText="1"/>
    </xf>
    <xf numFmtId="4" fontId="4" fillId="0" borderId="4" xfId="0" applyNumberFormat="1" applyFont="1" applyBorder="1" applyAlignment="1">
      <alignment horizontal="right" vertical="center" wrapText="1"/>
    </xf>
    <xf numFmtId="1" fontId="4" fillId="0" borderId="4" xfId="0" applyNumberFormat="1" applyFont="1" applyBorder="1" applyAlignment="1">
      <alignment horizontal="center" vertical="center" wrapText="1"/>
    </xf>
    <xf numFmtId="0" fontId="4" fillId="0" borderId="4" xfId="0" applyFont="1" applyBorder="1" applyAlignment="1">
      <alignment horizontal="left" vertical="center" wrapText="1"/>
    </xf>
    <xf numFmtId="0" fontId="3" fillId="0" borderId="3" xfId="0" applyFont="1" applyBorder="1" applyAlignment="1">
      <alignment horizontal="left" vertical="center" wrapText="1"/>
    </xf>
    <xf numFmtId="166" fontId="4" fillId="0" borderId="4" xfId="0" applyNumberFormat="1" applyFont="1" applyBorder="1" applyAlignment="1">
      <alignment horizontal="right" vertical="center" wrapText="1"/>
    </xf>
    <xf numFmtId="0" fontId="4" fillId="3" borderId="4" xfId="0" applyFont="1" applyFill="1" applyBorder="1" applyAlignment="1">
      <alignment horizontal="left" vertical="top" wrapText="1"/>
    </xf>
    <xf numFmtId="0" fontId="4" fillId="3" borderId="4" xfId="0" applyFont="1" applyFill="1" applyBorder="1" applyAlignment="1">
      <alignment horizontal="center" vertical="center" wrapText="1"/>
    </xf>
    <xf numFmtId="4" fontId="4" fillId="3" borderId="4" xfId="0" applyNumberFormat="1" applyFont="1" applyFill="1" applyBorder="1" applyAlignment="1">
      <alignment horizontal="right" vertical="center" wrapText="1"/>
    </xf>
    <xf numFmtId="1" fontId="4" fillId="3" borderId="4" xfId="0" applyNumberFormat="1" applyFont="1" applyFill="1" applyBorder="1" applyAlignment="1">
      <alignment horizontal="center" vertical="center" wrapText="1"/>
    </xf>
    <xf numFmtId="4" fontId="4" fillId="0" borderId="0" xfId="0" applyNumberFormat="1" applyFont="1" applyAlignment="1">
      <alignment horizontal="right" vertical="center"/>
    </xf>
    <xf numFmtId="4" fontId="3" fillId="0" borderId="0" xfId="0" applyNumberFormat="1" applyFont="1" applyAlignment="1">
      <alignment horizontal="right" vertical="center"/>
    </xf>
    <xf numFmtId="0" fontId="4" fillId="0" borderId="0" xfId="0" applyFont="1" applyAlignment="1">
      <alignment horizontal="center" vertical="center"/>
    </xf>
    <xf numFmtId="0" fontId="5"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M60"/>
  <sheetViews>
    <sheetView showGridLines="0" tabSelected="1" topLeftCell="A21" workbookViewId="0">
      <selection activeCell="C27" sqref="C27:L27"/>
    </sheetView>
  </sheetViews>
  <sheetFormatPr defaultColWidth="14.85546875" defaultRowHeight="12.75" customHeight="1"/>
  <cols>
    <col min="1" max="1" width="23.42578125" customWidth="1"/>
    <col min="2" max="2" width="13.7109375" customWidth="1"/>
    <col min="3" max="3" width="31.28515625" customWidth="1"/>
    <col min="4" max="4" width="16.42578125" customWidth="1"/>
    <col min="5" max="5" width="7.85546875" customWidth="1"/>
    <col min="6" max="6" width="18.42578125" customWidth="1"/>
    <col min="7" max="8" width="9.7109375" customWidth="1"/>
    <col min="9" max="9" width="13.7109375" customWidth="1"/>
    <col min="10" max="10" width="7" customWidth="1"/>
    <col min="11" max="12" width="13.7109375" customWidth="1"/>
    <col min="13" max="13" width="21.85546875" bestFit="1" customWidth="1"/>
  </cols>
  <sheetData>
    <row r="2" spans="1:13" ht="20.45" customHeight="1">
      <c r="A2" s="4" t="s">
        <v>0</v>
      </c>
      <c r="B2" s="11"/>
      <c r="C2" s="11"/>
      <c r="D2" s="11"/>
      <c r="E2" s="11"/>
      <c r="F2" s="11"/>
      <c r="G2" s="11"/>
      <c r="H2" s="11"/>
      <c r="I2" s="11"/>
      <c r="J2" s="11"/>
      <c r="K2" s="11"/>
      <c r="L2" s="11"/>
      <c r="M2" s="11"/>
    </row>
    <row r="3" spans="1:13">
      <c r="A3" s="5" t="s">
        <v>1</v>
      </c>
      <c r="B3" s="11"/>
      <c r="C3" s="11"/>
      <c r="L3" s="6" t="s">
        <v>2</v>
      </c>
      <c r="M3" s="11"/>
    </row>
    <row r="4" spans="1:13">
      <c r="A4" s="5" t="s">
        <v>3</v>
      </c>
      <c r="B4" s="11"/>
      <c r="C4" s="11"/>
      <c r="L4" s="5" t="s">
        <v>2</v>
      </c>
      <c r="M4" s="11"/>
    </row>
    <row r="5" spans="1:13">
      <c r="A5" s="5" t="s">
        <v>4</v>
      </c>
      <c r="B5" s="11"/>
      <c r="C5" s="11"/>
      <c r="L5" s="5" t="s">
        <v>2</v>
      </c>
      <c r="M5" s="11"/>
    </row>
    <row r="6" spans="1:13">
      <c r="A6" s="5" t="s">
        <v>5</v>
      </c>
      <c r="B6" s="11"/>
      <c r="C6" s="11"/>
      <c r="L6" s="5" t="s">
        <v>6</v>
      </c>
      <c r="M6" s="11"/>
    </row>
    <row r="7" spans="1:13">
      <c r="A7" s="5" t="s">
        <v>6</v>
      </c>
      <c r="B7" s="11"/>
      <c r="C7" s="11"/>
      <c r="L7" s="11"/>
      <c r="M7" s="11"/>
    </row>
    <row r="8" spans="1:13">
      <c r="A8" s="5" t="s">
        <v>7</v>
      </c>
      <c r="B8" s="11"/>
      <c r="C8" s="11"/>
      <c r="L8" s="11"/>
      <c r="M8" s="11"/>
    </row>
    <row r="10" spans="1:13">
      <c r="A10" s="2" t="s">
        <v>2</v>
      </c>
      <c r="B10" s="2" t="s">
        <v>2</v>
      </c>
      <c r="C10" s="2" t="s">
        <v>2</v>
      </c>
      <c r="D10" s="2" t="s">
        <v>2</v>
      </c>
      <c r="E10" s="2" t="s">
        <v>2</v>
      </c>
      <c r="F10" s="2" t="s">
        <v>2</v>
      </c>
      <c r="G10" s="2" t="s">
        <v>2</v>
      </c>
      <c r="H10" s="2" t="s">
        <v>2</v>
      </c>
      <c r="I10" s="2" t="s">
        <v>2</v>
      </c>
      <c r="J10" s="2" t="s">
        <v>2</v>
      </c>
      <c r="K10" s="2" t="s">
        <v>2</v>
      </c>
      <c r="L10" s="2" t="s">
        <v>2</v>
      </c>
      <c r="M10" s="2" t="s">
        <v>2</v>
      </c>
    </row>
    <row r="11" spans="1:13">
      <c r="A11" s="7" t="s">
        <v>8</v>
      </c>
      <c r="B11" s="11"/>
      <c r="C11" s="11"/>
      <c r="D11" s="11"/>
      <c r="E11" s="11"/>
      <c r="F11" s="11"/>
      <c r="G11" s="11"/>
      <c r="H11" s="11"/>
      <c r="I11" s="11"/>
      <c r="J11" s="11"/>
      <c r="K11" s="11"/>
      <c r="L11" s="11"/>
      <c r="M11" s="11"/>
    </row>
    <row r="12" spans="1:13" ht="12.75" customHeight="1">
      <c r="A12" s="11"/>
      <c r="B12" s="11"/>
      <c r="C12" s="11"/>
      <c r="D12" s="11"/>
      <c r="E12" s="11"/>
      <c r="F12" s="11"/>
      <c r="G12" s="11"/>
      <c r="H12" s="11"/>
      <c r="I12" s="11"/>
      <c r="J12" s="11"/>
      <c r="K12" s="11"/>
      <c r="L12" s="11"/>
      <c r="M12" s="11"/>
    </row>
    <row r="13" spans="1:13">
      <c r="A13" s="6" t="s">
        <v>9</v>
      </c>
      <c r="B13" s="11"/>
      <c r="K13" s="3" t="s">
        <v>10</v>
      </c>
      <c r="M13" s="12" t="s">
        <v>11</v>
      </c>
    </row>
    <row r="14" spans="1:13">
      <c r="K14" s="3" t="s">
        <v>12</v>
      </c>
      <c r="M14" s="12" t="s">
        <v>13</v>
      </c>
    </row>
    <row r="15" spans="1:13">
      <c r="K15" s="3" t="s">
        <v>14</v>
      </c>
      <c r="M15" s="12" t="s">
        <v>15</v>
      </c>
    </row>
    <row r="17" spans="1:13">
      <c r="K17" s="13" t="s">
        <v>16</v>
      </c>
      <c r="L17" s="11"/>
      <c r="M17" s="11"/>
    </row>
    <row r="18" spans="1:13" ht="42" customHeight="1">
      <c r="A18" s="14" t="s">
        <v>17</v>
      </c>
      <c r="B18" s="14" t="s">
        <v>18</v>
      </c>
      <c r="C18" s="14" t="s">
        <v>19</v>
      </c>
      <c r="D18" s="15" t="s">
        <v>20</v>
      </c>
      <c r="E18" s="15" t="s">
        <v>21</v>
      </c>
      <c r="F18" s="16" t="s">
        <v>22</v>
      </c>
      <c r="G18" s="15" t="s">
        <v>23</v>
      </c>
      <c r="H18" s="15" t="s">
        <v>24</v>
      </c>
      <c r="I18" s="16" t="s">
        <v>25</v>
      </c>
      <c r="J18" s="16" t="s">
        <v>26</v>
      </c>
      <c r="K18" s="16" t="s">
        <v>27</v>
      </c>
      <c r="L18" s="16" t="s">
        <v>28</v>
      </c>
      <c r="M18" s="16" t="s">
        <v>29</v>
      </c>
    </row>
    <row r="19" spans="1:13">
      <c r="A19" s="17" t="s">
        <v>30</v>
      </c>
      <c r="B19" s="18" t="s">
        <v>31</v>
      </c>
      <c r="C19" s="18" t="s">
        <v>32</v>
      </c>
      <c r="D19" s="19" t="s">
        <v>33</v>
      </c>
      <c r="E19" s="19" t="s">
        <v>34</v>
      </c>
      <c r="F19" s="20">
        <v>0</v>
      </c>
      <c r="G19" s="21" t="s">
        <v>2</v>
      </c>
      <c r="H19" s="21">
        <v>1</v>
      </c>
      <c r="I19" s="20">
        <f>ROUND(F19-((F19*J19)/100),2)</f>
        <v>0</v>
      </c>
      <c r="J19" s="20">
        <v>0</v>
      </c>
      <c r="K19" s="20">
        <f>ROUND((H19 * I19),2)</f>
        <v>0</v>
      </c>
      <c r="L19" s="20" t="s">
        <v>2</v>
      </c>
      <c r="M19" s="20" t="s">
        <v>2</v>
      </c>
    </row>
    <row r="20" spans="1:13">
      <c r="A20" s="22" t="s">
        <v>35</v>
      </c>
      <c r="B20" s="22" t="s">
        <v>31</v>
      </c>
      <c r="C20" s="18" t="s">
        <v>36</v>
      </c>
      <c r="D20" s="19" t="s">
        <v>33</v>
      </c>
      <c r="E20" s="19" t="s">
        <v>34</v>
      </c>
      <c r="F20" s="20">
        <v>0</v>
      </c>
      <c r="G20" s="21" t="s">
        <v>2</v>
      </c>
      <c r="H20" s="21">
        <v>1</v>
      </c>
      <c r="I20" s="20">
        <f>ROUND(F20-((F20*J20)/100),2)</f>
        <v>0</v>
      </c>
      <c r="J20" s="20">
        <v>0</v>
      </c>
      <c r="K20" s="20">
        <f>ROUND((H20 * I20),2)</f>
        <v>0</v>
      </c>
      <c r="L20" s="20">
        <v>0</v>
      </c>
      <c r="M20" s="20">
        <v>0</v>
      </c>
    </row>
    <row r="21" spans="1:13">
      <c r="A21" s="23" t="s">
        <v>37</v>
      </c>
      <c r="B21" s="8" t="s">
        <v>2</v>
      </c>
      <c r="C21" s="8" t="s">
        <v>2</v>
      </c>
      <c r="D21" s="8" t="s">
        <v>2</v>
      </c>
      <c r="E21" s="8" t="s">
        <v>2</v>
      </c>
      <c r="F21" s="8" t="s">
        <v>2</v>
      </c>
      <c r="G21" s="8" t="s">
        <v>2</v>
      </c>
      <c r="H21" s="8" t="s">
        <v>2</v>
      </c>
      <c r="I21" s="8" t="s">
        <v>2</v>
      </c>
      <c r="J21" s="8" t="s">
        <v>2</v>
      </c>
      <c r="K21" s="8" t="s">
        <v>2</v>
      </c>
      <c r="L21" s="8" t="s">
        <v>2</v>
      </c>
      <c r="M21" s="9" t="s">
        <v>2</v>
      </c>
    </row>
    <row r="22" spans="1:13">
      <c r="A22" s="22" t="s">
        <v>38</v>
      </c>
      <c r="B22" s="22" t="s">
        <v>39</v>
      </c>
      <c r="C22" s="18" t="s">
        <v>40</v>
      </c>
      <c r="D22" s="19" t="s">
        <v>33</v>
      </c>
      <c r="E22" s="19">
        <v>3</v>
      </c>
      <c r="F22" s="20">
        <v>55</v>
      </c>
      <c r="G22" s="21">
        <v>1</v>
      </c>
      <c r="H22" s="21">
        <v>1</v>
      </c>
      <c r="I22" s="20">
        <f>ROUND(F22-((F22*J22)/100),2)</f>
        <v>55</v>
      </c>
      <c r="J22" s="20">
        <v>0</v>
      </c>
      <c r="K22" s="20">
        <f>ROUND(((ROUND(F22-((F22 * J22)/100),2) * H22 * 36)/1),2)</f>
        <v>1980</v>
      </c>
      <c r="L22" s="20">
        <v>55</v>
      </c>
      <c r="M22" s="20">
        <v>0</v>
      </c>
    </row>
    <row r="23" spans="1:13">
      <c r="A23" s="22" t="s">
        <v>41</v>
      </c>
      <c r="B23" s="22" t="s">
        <v>31</v>
      </c>
      <c r="C23" s="18" t="s">
        <v>42</v>
      </c>
      <c r="D23" s="19" t="s">
        <v>33</v>
      </c>
      <c r="E23" s="19">
        <v>3</v>
      </c>
      <c r="F23" s="20">
        <v>0</v>
      </c>
      <c r="G23" s="21">
        <v>1</v>
      </c>
      <c r="H23" s="21">
        <v>1</v>
      </c>
      <c r="I23" s="20">
        <f>ROUND(F23-((F23*J23)/100),2)</f>
        <v>0</v>
      </c>
      <c r="J23" s="20">
        <v>0</v>
      </c>
      <c r="K23" s="20">
        <f>ROUND(((ROUND(F23-((F23 * J23)/100),2) * H23 * 36)/1),2)</f>
        <v>0</v>
      </c>
      <c r="L23" s="20">
        <v>0</v>
      </c>
      <c r="M23" s="20">
        <v>0</v>
      </c>
    </row>
    <row r="24" spans="1:13">
      <c r="A24" s="22" t="s">
        <v>43</v>
      </c>
      <c r="B24" s="22" t="s">
        <v>39</v>
      </c>
      <c r="C24" s="18" t="s">
        <v>44</v>
      </c>
      <c r="D24" s="19" t="s">
        <v>33</v>
      </c>
      <c r="E24" s="19">
        <v>3</v>
      </c>
      <c r="F24" s="20">
        <v>0</v>
      </c>
      <c r="G24" s="21">
        <v>1</v>
      </c>
      <c r="H24" s="21">
        <v>1</v>
      </c>
      <c r="I24" s="20">
        <f>ROUND(F24-((F24*J24)/100),2)</f>
        <v>0</v>
      </c>
      <c r="J24" s="20">
        <v>0</v>
      </c>
      <c r="K24" s="20">
        <f>ROUND(((ROUND(F24-((F24 * J24)/100),2) * H24 * 36)/1),2)</f>
        <v>0</v>
      </c>
      <c r="L24" s="20">
        <v>0</v>
      </c>
      <c r="M24" s="20">
        <v>0</v>
      </c>
    </row>
    <row r="25" spans="1:13">
      <c r="A25" s="22" t="s">
        <v>45</v>
      </c>
      <c r="B25" s="22" t="s">
        <v>31</v>
      </c>
      <c r="C25" s="18" t="s">
        <v>46</v>
      </c>
      <c r="D25" s="19" t="s">
        <v>33</v>
      </c>
      <c r="E25" s="19">
        <v>3</v>
      </c>
      <c r="F25" s="24">
        <v>0</v>
      </c>
      <c r="G25" s="21">
        <v>1</v>
      </c>
      <c r="H25" s="21">
        <v>1</v>
      </c>
      <c r="I25" s="24">
        <f>ROUND(F25-((F25*J25)/100),4)</f>
        <v>0</v>
      </c>
      <c r="J25" s="20">
        <v>0</v>
      </c>
      <c r="K25" s="20">
        <f>ROUND(((ROUND(F25-((F25 * J25)/100),2) * H25 * 36)/1),2)</f>
        <v>0</v>
      </c>
      <c r="L25" s="20">
        <v>0</v>
      </c>
      <c r="M25" s="20">
        <v>0</v>
      </c>
    </row>
    <row r="26" spans="1:13">
      <c r="A26" s="22" t="s">
        <v>47</v>
      </c>
      <c r="B26" s="22" t="s">
        <v>31</v>
      </c>
      <c r="C26" s="18" t="s">
        <v>48</v>
      </c>
      <c r="D26" s="19" t="s">
        <v>33</v>
      </c>
      <c r="E26" s="19">
        <v>20</v>
      </c>
      <c r="F26" s="20">
        <v>6830.43</v>
      </c>
      <c r="G26" s="21" t="s">
        <v>2</v>
      </c>
      <c r="H26" s="21">
        <v>1</v>
      </c>
      <c r="I26" s="20">
        <f>ROUND(F26-((F26*J26)/100),2)</f>
        <v>6830.43</v>
      </c>
      <c r="J26" s="20">
        <v>0</v>
      </c>
      <c r="K26" s="20">
        <f>ROUND((H26 * I26),2)</f>
        <v>6830.43</v>
      </c>
      <c r="L26" s="20">
        <v>6830.43</v>
      </c>
      <c r="M26" s="20">
        <v>0</v>
      </c>
    </row>
    <row r="27" spans="1:13">
      <c r="A27" s="22" t="s">
        <v>49</v>
      </c>
      <c r="B27" s="22" t="s">
        <v>31</v>
      </c>
      <c r="C27" s="25" t="s">
        <v>50</v>
      </c>
      <c r="D27" s="26">
        <v>36</v>
      </c>
      <c r="E27" s="26" t="s">
        <v>34</v>
      </c>
      <c r="F27" s="27">
        <v>3280.95</v>
      </c>
      <c r="G27" s="28" t="s">
        <v>2</v>
      </c>
      <c r="H27" s="28">
        <v>1</v>
      </c>
      <c r="I27" s="27">
        <f>ROUND(F27-((F27*J27)/100),2)</f>
        <v>3280.95</v>
      </c>
      <c r="J27" s="27">
        <v>0</v>
      </c>
      <c r="K27" s="27">
        <f>ROUND((H27 * I27),2)</f>
        <v>3280.95</v>
      </c>
      <c r="L27" s="27">
        <v>0</v>
      </c>
      <c r="M27" s="20">
        <v>0</v>
      </c>
    </row>
    <row r="28" spans="1:13">
      <c r="A28" s="22" t="s">
        <v>51</v>
      </c>
      <c r="B28" s="22" t="s">
        <v>31</v>
      </c>
      <c r="C28" s="18" t="s">
        <v>52</v>
      </c>
      <c r="D28" s="19" t="s">
        <v>33</v>
      </c>
      <c r="E28" s="19">
        <v>14</v>
      </c>
      <c r="F28" s="20">
        <v>0</v>
      </c>
      <c r="G28" s="21" t="s">
        <v>2</v>
      </c>
      <c r="H28" s="21">
        <v>1</v>
      </c>
      <c r="I28" s="20">
        <f>ROUND(F28-((F28*J28)/100),2)</f>
        <v>0</v>
      </c>
      <c r="J28" s="20">
        <v>0</v>
      </c>
      <c r="K28" s="20">
        <f>ROUND((H28 * I28),2)</f>
        <v>0</v>
      </c>
      <c r="L28" s="20">
        <v>0</v>
      </c>
      <c r="M28" s="20">
        <v>0</v>
      </c>
    </row>
    <row r="29" spans="1:13">
      <c r="A29" s="22" t="s">
        <v>53</v>
      </c>
      <c r="B29" s="22" t="s">
        <v>31</v>
      </c>
      <c r="C29" s="18" t="s">
        <v>54</v>
      </c>
      <c r="D29" s="19" t="s">
        <v>33</v>
      </c>
      <c r="E29" s="19">
        <v>20</v>
      </c>
      <c r="F29" s="20">
        <v>91.5</v>
      </c>
      <c r="G29" s="21" t="s">
        <v>2</v>
      </c>
      <c r="H29" s="21">
        <v>1</v>
      </c>
      <c r="I29" s="20">
        <f>ROUND(F29-((F29*J29)/100),2)</f>
        <v>91.5</v>
      </c>
      <c r="J29" s="20">
        <v>0</v>
      </c>
      <c r="K29" s="20">
        <f>ROUND((H29 * I29),2)</f>
        <v>91.5</v>
      </c>
      <c r="L29" s="20">
        <v>91.5</v>
      </c>
      <c r="M29" s="20">
        <v>0</v>
      </c>
    </row>
    <row r="30" spans="1:13">
      <c r="A30" s="22" t="s">
        <v>55</v>
      </c>
      <c r="B30" s="22" t="s">
        <v>31</v>
      </c>
      <c r="C30" s="18" t="s">
        <v>56</v>
      </c>
      <c r="D30" s="19" t="s">
        <v>33</v>
      </c>
      <c r="E30" s="19">
        <v>20</v>
      </c>
      <c r="F30" s="20">
        <v>371.92</v>
      </c>
      <c r="G30" s="21" t="s">
        <v>2</v>
      </c>
      <c r="H30" s="21">
        <v>1</v>
      </c>
      <c r="I30" s="20">
        <f>ROUND(F30-((F30*J30)/100),2)</f>
        <v>371.92</v>
      </c>
      <c r="J30" s="20">
        <v>0</v>
      </c>
      <c r="K30" s="20">
        <f>ROUND((H30 * I30),2)</f>
        <v>371.92</v>
      </c>
      <c r="L30" s="20">
        <v>371.92</v>
      </c>
      <c r="M30" s="20">
        <v>0</v>
      </c>
    </row>
    <row r="31" spans="1:13">
      <c r="A31" s="22" t="s">
        <v>57</v>
      </c>
      <c r="B31" s="22" t="s">
        <v>31</v>
      </c>
      <c r="C31" s="18" t="s">
        <v>58</v>
      </c>
      <c r="D31" s="19" t="s">
        <v>33</v>
      </c>
      <c r="E31" s="19">
        <v>20</v>
      </c>
      <c r="F31" s="20">
        <v>195.84</v>
      </c>
      <c r="G31" s="21" t="s">
        <v>2</v>
      </c>
      <c r="H31" s="21">
        <v>1</v>
      </c>
      <c r="I31" s="20">
        <f>ROUND(F31-((F31*J31)/100),2)</f>
        <v>195.84</v>
      </c>
      <c r="J31" s="20">
        <v>0</v>
      </c>
      <c r="K31" s="20">
        <f>ROUND((H31 * I31),2)</f>
        <v>195.84</v>
      </c>
      <c r="L31" s="20">
        <v>195.84</v>
      </c>
      <c r="M31" s="20">
        <v>0</v>
      </c>
    </row>
    <row r="32" spans="1:13">
      <c r="A32" s="22" t="s">
        <v>59</v>
      </c>
      <c r="B32" s="22" t="s">
        <v>31</v>
      </c>
      <c r="C32" s="18" t="s">
        <v>60</v>
      </c>
      <c r="D32" s="19" t="s">
        <v>33</v>
      </c>
      <c r="E32" s="19">
        <v>20</v>
      </c>
      <c r="F32" s="20">
        <v>0</v>
      </c>
      <c r="G32" s="21" t="s">
        <v>2</v>
      </c>
      <c r="H32" s="21">
        <v>8</v>
      </c>
      <c r="I32" s="20">
        <f>ROUND(F32-((F32*J32)/100),2)</f>
        <v>0</v>
      </c>
      <c r="J32" s="20">
        <v>0</v>
      </c>
      <c r="K32" s="20">
        <f>ROUND((H32 * I32),2)</f>
        <v>0</v>
      </c>
      <c r="L32" s="20">
        <v>0</v>
      </c>
      <c r="M32" s="20">
        <v>0</v>
      </c>
    </row>
    <row r="33" spans="1:13">
      <c r="A33" s="22" t="s">
        <v>61</v>
      </c>
      <c r="B33" s="22" t="s">
        <v>31</v>
      </c>
      <c r="C33" s="18" t="s">
        <v>62</v>
      </c>
      <c r="D33" s="19" t="s">
        <v>33</v>
      </c>
      <c r="E33" s="19">
        <v>20</v>
      </c>
      <c r="F33" s="20">
        <v>0</v>
      </c>
      <c r="G33" s="21" t="s">
        <v>2</v>
      </c>
      <c r="H33" s="21">
        <v>1</v>
      </c>
      <c r="I33" s="20">
        <f>ROUND(F33-((F33*J33)/100),2)</f>
        <v>0</v>
      </c>
      <c r="J33" s="20">
        <v>0</v>
      </c>
      <c r="K33" s="20">
        <f>ROUND((H33 * I33),2)</f>
        <v>0</v>
      </c>
      <c r="L33" s="20">
        <v>0</v>
      </c>
      <c r="M33" s="20">
        <v>0</v>
      </c>
    </row>
    <row r="34" spans="1:13">
      <c r="A34" s="22" t="s">
        <v>63</v>
      </c>
      <c r="B34" s="22" t="s">
        <v>31</v>
      </c>
      <c r="C34" s="18" t="s">
        <v>64</v>
      </c>
      <c r="D34" s="19" t="s">
        <v>33</v>
      </c>
      <c r="E34" s="19">
        <v>20</v>
      </c>
      <c r="F34" s="20">
        <v>0</v>
      </c>
      <c r="G34" s="21" t="s">
        <v>2</v>
      </c>
      <c r="H34" s="21">
        <v>31</v>
      </c>
      <c r="I34" s="20">
        <f>ROUND(F34-((F34*J34)/100),2)</f>
        <v>0</v>
      </c>
      <c r="J34" s="20">
        <v>0</v>
      </c>
      <c r="K34" s="20">
        <f>ROUND((H34 * I34),2)</f>
        <v>0</v>
      </c>
      <c r="L34" s="20">
        <v>0</v>
      </c>
      <c r="M34" s="20">
        <v>0</v>
      </c>
    </row>
    <row r="35" spans="1:13">
      <c r="A35" s="22" t="s">
        <v>65</v>
      </c>
      <c r="B35" s="22" t="s">
        <v>31</v>
      </c>
      <c r="C35" s="18" t="s">
        <v>66</v>
      </c>
      <c r="D35" s="19" t="s">
        <v>33</v>
      </c>
      <c r="E35" s="19">
        <v>20</v>
      </c>
      <c r="F35" s="20">
        <v>0</v>
      </c>
      <c r="G35" s="21" t="s">
        <v>2</v>
      </c>
      <c r="H35" s="21">
        <v>1</v>
      </c>
      <c r="I35" s="20">
        <f>ROUND(F35-((F35*J35)/100),2)</f>
        <v>0</v>
      </c>
      <c r="J35" s="20">
        <v>0</v>
      </c>
      <c r="K35" s="20">
        <f>ROUND((H35 * I35),2)</f>
        <v>0</v>
      </c>
      <c r="L35" s="20">
        <v>0</v>
      </c>
      <c r="M35" s="20">
        <v>0</v>
      </c>
    </row>
    <row r="36" spans="1:13">
      <c r="A36" s="22" t="s">
        <v>67</v>
      </c>
      <c r="B36" s="22" t="s">
        <v>31</v>
      </c>
      <c r="C36" s="18" t="s">
        <v>68</v>
      </c>
      <c r="D36" s="19" t="s">
        <v>33</v>
      </c>
      <c r="E36" s="19">
        <v>20</v>
      </c>
      <c r="F36" s="20">
        <v>0</v>
      </c>
      <c r="G36" s="21" t="s">
        <v>2</v>
      </c>
      <c r="H36" s="21">
        <v>1</v>
      </c>
      <c r="I36" s="20">
        <f>ROUND(F36-((F36*J36)/100),2)</f>
        <v>0</v>
      </c>
      <c r="J36" s="20">
        <v>0</v>
      </c>
      <c r="K36" s="20">
        <f>ROUND((H36 * I36),2)</f>
        <v>0</v>
      </c>
      <c r="L36" s="20">
        <v>0</v>
      </c>
      <c r="M36" s="20">
        <v>0</v>
      </c>
    </row>
    <row r="37" spans="1:13">
      <c r="A37" s="22" t="s">
        <v>69</v>
      </c>
      <c r="B37" s="22" t="s">
        <v>31</v>
      </c>
      <c r="C37" s="18" t="s">
        <v>70</v>
      </c>
      <c r="D37" s="19" t="s">
        <v>33</v>
      </c>
      <c r="E37" s="19">
        <v>20</v>
      </c>
      <c r="F37" s="20">
        <v>0</v>
      </c>
      <c r="G37" s="21" t="s">
        <v>2</v>
      </c>
      <c r="H37" s="21">
        <v>1</v>
      </c>
      <c r="I37" s="20">
        <f>ROUND(F37-((F37*J37)/100),2)</f>
        <v>0</v>
      </c>
      <c r="J37" s="20">
        <v>0</v>
      </c>
      <c r="K37" s="20">
        <f>ROUND((H37 * I37),2)</f>
        <v>0</v>
      </c>
      <c r="L37" s="20">
        <v>0</v>
      </c>
      <c r="M37" s="20">
        <v>0</v>
      </c>
    </row>
    <row r="38" spans="1:13">
      <c r="A38" s="22" t="s">
        <v>71</v>
      </c>
      <c r="B38" s="22" t="s">
        <v>31</v>
      </c>
      <c r="C38" s="18" t="s">
        <v>72</v>
      </c>
      <c r="D38" s="19" t="s">
        <v>33</v>
      </c>
      <c r="E38" s="19">
        <v>20</v>
      </c>
      <c r="F38" s="20">
        <v>0</v>
      </c>
      <c r="G38" s="21" t="s">
        <v>2</v>
      </c>
      <c r="H38" s="21">
        <v>1</v>
      </c>
      <c r="I38" s="20">
        <f>ROUND(F38-((F38*J38)/100),2)</f>
        <v>0</v>
      </c>
      <c r="J38" s="20">
        <v>0</v>
      </c>
      <c r="K38" s="20">
        <f>ROUND((H38 * I38),2)</f>
        <v>0</v>
      </c>
      <c r="L38" s="20">
        <v>0</v>
      </c>
      <c r="M38" s="20">
        <v>0</v>
      </c>
    </row>
    <row r="39" spans="1:13">
      <c r="A39" s="22" t="s">
        <v>73</v>
      </c>
      <c r="B39" s="22" t="s">
        <v>31</v>
      </c>
      <c r="C39" s="18" t="s">
        <v>74</v>
      </c>
      <c r="D39" s="19" t="s">
        <v>33</v>
      </c>
      <c r="E39" s="19">
        <v>20</v>
      </c>
      <c r="F39" s="20">
        <v>0</v>
      </c>
      <c r="G39" s="21" t="s">
        <v>2</v>
      </c>
      <c r="H39" s="21">
        <v>1</v>
      </c>
      <c r="I39" s="20">
        <f>ROUND(F39-((F39*J39)/100),2)</f>
        <v>0</v>
      </c>
      <c r="J39" s="20">
        <v>0</v>
      </c>
      <c r="K39" s="20">
        <f>ROUND((H39 * I39),2)</f>
        <v>0</v>
      </c>
      <c r="L39" s="20">
        <v>0</v>
      </c>
      <c r="M39" s="20">
        <v>0</v>
      </c>
    </row>
    <row r="40" spans="1:13">
      <c r="A40" s="22" t="s">
        <v>75</v>
      </c>
      <c r="B40" s="22" t="s">
        <v>31</v>
      </c>
      <c r="C40" s="18" t="s">
        <v>76</v>
      </c>
      <c r="D40" s="19" t="s">
        <v>33</v>
      </c>
      <c r="E40" s="19">
        <v>20</v>
      </c>
      <c r="F40" s="20">
        <v>0</v>
      </c>
      <c r="G40" s="21" t="s">
        <v>2</v>
      </c>
      <c r="H40" s="21">
        <v>1</v>
      </c>
      <c r="I40" s="20">
        <f>ROUND(F40-((F40*J40)/100),2)</f>
        <v>0</v>
      </c>
      <c r="J40" s="20">
        <v>0</v>
      </c>
      <c r="K40" s="20">
        <f>ROUND((H40 * I40),2)</f>
        <v>0</v>
      </c>
      <c r="L40" s="20">
        <v>0</v>
      </c>
      <c r="M40" s="20">
        <v>0</v>
      </c>
    </row>
    <row r="41" spans="1:13">
      <c r="A41" s="22" t="s">
        <v>77</v>
      </c>
      <c r="B41" s="22" t="s">
        <v>31</v>
      </c>
      <c r="C41" s="18" t="s">
        <v>78</v>
      </c>
      <c r="D41" s="19" t="s">
        <v>33</v>
      </c>
      <c r="E41" s="19">
        <v>20</v>
      </c>
      <c r="F41" s="20">
        <v>6623.05</v>
      </c>
      <c r="G41" s="21" t="s">
        <v>2</v>
      </c>
      <c r="H41" s="21">
        <v>1</v>
      </c>
      <c r="I41" s="20">
        <f>ROUND(F41-((F41*J41)/100),2)</f>
        <v>6623.05</v>
      </c>
      <c r="J41" s="20">
        <v>0</v>
      </c>
      <c r="K41" s="20">
        <f>ROUND((H41 * I41),2)</f>
        <v>6623.05</v>
      </c>
      <c r="L41" s="20">
        <v>6623.05</v>
      </c>
      <c r="M41" s="20">
        <v>0</v>
      </c>
    </row>
    <row r="42" spans="1:13">
      <c r="A42" s="22" t="s">
        <v>79</v>
      </c>
      <c r="B42" s="22" t="s">
        <v>31</v>
      </c>
      <c r="C42" s="18" t="s">
        <v>80</v>
      </c>
      <c r="D42" s="19" t="s">
        <v>33</v>
      </c>
      <c r="E42" s="19">
        <v>20</v>
      </c>
      <c r="F42" s="20">
        <v>12454.57</v>
      </c>
      <c r="G42" s="21" t="s">
        <v>2</v>
      </c>
      <c r="H42" s="21">
        <v>1</v>
      </c>
      <c r="I42" s="20">
        <f>ROUND(F42-((F42*J42)/100),2)</f>
        <v>12454.57</v>
      </c>
      <c r="J42" s="20">
        <v>0</v>
      </c>
      <c r="K42" s="20">
        <f>ROUND((H42 * I42),2)</f>
        <v>12454.57</v>
      </c>
      <c r="L42" s="20">
        <v>12454.57</v>
      </c>
      <c r="M42" s="20">
        <v>0</v>
      </c>
    </row>
    <row r="43" spans="1:13">
      <c r="A43" s="22" t="s">
        <v>81</v>
      </c>
      <c r="B43" s="22" t="s">
        <v>31</v>
      </c>
      <c r="C43" s="18" t="s">
        <v>82</v>
      </c>
      <c r="D43" s="19" t="s">
        <v>33</v>
      </c>
      <c r="E43" s="19">
        <v>20</v>
      </c>
      <c r="F43" s="20">
        <v>4059.59</v>
      </c>
      <c r="G43" s="21" t="s">
        <v>2</v>
      </c>
      <c r="H43" s="21">
        <v>1</v>
      </c>
      <c r="I43" s="20">
        <f>ROUND(F43-((F43*J43)/100),2)</f>
        <v>4059.59</v>
      </c>
      <c r="J43" s="20">
        <v>0</v>
      </c>
      <c r="K43" s="20">
        <f>ROUND((H43 * I43),2)</f>
        <v>4059.59</v>
      </c>
      <c r="L43" s="20">
        <v>4059.59</v>
      </c>
      <c r="M43" s="20">
        <v>0</v>
      </c>
    </row>
    <row r="44" spans="1:13">
      <c r="A44" s="22" t="s">
        <v>83</v>
      </c>
      <c r="B44" s="22" t="s">
        <v>31</v>
      </c>
      <c r="C44" s="18" t="s">
        <v>84</v>
      </c>
      <c r="D44" s="19" t="s">
        <v>33</v>
      </c>
      <c r="E44" s="19">
        <v>42</v>
      </c>
      <c r="F44" s="20">
        <v>3408.7</v>
      </c>
      <c r="G44" s="21" t="s">
        <v>2</v>
      </c>
      <c r="H44" s="21">
        <v>1</v>
      </c>
      <c r="I44" s="20">
        <f>ROUND(F44-((F44*J44)/100),2)</f>
        <v>3408.7</v>
      </c>
      <c r="J44" s="20">
        <v>0</v>
      </c>
      <c r="K44" s="20">
        <f>ROUND((H44 * I44),2)</f>
        <v>3408.7</v>
      </c>
      <c r="L44" s="20">
        <v>3408.7</v>
      </c>
      <c r="M44" s="20">
        <v>0</v>
      </c>
    </row>
    <row r="45" spans="1:13">
      <c r="A45" s="22" t="s">
        <v>85</v>
      </c>
      <c r="B45" s="22" t="s">
        <v>31</v>
      </c>
      <c r="C45" s="18" t="s">
        <v>86</v>
      </c>
      <c r="D45" s="19" t="s">
        <v>33</v>
      </c>
      <c r="E45" s="19">
        <v>20</v>
      </c>
      <c r="F45" s="20">
        <v>1099.76</v>
      </c>
      <c r="G45" s="21" t="s">
        <v>2</v>
      </c>
      <c r="H45" s="21">
        <v>1</v>
      </c>
      <c r="I45" s="20">
        <f>ROUND(F45-((F45*J45)/100),2)</f>
        <v>1099.76</v>
      </c>
      <c r="J45" s="20">
        <v>0</v>
      </c>
      <c r="K45" s="20">
        <f>ROUND((H45 * I45),2)</f>
        <v>1099.76</v>
      </c>
      <c r="L45" s="20">
        <v>1099.76</v>
      </c>
      <c r="M45" s="20">
        <v>0</v>
      </c>
    </row>
    <row r="46" spans="1:13">
      <c r="A46" s="22" t="s">
        <v>87</v>
      </c>
      <c r="B46" s="22" t="s">
        <v>31</v>
      </c>
      <c r="C46" s="18" t="s">
        <v>88</v>
      </c>
      <c r="D46" s="19" t="s">
        <v>33</v>
      </c>
      <c r="E46" s="19">
        <v>20</v>
      </c>
      <c r="F46" s="20">
        <v>893.79</v>
      </c>
      <c r="G46" s="21" t="s">
        <v>2</v>
      </c>
      <c r="H46" s="21">
        <v>1</v>
      </c>
      <c r="I46" s="20">
        <f>ROUND(F46-((F46*J46)/100),2)</f>
        <v>893.79</v>
      </c>
      <c r="J46" s="20">
        <v>0</v>
      </c>
      <c r="K46" s="20">
        <f>ROUND((H46 * I46),2)</f>
        <v>893.79</v>
      </c>
      <c r="L46" s="20">
        <v>893.79</v>
      </c>
      <c r="M46" s="20">
        <v>0</v>
      </c>
    </row>
    <row r="47" spans="1:13">
      <c r="A47" s="22" t="s">
        <v>89</v>
      </c>
      <c r="B47" s="22" t="s">
        <v>31</v>
      </c>
      <c r="C47" s="18" t="s">
        <v>90</v>
      </c>
      <c r="D47" s="19" t="s">
        <v>33</v>
      </c>
      <c r="E47" s="19">
        <v>35</v>
      </c>
      <c r="F47" s="20">
        <v>0</v>
      </c>
      <c r="G47" s="21" t="s">
        <v>2</v>
      </c>
      <c r="H47" s="21">
        <v>1</v>
      </c>
      <c r="I47" s="20">
        <f>ROUND(F47-((F47*J47)/100),2)</f>
        <v>0</v>
      </c>
      <c r="J47" s="20">
        <v>0</v>
      </c>
      <c r="K47" s="20">
        <f>ROUND((H47 * I47),2)</f>
        <v>0</v>
      </c>
      <c r="L47" s="20">
        <v>0</v>
      </c>
      <c r="M47" s="20">
        <v>0</v>
      </c>
    </row>
    <row r="48" spans="1:13">
      <c r="A48" s="2" t="s">
        <v>2</v>
      </c>
      <c r="B48" s="2" t="s">
        <v>2</v>
      </c>
      <c r="C48" s="2" t="s">
        <v>2</v>
      </c>
      <c r="D48" s="2" t="s">
        <v>2</v>
      </c>
      <c r="E48" s="2" t="s">
        <v>2</v>
      </c>
      <c r="F48" s="2" t="s">
        <v>2</v>
      </c>
      <c r="G48" s="2" t="s">
        <v>2</v>
      </c>
      <c r="H48" s="2" t="s">
        <v>2</v>
      </c>
      <c r="I48" s="2" t="s">
        <v>2</v>
      </c>
      <c r="J48" s="2" t="s">
        <v>2</v>
      </c>
      <c r="K48" s="2" t="s">
        <v>2</v>
      </c>
      <c r="L48" s="2" t="s">
        <v>2</v>
      </c>
      <c r="M48" s="2" t="s">
        <v>2</v>
      </c>
    </row>
    <row r="50" spans="1:13">
      <c r="A50" s="6" t="s">
        <v>91</v>
      </c>
      <c r="B50" s="6" t="s">
        <v>2</v>
      </c>
      <c r="C50" s="11"/>
      <c r="D50" s="11"/>
      <c r="K50" s="3" t="s">
        <v>92</v>
      </c>
      <c r="M50" s="29">
        <f>(K19+K26+K28+K29+K30+K31+K32+K33+K34+K35+K36+K37+K38+K39+K40+K41+K42+K43+K44+K45+K46+K47)</f>
        <v>36029.15</v>
      </c>
    </row>
    <row r="51" spans="1:13">
      <c r="A51" s="6" t="s">
        <v>93</v>
      </c>
      <c r="B51" s="6" t="s">
        <v>2</v>
      </c>
      <c r="C51" s="11"/>
      <c r="D51" s="11"/>
      <c r="K51" s="3" t="s">
        <v>94</v>
      </c>
      <c r="M51" s="29">
        <f>(K27)</f>
        <v>3280.95</v>
      </c>
    </row>
    <row r="52" spans="1:13">
      <c r="K52" s="3" t="s">
        <v>95</v>
      </c>
      <c r="M52" s="29">
        <f>(K20+K22+K23+K24+K25)</f>
        <v>1980</v>
      </c>
    </row>
    <row r="53" spans="1:13">
      <c r="K53" s="3" t="s">
        <v>96</v>
      </c>
      <c r="M53" s="30">
        <f>(M51+M50+M52)</f>
        <v>41290.1</v>
      </c>
    </row>
    <row r="54" spans="1:13">
      <c r="A54" s="6" t="s">
        <v>97</v>
      </c>
      <c r="B54" s="11"/>
      <c r="C54" s="11"/>
      <c r="D54" s="11"/>
    </row>
    <row r="55" spans="1:13">
      <c r="A55" s="10" t="s">
        <v>2</v>
      </c>
      <c r="B55" s="11"/>
      <c r="C55" s="11"/>
      <c r="D55" s="11"/>
      <c r="E55" s="11"/>
      <c r="F55" s="11"/>
      <c r="G55" s="11"/>
      <c r="H55" s="11"/>
      <c r="I55" s="11"/>
      <c r="K55" s="6" t="s">
        <v>98</v>
      </c>
      <c r="L55" s="11"/>
      <c r="M55" s="1" t="s">
        <v>2</v>
      </c>
    </row>
    <row r="56" spans="1:13" ht="21.95" customHeight="1">
      <c r="A56" s="11"/>
      <c r="B56" s="11"/>
      <c r="C56" s="11"/>
      <c r="D56" s="11"/>
      <c r="E56" s="11"/>
      <c r="F56" s="11"/>
      <c r="G56" s="11"/>
      <c r="H56" s="11"/>
      <c r="I56" s="11"/>
      <c r="M56" s="31" t="s">
        <v>1</v>
      </c>
    </row>
    <row r="57" spans="1:13">
      <c r="A57" s="2" t="s">
        <v>2</v>
      </c>
      <c r="B57" s="2" t="s">
        <v>2</v>
      </c>
      <c r="C57" s="2" t="s">
        <v>2</v>
      </c>
      <c r="D57" s="2" t="s">
        <v>2</v>
      </c>
      <c r="E57" s="2" t="s">
        <v>2</v>
      </c>
      <c r="F57" s="2" t="s">
        <v>2</v>
      </c>
      <c r="G57" s="2" t="s">
        <v>2</v>
      </c>
      <c r="H57" s="2" t="s">
        <v>2</v>
      </c>
      <c r="I57" s="2" t="s">
        <v>2</v>
      </c>
      <c r="J57" s="2" t="s">
        <v>2</v>
      </c>
      <c r="K57" s="2" t="s">
        <v>2</v>
      </c>
      <c r="L57" s="2" t="s">
        <v>2</v>
      </c>
      <c r="M57" s="2" t="s">
        <v>2</v>
      </c>
    </row>
    <row r="58" spans="1:13">
      <c r="A58" s="32" t="s">
        <v>99</v>
      </c>
      <c r="B58" s="11"/>
      <c r="C58" s="11"/>
      <c r="D58" s="11"/>
      <c r="E58" s="11"/>
      <c r="F58" s="11"/>
      <c r="G58" s="11"/>
      <c r="H58" s="11"/>
      <c r="I58" s="11"/>
      <c r="J58" s="11"/>
      <c r="K58" s="11"/>
      <c r="L58" s="11"/>
      <c r="M58" s="11"/>
    </row>
    <row r="59" spans="1:13" ht="12.75" customHeight="1">
      <c r="A59" s="11"/>
      <c r="B59" s="11"/>
      <c r="C59" s="11"/>
      <c r="D59" s="11"/>
      <c r="E59" s="11"/>
      <c r="F59" s="11"/>
      <c r="G59" s="11"/>
      <c r="H59" s="11"/>
      <c r="I59" s="11"/>
      <c r="J59" s="11"/>
      <c r="K59" s="11"/>
      <c r="L59" s="11"/>
      <c r="M59" s="11"/>
    </row>
    <row r="60" spans="1:13" ht="12.75" customHeight="1">
      <c r="A60" s="11"/>
      <c r="B60" s="11"/>
      <c r="C60" s="11"/>
      <c r="D60" s="11"/>
      <c r="E60" s="11"/>
      <c r="F60" s="11"/>
      <c r="G60" s="11"/>
      <c r="H60" s="11"/>
      <c r="I60" s="11"/>
      <c r="J60" s="11"/>
      <c r="K60" s="11"/>
      <c r="L60" s="11"/>
      <c r="M60" s="11"/>
    </row>
  </sheetData>
  <mergeCells count="23">
    <mergeCell ref="A51:D51"/>
    <mergeCell ref="A54:D54"/>
    <mergeCell ref="A55:I56"/>
    <mergeCell ref="K55:L55"/>
    <mergeCell ref="A58:M60"/>
    <mergeCell ref="A11:M12"/>
    <mergeCell ref="A13:B13"/>
    <mergeCell ref="K17:M17"/>
    <mergeCell ref="A21:M21"/>
    <mergeCell ref="A50:D50"/>
    <mergeCell ref="A7:C7"/>
    <mergeCell ref="A8:C8"/>
    <mergeCell ref="L3:M3"/>
    <mergeCell ref="L4:M4"/>
    <mergeCell ref="L5:M5"/>
    <mergeCell ref="L6:M6"/>
    <mergeCell ref="L7:M7"/>
    <mergeCell ref="L8:M8"/>
    <mergeCell ref="A2:M2"/>
    <mergeCell ref="A3:C3"/>
    <mergeCell ref="A4:C4"/>
    <mergeCell ref="A5:C5"/>
    <mergeCell ref="A6:C6"/>
  </mergeCells>
  <printOptions horizontalCentered="1"/>
  <pageMargins left="0.7" right="0.7" top="0.75" bottom="0.75" header="0.3" footer="0.3"/>
  <pageSetup paperSize="9" orientation="landscape"/>
  <headerFooter>
    <oddFooter>&amp;C_x000D_&amp;1#&amp;"Arial"&amp;8&amp;K2E404D Sensitivity Label: General</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Josias Sekhebesa</cp:lastModifiedBy>
  <cp:revision/>
  <dcterms:created xsi:type="dcterms:W3CDTF">2025-10-14T07:17:42Z</dcterms:created>
  <dcterms:modified xsi:type="dcterms:W3CDTF">2025-10-17T12:38:42Z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37e5cc-ed1f-4ad6-a881-35c0f1c6f3d8_Enabled">
    <vt:lpwstr>true</vt:lpwstr>
  </property>
  <property fmtid="{D5CDD505-2E9C-101B-9397-08002B2CF9AE}" pid="3" name="MSIP_Label_4637e5cc-ed1f-4ad6-a881-35c0f1c6f3d8_SetDate">
    <vt:lpwstr>2025-10-17T12:28:32Z</vt:lpwstr>
  </property>
  <property fmtid="{D5CDD505-2E9C-101B-9397-08002B2CF9AE}" pid="4" name="MSIP_Label_4637e5cc-ed1f-4ad6-a881-35c0f1c6f3d8_Method">
    <vt:lpwstr>Standard</vt:lpwstr>
  </property>
  <property fmtid="{D5CDD505-2E9C-101B-9397-08002B2CF9AE}" pid="5" name="MSIP_Label_4637e5cc-ed1f-4ad6-a881-35c0f1c6f3d8_Name">
    <vt:lpwstr>General</vt:lpwstr>
  </property>
  <property fmtid="{D5CDD505-2E9C-101B-9397-08002B2CF9AE}" pid="6" name="MSIP_Label_4637e5cc-ed1f-4ad6-a881-35c0f1c6f3d8_SiteId">
    <vt:lpwstr>e3cf3c98-a978-465f-8254-9d541eeea73c</vt:lpwstr>
  </property>
  <property fmtid="{D5CDD505-2E9C-101B-9397-08002B2CF9AE}" pid="7" name="MSIP_Label_4637e5cc-ed1f-4ad6-a881-35c0f1c6f3d8_ActionId">
    <vt:lpwstr>5b8b221a-10d9-4652-91c8-8299102e083a</vt:lpwstr>
  </property>
  <property fmtid="{D5CDD505-2E9C-101B-9397-08002B2CF9AE}" pid="8" name="MSIP_Label_4637e5cc-ed1f-4ad6-a881-35c0f1c6f3d8_ContentBits">
    <vt:lpwstr>2</vt:lpwstr>
  </property>
  <property fmtid="{D5CDD505-2E9C-101B-9397-08002B2CF9AE}" pid="9" name="MSIP_Label_4637e5cc-ed1f-4ad6-a881-35c0f1c6f3d8_Tag">
    <vt:lpwstr>10, 3, 0, 2</vt:lpwstr>
  </property>
</Properties>
</file>