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xr:revisionPtr revIDLastSave="2" documentId="11_FBB16D90B1F39563E0395CDA8374764E5F76CB0D" xr6:coauthVersionLast="47" xr6:coauthVersionMax="47" xr10:uidLastSave="{FB275329-9A64-4C19-B224-EAD061F90993}"/>
  <bookViews>
    <workbookView xWindow="0" yWindow="0" windowWidth="0" windowHeight="0" xr2:uid="{00000000-000D-0000-FFFF-FFFF00000000}"/>
  </bookViews>
  <sheets>
    <sheet name="Price Estimate"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1" l="1"/>
  <c r="K41" i="1" s="1"/>
  <c r="I40" i="1"/>
  <c r="K40" i="1" s="1"/>
  <c r="I39" i="1"/>
  <c r="K39" i="1" s="1"/>
  <c r="I38" i="1"/>
  <c r="K38" i="1" s="1"/>
  <c r="I37" i="1"/>
  <c r="K37" i="1" s="1"/>
  <c r="I36" i="1"/>
  <c r="K36" i="1" s="1"/>
  <c r="I35" i="1"/>
  <c r="K35" i="1" s="1"/>
  <c r="I34" i="1"/>
  <c r="K34" i="1" s="1"/>
  <c r="I33" i="1"/>
  <c r="K33" i="1" s="1"/>
  <c r="I32" i="1"/>
  <c r="K32" i="1" s="1"/>
  <c r="I31" i="1"/>
  <c r="K31" i="1" s="1"/>
  <c r="I30" i="1"/>
  <c r="K30" i="1" s="1"/>
  <c r="I29" i="1"/>
  <c r="K29" i="1" s="1"/>
  <c r="I28" i="1"/>
  <c r="K28" i="1" s="1"/>
  <c r="I27" i="1"/>
  <c r="K27" i="1" s="1"/>
  <c r="I26" i="1"/>
  <c r="K26" i="1" s="1"/>
  <c r="I25" i="1"/>
  <c r="K25" i="1" s="1"/>
  <c r="I24" i="1"/>
  <c r="K24" i="1" s="1"/>
  <c r="I23" i="1"/>
  <c r="K23" i="1" s="1"/>
  <c r="I22" i="1"/>
  <c r="K22" i="1" s="1"/>
  <c r="K46" i="1" s="1"/>
  <c r="I21" i="1"/>
  <c r="K21" i="1" s="1"/>
  <c r="I20" i="1"/>
  <c r="K20" i="1" s="1"/>
  <c r="K45" i="1" s="1"/>
  <c r="I19" i="1"/>
  <c r="K19" i="1" s="1"/>
  <c r="K44" i="1" s="1"/>
  <c r="K47" i="1" l="1"/>
</calcChain>
</file>

<file path=xl/sharedStrings.xml><?xml version="1.0" encoding="utf-8"?>
<sst xmlns="http://schemas.openxmlformats.org/spreadsheetml/2006/main" count="193" uniqueCount="87">
  <si>
    <t>Price Estimate</t>
  </si>
  <si>
    <t>NTT Data</t>
  </si>
  <si>
    <t/>
  </si>
  <si>
    <t>Dimension Data Saudi Arabia</t>
  </si>
  <si>
    <t>RIYADH,RIYADH</t>
  </si>
  <si>
    <t>RIYADH, 0-0</t>
  </si>
  <si>
    <t>SAUDI ARABIA</t>
  </si>
  <si>
    <t>Ph no:+966 011 252 3099</t>
  </si>
  <si>
    <t>Price Estimate for planning and information purposes only and is not a binding offer from Cisco.</t>
  </si>
  <si>
    <r>
      <rPr>
        <b/>
        <sz val="9"/>
        <color indexed="8"/>
        <rFont val="Calibri"/>
      </rPr>
      <t>Date:</t>
    </r>
    <r>
      <rPr>
        <sz val="9"/>
        <color indexed="8"/>
        <rFont val="Calibri"/>
      </rPr>
      <t xml:space="preserve"> 14-Oct-2025</t>
    </r>
  </si>
  <si>
    <t>Estimate ID:</t>
  </si>
  <si>
    <t>OG164161387AE</t>
  </si>
  <si>
    <t>Deal ID:</t>
  </si>
  <si>
    <t>NA</t>
  </si>
  <si>
    <t>Price List:</t>
  </si>
  <si>
    <t>Global Price List Emerging (USD)</t>
  </si>
  <si>
    <t>All prices are shown in USD</t>
  </si>
  <si>
    <t>Part Number</t>
  </si>
  <si>
    <t>Smart Account Mandatory</t>
  </si>
  <si>
    <t>Description</t>
  </si>
  <si>
    <t>Service Duration (Months)</t>
  </si>
  <si>
    <t>Estimated Lead Time (Days)</t>
  </si>
  <si>
    <t>Unit List Price</t>
  </si>
  <si>
    <t>Pricing Term</t>
  </si>
  <si>
    <t>Qty</t>
  </si>
  <si>
    <t>Unit Net Price</t>
  </si>
  <si>
    <t>Disc(%)</t>
  </si>
  <si>
    <t>Extended Net Price</t>
  </si>
  <si>
    <t>C9300L-24UXG-4X-A</t>
  </si>
  <si>
    <t>-</t>
  </si>
  <si>
    <t>Catalyst 9300L 24p, 8mGig, Network Advantage ,4x10G Uplink</t>
  </si>
  <si>
    <t>---</t>
  </si>
  <si>
    <t>CON-SNT-C93024GA</t>
  </si>
  <si>
    <t>SNTC-8X5XNBD Catalyst 9300L 24p, 8mGig, Network Advan</t>
  </si>
  <si>
    <t>N/A</t>
  </si>
  <si>
    <t>C9300L-DNA-A-24</t>
  </si>
  <si>
    <t>Yes</t>
  </si>
  <si>
    <t>C9300L Cisco DNA Advantage, 24-port Term Licenses</t>
  </si>
  <si>
    <t>C9300L-DNA-A-24-3Y</t>
  </si>
  <si>
    <t>C9300L Cisco DNA Advantage, 24-port, 3 Year Term license</t>
  </si>
  <si>
    <t>TE-EMBEDDED-T</t>
  </si>
  <si>
    <t>Cisco ThousandEyes Enterprise Agent IBN Embedded</t>
  </si>
  <si>
    <t>TE-EMBEDDED-T-3Y</t>
  </si>
  <si>
    <t>ThousandEyes - Enterprise Agents</t>
  </si>
  <si>
    <t>D-DNAS-EXT-S-T</t>
  </si>
  <si>
    <t>Cisco DNA Spaces Extend Term License for Catalyst Switches</t>
  </si>
  <si>
    <t>D-DNAS-EXT-S-3Y</t>
  </si>
  <si>
    <t>Cisco DNA Spaces Extend for Catalyst Switching - 3Year</t>
  </si>
  <si>
    <t>S9300LUK9-179</t>
  </si>
  <si>
    <t>Cisco Catalyst 9300L XE 17.9 UNIVERSAL</t>
  </si>
  <si>
    <t>C9300L-NW-A-24</t>
  </si>
  <si>
    <t>C9300L Network Advantage, 24-port license</t>
  </si>
  <si>
    <t>TE-C9K-SW</t>
  </si>
  <si>
    <t>TE agent for IOSXE on C9K</t>
  </si>
  <si>
    <t>FAN-T2</t>
  </si>
  <si>
    <t>Cisco Type 2 Fan Module</t>
  </si>
  <si>
    <t>PWR-C1-1100WAC-P</t>
  </si>
  <si>
    <t>1100W AC 80+ platinum Config 1 Power Supply</t>
  </si>
  <si>
    <t>PWR-C1-1100WAC-P/2</t>
  </si>
  <si>
    <t>1100W AC 80+ platinum Config 1 Secondary Power Supply</t>
  </si>
  <si>
    <t>CAB-TA-UK</t>
  </si>
  <si>
    <t>United Kingdom AC Type A Power Cable</t>
  </si>
  <si>
    <t>C9300L-SSD-NONE</t>
  </si>
  <si>
    <t>No SSD Card Selected</t>
  </si>
  <si>
    <t>C9K-ACC-RBFT</t>
  </si>
  <si>
    <t>RUBBER FEET FOR TABLE TOP SETUP 9200 and 93xx</t>
  </si>
  <si>
    <t>C9K-ACC-SCR-4</t>
  </si>
  <si>
    <t>12-24 and 10-32 SCREWS FOR RACK INSTALLATION, QTY 4</t>
  </si>
  <si>
    <t>CAB-GUIDE-1RU</t>
  </si>
  <si>
    <t>1RU CABLE MANAGEMENT GUIDES 9200 and 9300</t>
  </si>
  <si>
    <t>C9300L-STACK-KIT</t>
  </si>
  <si>
    <t>Cisco Catalyst 9300L Stacking Kit</t>
  </si>
  <si>
    <t>C9300L-STACK</t>
  </si>
  <si>
    <t>Catalyst 9300L Stack Module</t>
  </si>
  <si>
    <t>STACK-T3-50CM</t>
  </si>
  <si>
    <t>C9300L 50CM Type 3 Stacking Cable used with C9300L-STACK-KIT</t>
  </si>
  <si>
    <t>NETWORK-PNP-LIC</t>
  </si>
  <si>
    <t>Network Plug-n-Play Connect for zero-touch device deployment</t>
  </si>
  <si>
    <r>
      <rPr>
        <b/>
        <sz val="9"/>
        <color indexed="8"/>
        <rFont val="Calibri"/>
      </rPr>
      <t>Valid through:</t>
    </r>
    <r>
      <rPr>
        <sz val="9"/>
        <color indexed="8"/>
        <rFont val="Calibri"/>
      </rPr>
      <t xml:space="preserve">  </t>
    </r>
  </si>
  <si>
    <t>Product Total</t>
  </si>
  <si>
    <r>
      <rPr>
        <b/>
        <sz val="9"/>
        <color indexed="8"/>
        <rFont val="Calibri"/>
      </rPr>
      <t>FOB Point:</t>
    </r>
    <r>
      <rPr>
        <sz val="9"/>
        <color indexed="8"/>
        <rFont val="Calibri"/>
      </rPr>
      <t xml:space="preserve">         None</t>
    </r>
  </si>
  <si>
    <t>Service Total :</t>
  </si>
  <si>
    <t>Subscription Total</t>
  </si>
  <si>
    <t>Total Price:</t>
  </si>
  <si>
    <t>Notes</t>
  </si>
  <si>
    <t>Signed:</t>
  </si>
  <si>
    <t>"This Price Estimate does not constitute an offer by CISCO to sell products, but is instead an invitation to issue a purchase order to CISCO until the valid date specified in this price estimate. Such a purchase order will be subject to Cisco's standard procedures, terms and conditions for the acceptance of purchase orders. This order may be subject to indirect tax (VAT, GST, sales tax or other indirect taxes), duty and freight charges even if not noted on this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</si>
</sst>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indexed="8"/>
      <name val="Calibri"/>
      <family val="2"/>
      <scheme val="minor"/>
    </font>
    <font>
      <b/>
      <sz val="16"/>
      <color indexed="8"/>
      <name val="Helvetica"/>
    </font>
    <font>
      <b/>
      <sz val="11"/>
      <color indexed="10"/>
      <name val="Helvetica"/>
    </font>
    <font>
      <b/>
      <sz val="9"/>
      <color indexed="8"/>
      <name val="Helvetica"/>
    </font>
    <font>
      <sz val="9"/>
      <color indexed="8"/>
      <name val="Helvetica"/>
    </font>
    <font>
      <sz val="7"/>
      <color indexed="8"/>
      <name val="Helvetica"/>
    </font>
    <font>
      <sz val="8"/>
      <color indexed="8"/>
      <name val="Calibri"/>
    </font>
    <font>
      <b/>
      <sz val="9"/>
      <color indexed="8"/>
      <name val="Calibri"/>
    </font>
    <font>
      <sz val="9"/>
      <color indexed="8"/>
      <name val="Calibri"/>
    </font>
  </fonts>
  <fills count="3">
    <fill>
      <patternFill patternType="none"/>
    </fill>
    <fill>
      <patternFill patternType="gray125"/>
    </fill>
    <fill>
      <patternFill patternType="solid">
        <fgColor indexed="55"/>
      </patternFill>
    </fill>
  </fills>
  <borders count="4">
    <border>
      <left/>
      <right/>
      <top/>
      <bottom/>
      <diagonal/>
    </border>
    <border>
      <left/>
      <right/>
      <top/>
      <bottom style="thin">
        <color indexed="8"/>
      </bottom>
      <diagonal/>
    </border>
    <border>
      <left/>
      <right/>
      <top/>
      <bottom style="medium">
        <color indexed="8"/>
      </bottom>
      <diagonal/>
    </border>
    <border>
      <left style="thin">
        <color indexed="22"/>
      </left>
      <right style="thin">
        <color indexed="22"/>
      </right>
      <top style="thin">
        <color indexed="22"/>
      </top>
      <bottom style="thin">
        <color indexed="22"/>
      </bottom>
      <diagonal/>
    </border>
  </borders>
  <cellStyleXfs count="1">
    <xf numFmtId="0" fontId="0" fillId="0" borderId="0"/>
  </cellStyleXfs>
  <cellXfs count="25">
    <xf numFmtId="0" fontId="0" fillId="0" borderId="0" xfId="0"/>
    <xf numFmtId="0" fontId="0" fillId="0" borderId="1" xfId="0" applyBorder="1"/>
    <xf numFmtId="0" fontId="0" fillId="0" borderId="2" xfId="0" applyBorder="1"/>
    <xf numFmtId="0" fontId="3" fillId="0" borderId="0" xfId="0" applyFont="1" applyAlignment="1">
      <alignment horizontal="left" vertical="center"/>
    </xf>
    <xf numFmtId="0" fontId="1" fillId="0" borderId="0" xfId="0" applyFont="1" applyAlignment="1">
      <alignment horizontal="center" vertical="center"/>
    </xf>
    <xf numFmtId="0" fontId="4" fillId="0" borderId="0" xfId="0" applyFont="1" applyAlignment="1">
      <alignment horizontal="left" vertical="center" wrapText="1"/>
    </xf>
    <xf numFmtId="0" fontId="3" fillId="0" borderId="0" xfId="0" applyFont="1" applyAlignment="1">
      <alignment horizontal="left" vertical="center"/>
    </xf>
    <xf numFmtId="0" fontId="2" fillId="0" borderId="0" xfId="0" applyFont="1" applyAlignment="1">
      <alignment horizontal="center" vertical="center" wrapText="1"/>
    </xf>
    <xf numFmtId="0" fontId="6" fillId="0" borderId="0" xfId="0" applyFont="1" applyAlignment="1">
      <alignment horizontal="left" vertical="top" wrapText="1"/>
    </xf>
    <xf numFmtId="0" fontId="0" fillId="0" borderId="0" xfId="0" applyAlignment="1"/>
    <xf numFmtId="0" fontId="4" fillId="0" borderId="0" xfId="0" applyFont="1" applyAlignment="1">
      <alignment horizontal="right" vertical="center"/>
    </xf>
    <xf numFmtId="0" fontId="4" fillId="0" borderId="0" xfId="0" applyFont="1" applyAlignment="1">
      <alignment horizontal="right" vertical="center"/>
    </xf>
    <xf numFmtId="0" fontId="3" fillId="2" borderId="3"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right" vertical="center" wrapText="1"/>
    </xf>
    <xf numFmtId="0" fontId="3" fillId="0" borderId="3" xfId="0" applyFont="1" applyBorder="1" applyAlignment="1">
      <alignment horizontal="left" vertical="top" wrapText="1"/>
    </xf>
    <xf numFmtId="0" fontId="4" fillId="0" borderId="3" xfId="0" applyFont="1" applyBorder="1" applyAlignment="1">
      <alignment horizontal="left" vertical="top" wrapText="1"/>
    </xf>
    <xf numFmtId="0" fontId="4" fillId="0" borderId="3" xfId="0" applyFont="1" applyBorder="1" applyAlignment="1">
      <alignment horizontal="center" vertical="center" wrapText="1"/>
    </xf>
    <xf numFmtId="4" fontId="4" fillId="0" borderId="3" xfId="0" applyNumberFormat="1" applyFont="1" applyBorder="1" applyAlignment="1">
      <alignment horizontal="right" vertical="center" wrapText="1"/>
    </xf>
    <xf numFmtId="1" fontId="4" fillId="0" borderId="3" xfId="0" applyNumberFormat="1" applyFont="1" applyBorder="1" applyAlignment="1">
      <alignment horizontal="center" vertical="center" wrapText="1"/>
    </xf>
    <xf numFmtId="0" fontId="4" fillId="0" borderId="3" xfId="0" applyFont="1" applyBorder="1" applyAlignment="1">
      <alignment horizontal="left" vertical="center" wrapText="1"/>
    </xf>
    <xf numFmtId="4" fontId="4" fillId="0" borderId="0" xfId="0" applyNumberFormat="1" applyFont="1" applyAlignment="1">
      <alignment horizontal="right" vertical="center"/>
    </xf>
    <xf numFmtId="4" fontId="3" fillId="0" borderId="0" xfId="0" applyNumberFormat="1" applyFont="1" applyAlignment="1">
      <alignment horizontal="right" vertical="center"/>
    </xf>
    <xf numFmtId="0" fontId="4" fillId="0" borderId="0" xfId="0" applyFont="1" applyAlignment="1">
      <alignment horizontal="center" vertical="center"/>
    </xf>
    <xf numFmtId="0" fontId="5"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K54"/>
  <sheetViews>
    <sheetView showGridLines="0" tabSelected="1" workbookViewId="0">
      <selection activeCell="L15" sqref="L15"/>
    </sheetView>
  </sheetViews>
  <sheetFormatPr defaultColWidth="14.85546875" defaultRowHeight="12.75" customHeight="1"/>
  <cols>
    <col min="1" max="1" width="23.42578125" customWidth="1"/>
    <col min="2" max="2" width="13.7109375" customWidth="1"/>
    <col min="3" max="3" width="31.28515625" customWidth="1"/>
    <col min="4" max="4" width="16.42578125" customWidth="1"/>
    <col min="5" max="5" width="7.85546875" customWidth="1"/>
    <col min="6" max="6" width="18.42578125" customWidth="1"/>
    <col min="7" max="8" width="9.7109375" customWidth="1"/>
    <col min="9" max="9" width="13.7109375" customWidth="1"/>
    <col min="10" max="10" width="7" customWidth="1"/>
    <col min="11" max="11" width="21.85546875" bestFit="1" customWidth="1"/>
  </cols>
  <sheetData>
    <row r="2" spans="1:11" ht="20.45" customHeight="1">
      <c r="A2" s="4" t="s">
        <v>0</v>
      </c>
      <c r="B2" s="9"/>
      <c r="C2" s="9"/>
      <c r="D2" s="9"/>
      <c r="E2" s="9"/>
      <c r="F2" s="9"/>
      <c r="G2" s="9"/>
      <c r="H2" s="9"/>
      <c r="I2" s="9"/>
      <c r="J2" s="9"/>
      <c r="K2" s="9"/>
    </row>
    <row r="3" spans="1:11">
      <c r="A3" s="5" t="s">
        <v>1</v>
      </c>
      <c r="B3" s="9"/>
      <c r="C3" s="9"/>
      <c r="J3" s="6" t="s">
        <v>2</v>
      </c>
      <c r="K3" s="9"/>
    </row>
    <row r="4" spans="1:11">
      <c r="A4" s="5" t="s">
        <v>3</v>
      </c>
      <c r="B4" s="9"/>
      <c r="C4" s="9"/>
      <c r="J4" s="5" t="s">
        <v>2</v>
      </c>
      <c r="K4" s="9"/>
    </row>
    <row r="5" spans="1:11">
      <c r="A5" s="5" t="s">
        <v>4</v>
      </c>
      <c r="B5" s="9"/>
      <c r="C5" s="9"/>
      <c r="J5" s="5" t="s">
        <v>2</v>
      </c>
      <c r="K5" s="9"/>
    </row>
    <row r="6" spans="1:11">
      <c r="A6" s="5" t="s">
        <v>5</v>
      </c>
      <c r="B6" s="9"/>
      <c r="C6" s="9"/>
      <c r="J6" s="5" t="s">
        <v>6</v>
      </c>
      <c r="K6" s="9"/>
    </row>
    <row r="7" spans="1:11">
      <c r="A7" s="5" t="s">
        <v>6</v>
      </c>
      <c r="B7" s="9"/>
      <c r="C7" s="9"/>
      <c r="J7" s="9"/>
      <c r="K7" s="9"/>
    </row>
    <row r="8" spans="1:11">
      <c r="A8" s="5" t="s">
        <v>7</v>
      </c>
      <c r="B8" s="9"/>
      <c r="C8" s="9"/>
      <c r="J8" s="9"/>
      <c r="K8" s="9"/>
    </row>
    <row r="10" spans="1:11">
      <c r="A10" s="2" t="s">
        <v>2</v>
      </c>
      <c r="B10" s="2" t="s">
        <v>2</v>
      </c>
      <c r="C10" s="2" t="s">
        <v>2</v>
      </c>
      <c r="D10" s="2" t="s">
        <v>2</v>
      </c>
      <c r="E10" s="2" t="s">
        <v>2</v>
      </c>
      <c r="F10" s="2" t="s">
        <v>2</v>
      </c>
      <c r="G10" s="2" t="s">
        <v>2</v>
      </c>
      <c r="H10" s="2" t="s">
        <v>2</v>
      </c>
      <c r="I10" s="2" t="s">
        <v>2</v>
      </c>
      <c r="J10" s="2" t="s">
        <v>2</v>
      </c>
      <c r="K10" s="2" t="s">
        <v>2</v>
      </c>
    </row>
    <row r="11" spans="1:11">
      <c r="A11" s="7" t="s">
        <v>8</v>
      </c>
      <c r="B11" s="9"/>
      <c r="C11" s="9"/>
      <c r="D11" s="9"/>
      <c r="E11" s="9"/>
      <c r="F11" s="9"/>
      <c r="G11" s="9"/>
      <c r="H11" s="9"/>
      <c r="I11" s="9"/>
      <c r="J11" s="9"/>
      <c r="K11" s="9"/>
    </row>
    <row r="12" spans="1:11" ht="12.75" customHeight="1">
      <c r="A12" s="9"/>
      <c r="B12" s="9"/>
      <c r="C12" s="9"/>
      <c r="D12" s="9"/>
      <c r="E12" s="9"/>
      <c r="F12" s="9"/>
      <c r="G12" s="9"/>
      <c r="H12" s="9"/>
      <c r="I12" s="9"/>
      <c r="J12" s="9"/>
      <c r="K12" s="9"/>
    </row>
    <row r="13" spans="1:11">
      <c r="A13" s="6" t="s">
        <v>9</v>
      </c>
      <c r="B13" s="9"/>
      <c r="I13" s="3" t="s">
        <v>10</v>
      </c>
      <c r="K13" s="10" t="s">
        <v>11</v>
      </c>
    </row>
    <row r="14" spans="1:11">
      <c r="I14" s="3" t="s">
        <v>12</v>
      </c>
      <c r="K14" s="10" t="s">
        <v>13</v>
      </c>
    </row>
    <row r="15" spans="1:11">
      <c r="I15" s="3" t="s">
        <v>14</v>
      </c>
      <c r="K15" s="10" t="s">
        <v>15</v>
      </c>
    </row>
    <row r="17" spans="1:11">
      <c r="I17" s="11" t="s">
        <v>16</v>
      </c>
      <c r="J17" s="9"/>
      <c r="K17" s="9"/>
    </row>
    <row r="18" spans="1:11" ht="42" customHeight="1">
      <c r="A18" s="12" t="s">
        <v>17</v>
      </c>
      <c r="B18" s="12" t="s">
        <v>18</v>
      </c>
      <c r="C18" s="12" t="s">
        <v>19</v>
      </c>
      <c r="D18" s="13" t="s">
        <v>20</v>
      </c>
      <c r="E18" s="13" t="s">
        <v>21</v>
      </c>
      <c r="F18" s="14" t="s">
        <v>22</v>
      </c>
      <c r="G18" s="13" t="s">
        <v>23</v>
      </c>
      <c r="H18" s="13" t="s">
        <v>24</v>
      </c>
      <c r="I18" s="14" t="s">
        <v>25</v>
      </c>
      <c r="J18" s="14" t="s">
        <v>26</v>
      </c>
      <c r="K18" s="14" t="s">
        <v>27</v>
      </c>
    </row>
    <row r="19" spans="1:11">
      <c r="A19" s="15" t="s">
        <v>28</v>
      </c>
      <c r="B19" s="16" t="s">
        <v>29</v>
      </c>
      <c r="C19" s="16" t="s">
        <v>30</v>
      </c>
      <c r="D19" s="17" t="s">
        <v>31</v>
      </c>
      <c r="E19" s="17">
        <v>20</v>
      </c>
      <c r="F19" s="18">
        <v>10427</v>
      </c>
      <c r="G19" s="19" t="s">
        <v>2</v>
      </c>
      <c r="H19" s="19">
        <v>2</v>
      </c>
      <c r="I19" s="18">
        <f>ROUND(F19-((F19*J19)/100),2)</f>
        <v>10427</v>
      </c>
      <c r="J19" s="18">
        <v>0</v>
      </c>
      <c r="K19" s="18">
        <f>ROUND((H19 * I19),2)</f>
        <v>20854</v>
      </c>
    </row>
    <row r="20" spans="1:11">
      <c r="A20" s="20" t="s">
        <v>32</v>
      </c>
      <c r="B20" s="20" t="s">
        <v>29</v>
      </c>
      <c r="C20" s="16" t="s">
        <v>33</v>
      </c>
      <c r="D20" s="17">
        <v>36</v>
      </c>
      <c r="E20" s="17" t="s">
        <v>34</v>
      </c>
      <c r="F20" s="18">
        <v>2584.0500000000002</v>
      </c>
      <c r="G20" s="19" t="s">
        <v>2</v>
      </c>
      <c r="H20" s="19">
        <v>2</v>
      </c>
      <c r="I20" s="18">
        <f>ROUND(F20-((F20*J20)/100),2)</f>
        <v>2584.0500000000002</v>
      </c>
      <c r="J20" s="18">
        <v>0</v>
      </c>
      <c r="K20" s="18">
        <f>ROUND((H20 * I20),2)</f>
        <v>5168.1000000000004</v>
      </c>
    </row>
    <row r="21" spans="1:11">
      <c r="A21" s="20" t="s">
        <v>35</v>
      </c>
      <c r="B21" s="20" t="s">
        <v>36</v>
      </c>
      <c r="C21" s="16" t="s">
        <v>37</v>
      </c>
      <c r="D21" s="17" t="s">
        <v>31</v>
      </c>
      <c r="E21" s="17">
        <v>14</v>
      </c>
      <c r="F21" s="18">
        <v>0</v>
      </c>
      <c r="G21" s="19" t="s">
        <v>2</v>
      </c>
      <c r="H21" s="19">
        <v>2</v>
      </c>
      <c r="I21" s="18">
        <f>ROUND(F21-((F21*J21)/100),2)</f>
        <v>0</v>
      </c>
      <c r="J21" s="18">
        <v>0</v>
      </c>
      <c r="K21" s="18">
        <f>ROUND((H21 * I21),2)</f>
        <v>0</v>
      </c>
    </row>
    <row r="22" spans="1:11">
      <c r="A22" s="20" t="s">
        <v>38</v>
      </c>
      <c r="B22" s="20" t="s">
        <v>29</v>
      </c>
      <c r="C22" s="16" t="s">
        <v>39</v>
      </c>
      <c r="D22" s="17">
        <v>36</v>
      </c>
      <c r="E22" s="17" t="s">
        <v>34</v>
      </c>
      <c r="F22" s="18">
        <v>2371.4499999999998</v>
      </c>
      <c r="G22" s="19" t="s">
        <v>2</v>
      </c>
      <c r="H22" s="19">
        <v>2</v>
      </c>
      <c r="I22" s="18">
        <f>ROUND(F22-((F22*J22)/100),2)</f>
        <v>2371.4499999999998</v>
      </c>
      <c r="J22" s="18">
        <v>0</v>
      </c>
      <c r="K22" s="18">
        <f>ROUND((H22 * I22),2)</f>
        <v>4742.8999999999996</v>
      </c>
    </row>
    <row r="23" spans="1:11">
      <c r="A23" s="20" t="s">
        <v>40</v>
      </c>
      <c r="B23" s="20" t="s">
        <v>36</v>
      </c>
      <c r="C23" s="16" t="s">
        <v>41</v>
      </c>
      <c r="D23" s="17" t="s">
        <v>31</v>
      </c>
      <c r="E23" s="17">
        <v>14</v>
      </c>
      <c r="F23" s="18">
        <v>0</v>
      </c>
      <c r="G23" s="19" t="s">
        <v>2</v>
      </c>
      <c r="H23" s="19">
        <v>2</v>
      </c>
      <c r="I23" s="18">
        <f>ROUND(F23-((F23*J23)/100),2)</f>
        <v>0</v>
      </c>
      <c r="J23" s="18">
        <v>0</v>
      </c>
      <c r="K23" s="18">
        <f>ROUND((H23 * I23),2)</f>
        <v>0</v>
      </c>
    </row>
    <row r="24" spans="1:11">
      <c r="A24" s="20" t="s">
        <v>42</v>
      </c>
      <c r="B24" s="20" t="s">
        <v>29</v>
      </c>
      <c r="C24" s="16" t="s">
        <v>43</v>
      </c>
      <c r="D24" s="17">
        <v>36</v>
      </c>
      <c r="E24" s="17" t="s">
        <v>34</v>
      </c>
      <c r="F24" s="18">
        <v>0</v>
      </c>
      <c r="G24" s="19" t="s">
        <v>2</v>
      </c>
      <c r="H24" s="19">
        <v>2</v>
      </c>
      <c r="I24" s="18">
        <f>ROUND(F24-((F24*J24)/100),2)</f>
        <v>0</v>
      </c>
      <c r="J24" s="18">
        <v>0</v>
      </c>
      <c r="K24" s="18">
        <f>ROUND((H24 * I24),2)</f>
        <v>0</v>
      </c>
    </row>
    <row r="25" spans="1:11">
      <c r="A25" s="20" t="s">
        <v>44</v>
      </c>
      <c r="B25" s="20" t="s">
        <v>36</v>
      </c>
      <c r="C25" s="16" t="s">
        <v>45</v>
      </c>
      <c r="D25" s="17" t="s">
        <v>31</v>
      </c>
      <c r="E25" s="17">
        <v>14</v>
      </c>
      <c r="F25" s="18">
        <v>0</v>
      </c>
      <c r="G25" s="19" t="s">
        <v>2</v>
      </c>
      <c r="H25" s="19">
        <v>2</v>
      </c>
      <c r="I25" s="18">
        <f>ROUND(F25-((F25*J25)/100),2)</f>
        <v>0</v>
      </c>
      <c r="J25" s="18">
        <v>0</v>
      </c>
      <c r="K25" s="18">
        <f>ROUND((H25 * I25),2)</f>
        <v>0</v>
      </c>
    </row>
    <row r="26" spans="1:11">
      <c r="A26" s="20" t="s">
        <v>46</v>
      </c>
      <c r="B26" s="20" t="s">
        <v>29</v>
      </c>
      <c r="C26" s="16" t="s">
        <v>47</v>
      </c>
      <c r="D26" s="17">
        <v>36</v>
      </c>
      <c r="E26" s="17" t="s">
        <v>34</v>
      </c>
      <c r="F26" s="18">
        <v>0</v>
      </c>
      <c r="G26" s="19" t="s">
        <v>2</v>
      </c>
      <c r="H26" s="19">
        <v>2</v>
      </c>
      <c r="I26" s="18">
        <f>ROUND(F26-((F26*J26)/100),2)</f>
        <v>0</v>
      </c>
      <c r="J26" s="18">
        <v>0</v>
      </c>
      <c r="K26" s="18">
        <f>ROUND((H26 * I26),2)</f>
        <v>0</v>
      </c>
    </row>
    <row r="27" spans="1:11">
      <c r="A27" s="20" t="s">
        <v>48</v>
      </c>
      <c r="B27" s="20" t="s">
        <v>29</v>
      </c>
      <c r="C27" s="16" t="s">
        <v>49</v>
      </c>
      <c r="D27" s="17" t="s">
        <v>31</v>
      </c>
      <c r="E27" s="17">
        <v>14</v>
      </c>
      <c r="F27" s="18">
        <v>0</v>
      </c>
      <c r="G27" s="19" t="s">
        <v>2</v>
      </c>
      <c r="H27" s="19">
        <v>2</v>
      </c>
      <c r="I27" s="18">
        <f>ROUND(F27-((F27*J27)/100),2)</f>
        <v>0</v>
      </c>
      <c r="J27" s="18">
        <v>0</v>
      </c>
      <c r="K27" s="18">
        <f>ROUND((H27 * I27),2)</f>
        <v>0</v>
      </c>
    </row>
    <row r="28" spans="1:11">
      <c r="A28" s="20" t="s">
        <v>50</v>
      </c>
      <c r="B28" s="20" t="s">
        <v>36</v>
      </c>
      <c r="C28" s="16" t="s">
        <v>51</v>
      </c>
      <c r="D28" s="17" t="s">
        <v>31</v>
      </c>
      <c r="E28" s="17">
        <v>14</v>
      </c>
      <c r="F28" s="18">
        <v>0</v>
      </c>
      <c r="G28" s="19" t="s">
        <v>2</v>
      </c>
      <c r="H28" s="19">
        <v>2</v>
      </c>
      <c r="I28" s="18">
        <f>ROUND(F28-((F28*J28)/100),2)</f>
        <v>0</v>
      </c>
      <c r="J28" s="18">
        <v>0</v>
      </c>
      <c r="K28" s="18">
        <f>ROUND((H28 * I28),2)</f>
        <v>0</v>
      </c>
    </row>
    <row r="29" spans="1:11">
      <c r="A29" s="20" t="s">
        <v>52</v>
      </c>
      <c r="B29" s="20" t="s">
        <v>29</v>
      </c>
      <c r="C29" s="16" t="s">
        <v>53</v>
      </c>
      <c r="D29" s="17" t="s">
        <v>31</v>
      </c>
      <c r="E29" s="17">
        <v>14</v>
      </c>
      <c r="F29" s="18">
        <v>0</v>
      </c>
      <c r="G29" s="19" t="s">
        <v>2</v>
      </c>
      <c r="H29" s="19">
        <v>2</v>
      </c>
      <c r="I29" s="18">
        <f>ROUND(F29-((F29*J29)/100),2)</f>
        <v>0</v>
      </c>
      <c r="J29" s="18">
        <v>0</v>
      </c>
      <c r="K29" s="18">
        <f>ROUND((H29 * I29),2)</f>
        <v>0</v>
      </c>
    </row>
    <row r="30" spans="1:11">
      <c r="A30" s="20" t="s">
        <v>54</v>
      </c>
      <c r="B30" s="20" t="s">
        <v>29</v>
      </c>
      <c r="C30" s="16" t="s">
        <v>55</v>
      </c>
      <c r="D30" s="17" t="s">
        <v>31</v>
      </c>
      <c r="E30" s="17">
        <v>20</v>
      </c>
      <c r="F30" s="18">
        <v>0</v>
      </c>
      <c r="G30" s="19" t="s">
        <v>2</v>
      </c>
      <c r="H30" s="19">
        <v>6</v>
      </c>
      <c r="I30" s="18">
        <f>ROUND(F30-((F30*J30)/100),2)</f>
        <v>0</v>
      </c>
      <c r="J30" s="18">
        <v>0</v>
      </c>
      <c r="K30" s="18">
        <f>ROUND((H30 * I30),2)</f>
        <v>0</v>
      </c>
    </row>
    <row r="31" spans="1:11">
      <c r="A31" s="20" t="s">
        <v>56</v>
      </c>
      <c r="B31" s="20" t="s">
        <v>29</v>
      </c>
      <c r="C31" s="16" t="s">
        <v>57</v>
      </c>
      <c r="D31" s="17" t="s">
        <v>31</v>
      </c>
      <c r="E31" s="17">
        <v>20</v>
      </c>
      <c r="F31" s="18">
        <v>0</v>
      </c>
      <c r="G31" s="19" t="s">
        <v>2</v>
      </c>
      <c r="H31" s="19">
        <v>2</v>
      </c>
      <c r="I31" s="18">
        <f>ROUND(F31-((F31*J31)/100),2)</f>
        <v>0</v>
      </c>
      <c r="J31" s="18">
        <v>0</v>
      </c>
      <c r="K31" s="18">
        <f>ROUND((H31 * I31),2)</f>
        <v>0</v>
      </c>
    </row>
    <row r="32" spans="1:11">
      <c r="A32" s="20" t="s">
        <v>58</v>
      </c>
      <c r="B32" s="20" t="s">
        <v>29</v>
      </c>
      <c r="C32" s="16" t="s">
        <v>59</v>
      </c>
      <c r="D32" s="17" t="s">
        <v>31</v>
      </c>
      <c r="E32" s="17">
        <v>20</v>
      </c>
      <c r="F32" s="18">
        <v>2317.88</v>
      </c>
      <c r="G32" s="19" t="s">
        <v>2</v>
      </c>
      <c r="H32" s="19">
        <v>2</v>
      </c>
      <c r="I32" s="18">
        <f>ROUND(F32-((F32*J32)/100),2)</f>
        <v>2317.88</v>
      </c>
      <c r="J32" s="18">
        <v>0</v>
      </c>
      <c r="K32" s="18">
        <f>ROUND((H32 * I32),2)</f>
        <v>4635.76</v>
      </c>
    </row>
    <row r="33" spans="1:11">
      <c r="A33" s="20" t="s">
        <v>60</v>
      </c>
      <c r="B33" s="20" t="s">
        <v>29</v>
      </c>
      <c r="C33" s="16" t="s">
        <v>61</v>
      </c>
      <c r="D33" s="17" t="s">
        <v>31</v>
      </c>
      <c r="E33" s="17">
        <v>28</v>
      </c>
      <c r="F33" s="18">
        <v>0</v>
      </c>
      <c r="G33" s="19" t="s">
        <v>2</v>
      </c>
      <c r="H33" s="19">
        <v>4</v>
      </c>
      <c r="I33" s="18">
        <f>ROUND(F33-((F33*J33)/100),2)</f>
        <v>0</v>
      </c>
      <c r="J33" s="18">
        <v>0</v>
      </c>
      <c r="K33" s="18">
        <f>ROUND((H33 * I33),2)</f>
        <v>0</v>
      </c>
    </row>
    <row r="34" spans="1:11">
      <c r="A34" s="20" t="s">
        <v>62</v>
      </c>
      <c r="B34" s="20" t="s">
        <v>29</v>
      </c>
      <c r="C34" s="16" t="s">
        <v>63</v>
      </c>
      <c r="D34" s="17" t="s">
        <v>31</v>
      </c>
      <c r="E34" s="17">
        <v>20</v>
      </c>
      <c r="F34" s="18">
        <v>0</v>
      </c>
      <c r="G34" s="19" t="s">
        <v>2</v>
      </c>
      <c r="H34" s="19">
        <v>2</v>
      </c>
      <c r="I34" s="18">
        <f>ROUND(F34-((F34*J34)/100),2)</f>
        <v>0</v>
      </c>
      <c r="J34" s="18">
        <v>0</v>
      </c>
      <c r="K34" s="18">
        <f>ROUND((H34 * I34),2)</f>
        <v>0</v>
      </c>
    </row>
    <row r="35" spans="1:11">
      <c r="A35" s="20" t="s">
        <v>64</v>
      </c>
      <c r="B35" s="20" t="s">
        <v>29</v>
      </c>
      <c r="C35" s="16" t="s">
        <v>65</v>
      </c>
      <c r="D35" s="17" t="s">
        <v>31</v>
      </c>
      <c r="E35" s="17">
        <v>20</v>
      </c>
      <c r="F35" s="18">
        <v>0</v>
      </c>
      <c r="G35" s="19" t="s">
        <v>2</v>
      </c>
      <c r="H35" s="19">
        <v>2</v>
      </c>
      <c r="I35" s="18">
        <f>ROUND(F35-((F35*J35)/100),2)</f>
        <v>0</v>
      </c>
      <c r="J35" s="18">
        <v>0</v>
      </c>
      <c r="K35" s="18">
        <f>ROUND((H35 * I35),2)</f>
        <v>0</v>
      </c>
    </row>
    <row r="36" spans="1:11">
      <c r="A36" s="20" t="s">
        <v>66</v>
      </c>
      <c r="B36" s="20" t="s">
        <v>29</v>
      </c>
      <c r="C36" s="16" t="s">
        <v>67</v>
      </c>
      <c r="D36" s="17" t="s">
        <v>31</v>
      </c>
      <c r="E36" s="17">
        <v>20</v>
      </c>
      <c r="F36" s="18">
        <v>0</v>
      </c>
      <c r="G36" s="19" t="s">
        <v>2</v>
      </c>
      <c r="H36" s="19">
        <v>2</v>
      </c>
      <c r="I36" s="18">
        <f>ROUND(F36-((F36*J36)/100),2)</f>
        <v>0</v>
      </c>
      <c r="J36" s="18">
        <v>0</v>
      </c>
      <c r="K36" s="18">
        <f>ROUND((H36 * I36),2)</f>
        <v>0</v>
      </c>
    </row>
    <row r="37" spans="1:11">
      <c r="A37" s="20" t="s">
        <v>68</v>
      </c>
      <c r="B37" s="20" t="s">
        <v>29</v>
      </c>
      <c r="C37" s="16" t="s">
        <v>69</v>
      </c>
      <c r="D37" s="17" t="s">
        <v>31</v>
      </c>
      <c r="E37" s="17">
        <v>20</v>
      </c>
      <c r="F37" s="18">
        <v>0</v>
      </c>
      <c r="G37" s="19" t="s">
        <v>2</v>
      </c>
      <c r="H37" s="19">
        <v>2</v>
      </c>
      <c r="I37" s="18">
        <f>ROUND(F37-((F37*J37)/100),2)</f>
        <v>0</v>
      </c>
      <c r="J37" s="18">
        <v>0</v>
      </c>
      <c r="K37" s="18">
        <f>ROUND((H37 * I37),2)</f>
        <v>0</v>
      </c>
    </row>
    <row r="38" spans="1:11">
      <c r="A38" s="20" t="s">
        <v>70</v>
      </c>
      <c r="B38" s="20" t="s">
        <v>29</v>
      </c>
      <c r="C38" s="16" t="s">
        <v>71</v>
      </c>
      <c r="D38" s="17" t="s">
        <v>31</v>
      </c>
      <c r="E38" s="17">
        <v>77</v>
      </c>
      <c r="F38" s="18">
        <v>1592.03</v>
      </c>
      <c r="G38" s="19" t="s">
        <v>2</v>
      </c>
      <c r="H38" s="19">
        <v>2</v>
      </c>
      <c r="I38" s="18">
        <f>ROUND(F38-((F38*J38)/100),2)</f>
        <v>1592.03</v>
      </c>
      <c r="J38" s="18">
        <v>0</v>
      </c>
      <c r="K38" s="18">
        <f>ROUND((H38 * I38),2)</f>
        <v>3184.06</v>
      </c>
    </row>
    <row r="39" spans="1:11">
      <c r="A39" s="20" t="s">
        <v>72</v>
      </c>
      <c r="B39" s="20" t="s">
        <v>29</v>
      </c>
      <c r="C39" s="16" t="s">
        <v>73</v>
      </c>
      <c r="D39" s="17" t="s">
        <v>31</v>
      </c>
      <c r="E39" s="17">
        <v>77</v>
      </c>
      <c r="F39" s="18">
        <v>0</v>
      </c>
      <c r="G39" s="19" t="s">
        <v>2</v>
      </c>
      <c r="H39" s="19">
        <v>4</v>
      </c>
      <c r="I39" s="18">
        <f>ROUND(F39-((F39*J39)/100),2)</f>
        <v>0</v>
      </c>
      <c r="J39" s="18">
        <v>0</v>
      </c>
      <c r="K39" s="18">
        <f>ROUND((H39 * I39),2)</f>
        <v>0</v>
      </c>
    </row>
    <row r="40" spans="1:11">
      <c r="A40" s="20" t="s">
        <v>74</v>
      </c>
      <c r="B40" s="20" t="s">
        <v>29</v>
      </c>
      <c r="C40" s="16" t="s">
        <v>75</v>
      </c>
      <c r="D40" s="17" t="s">
        <v>31</v>
      </c>
      <c r="E40" s="17">
        <v>77</v>
      </c>
      <c r="F40" s="18">
        <v>0</v>
      </c>
      <c r="G40" s="19" t="s">
        <v>2</v>
      </c>
      <c r="H40" s="19">
        <v>2</v>
      </c>
      <c r="I40" s="18">
        <f>ROUND(F40-((F40*J40)/100),2)</f>
        <v>0</v>
      </c>
      <c r="J40" s="18">
        <v>0</v>
      </c>
      <c r="K40" s="18">
        <f>ROUND((H40 * I40),2)</f>
        <v>0</v>
      </c>
    </row>
    <row r="41" spans="1:11">
      <c r="A41" s="20" t="s">
        <v>76</v>
      </c>
      <c r="B41" s="20" t="s">
        <v>36</v>
      </c>
      <c r="C41" s="16" t="s">
        <v>77</v>
      </c>
      <c r="D41" s="17" t="s">
        <v>31</v>
      </c>
      <c r="E41" s="17">
        <v>3</v>
      </c>
      <c r="F41" s="18">
        <v>0</v>
      </c>
      <c r="G41" s="19" t="s">
        <v>2</v>
      </c>
      <c r="H41" s="19">
        <v>2</v>
      </c>
      <c r="I41" s="18">
        <f>ROUND(F41-((F41*J41)/100),2)</f>
        <v>0</v>
      </c>
      <c r="J41" s="18">
        <v>0</v>
      </c>
      <c r="K41" s="18">
        <f>ROUND((H41 * I41),2)</f>
        <v>0</v>
      </c>
    </row>
    <row r="42" spans="1:11">
      <c r="A42" s="2" t="s">
        <v>2</v>
      </c>
      <c r="B42" s="2" t="s">
        <v>2</v>
      </c>
      <c r="C42" s="2" t="s">
        <v>2</v>
      </c>
      <c r="D42" s="2" t="s">
        <v>2</v>
      </c>
      <c r="E42" s="2" t="s">
        <v>2</v>
      </c>
      <c r="F42" s="2" t="s">
        <v>2</v>
      </c>
      <c r="G42" s="2" t="s">
        <v>2</v>
      </c>
      <c r="H42" s="2" t="s">
        <v>2</v>
      </c>
      <c r="I42" s="2" t="s">
        <v>2</v>
      </c>
      <c r="J42" s="2" t="s">
        <v>2</v>
      </c>
      <c r="K42" s="2" t="s">
        <v>2</v>
      </c>
    </row>
    <row r="44" spans="1:11">
      <c r="A44" s="6" t="s">
        <v>78</v>
      </c>
      <c r="B44" s="6" t="s">
        <v>2</v>
      </c>
      <c r="C44" s="9"/>
      <c r="D44" s="9"/>
      <c r="I44" s="3" t="s">
        <v>79</v>
      </c>
      <c r="K44" s="21">
        <f>(K19+K21+K23+K25+K27+K28+K29+K30+K31+K32+K33+K34+K35+K36+K37+K38+K39+K40+K41)</f>
        <v>28673.820000000003</v>
      </c>
    </row>
    <row r="45" spans="1:11">
      <c r="A45" s="6" t="s">
        <v>80</v>
      </c>
      <c r="B45" s="6" t="s">
        <v>2</v>
      </c>
      <c r="C45" s="9"/>
      <c r="D45" s="9"/>
      <c r="I45" s="3" t="s">
        <v>81</v>
      </c>
      <c r="K45" s="21">
        <f>(K20)</f>
        <v>5168.1000000000004</v>
      </c>
    </row>
    <row r="46" spans="1:11">
      <c r="I46" s="3" t="s">
        <v>82</v>
      </c>
      <c r="K46" s="21">
        <f>(K22+K24+K26)</f>
        <v>4742.8999999999996</v>
      </c>
    </row>
    <row r="47" spans="1:11">
      <c r="I47" s="3" t="s">
        <v>83</v>
      </c>
      <c r="K47" s="22">
        <f>(K45+K44+K46)</f>
        <v>38584.820000000007</v>
      </c>
    </row>
    <row r="48" spans="1:11">
      <c r="A48" s="6" t="s">
        <v>84</v>
      </c>
      <c r="B48" s="9"/>
      <c r="C48" s="9"/>
      <c r="D48" s="9"/>
    </row>
    <row r="49" spans="1:11">
      <c r="A49" s="8" t="s">
        <v>2</v>
      </c>
      <c r="B49" s="9"/>
      <c r="C49" s="9"/>
      <c r="D49" s="9"/>
      <c r="E49" s="9"/>
      <c r="F49" s="9"/>
      <c r="G49" s="9"/>
      <c r="I49" s="6" t="s">
        <v>85</v>
      </c>
      <c r="J49" s="9"/>
      <c r="K49" s="1" t="s">
        <v>2</v>
      </c>
    </row>
    <row r="50" spans="1:11" ht="21.95" customHeight="1">
      <c r="A50" s="9"/>
      <c r="B50" s="9"/>
      <c r="C50" s="9"/>
      <c r="D50" s="9"/>
      <c r="E50" s="9"/>
      <c r="F50" s="9"/>
      <c r="G50" s="9"/>
      <c r="K50" s="23" t="s">
        <v>1</v>
      </c>
    </row>
    <row r="51" spans="1:11">
      <c r="A51" s="2" t="s">
        <v>2</v>
      </c>
      <c r="B51" s="2" t="s">
        <v>2</v>
      </c>
      <c r="C51" s="2" t="s">
        <v>2</v>
      </c>
      <c r="D51" s="2" t="s">
        <v>2</v>
      </c>
      <c r="E51" s="2" t="s">
        <v>2</v>
      </c>
      <c r="F51" s="2" t="s">
        <v>2</v>
      </c>
      <c r="G51" s="2" t="s">
        <v>2</v>
      </c>
      <c r="H51" s="2" t="s">
        <v>2</v>
      </c>
      <c r="I51" s="2" t="s">
        <v>2</v>
      </c>
      <c r="J51" s="2" t="s">
        <v>2</v>
      </c>
      <c r="K51" s="2" t="s">
        <v>2</v>
      </c>
    </row>
    <row r="52" spans="1:11">
      <c r="A52" s="24" t="s">
        <v>86</v>
      </c>
      <c r="B52" s="9"/>
      <c r="C52" s="9"/>
      <c r="D52" s="9"/>
      <c r="E52" s="9"/>
      <c r="F52" s="9"/>
      <c r="G52" s="9"/>
      <c r="H52" s="9"/>
      <c r="I52" s="9"/>
      <c r="J52" s="9"/>
      <c r="K52" s="9"/>
    </row>
    <row r="53" spans="1:11" ht="12.75" customHeight="1">
      <c r="A53" s="9"/>
      <c r="B53" s="9"/>
      <c r="C53" s="9"/>
      <c r="D53" s="9"/>
      <c r="E53" s="9"/>
      <c r="F53" s="9"/>
      <c r="G53" s="9"/>
      <c r="H53" s="9"/>
      <c r="I53" s="9"/>
      <c r="J53" s="9"/>
      <c r="K53" s="9"/>
    </row>
    <row r="54" spans="1:11" ht="12.75" customHeight="1">
      <c r="A54" s="9"/>
      <c r="B54" s="9"/>
      <c r="C54" s="9"/>
      <c r="D54" s="9"/>
      <c r="E54" s="9"/>
      <c r="F54" s="9"/>
      <c r="G54" s="9"/>
      <c r="H54" s="9"/>
      <c r="I54" s="9"/>
      <c r="J54" s="9"/>
      <c r="K54" s="9"/>
    </row>
  </sheetData>
  <mergeCells count="22">
    <mergeCell ref="A48:D48"/>
    <mergeCell ref="A49:G50"/>
    <mergeCell ref="I49:J49"/>
    <mergeCell ref="A52:K54"/>
    <mergeCell ref="A11:K12"/>
    <mergeCell ref="A13:B13"/>
    <mergeCell ref="I17:K17"/>
    <mergeCell ref="A44:D44"/>
    <mergeCell ref="A45:D45"/>
    <mergeCell ref="A7:C7"/>
    <mergeCell ref="A8:C8"/>
    <mergeCell ref="J3:K3"/>
    <mergeCell ref="J4:K4"/>
    <mergeCell ref="J5:K5"/>
    <mergeCell ref="J6:K6"/>
    <mergeCell ref="J7:K7"/>
    <mergeCell ref="J8:K8"/>
    <mergeCell ref="A2:K2"/>
    <mergeCell ref="A3:C3"/>
    <mergeCell ref="A4:C4"/>
    <mergeCell ref="A5:C5"/>
    <mergeCell ref="A6:C6"/>
  </mergeCells>
  <printOptions horizontalCentered="1"/>
  <pageMargins left="0.7" right="0.7" top="0.75" bottom="0.75" header="0.3" footer="0.3"/>
  <pageSetup paperSize="9" orientation="landscape"/>
  <headerFooter>
    <oddFooter>&amp;C_x000D_&amp;1#&amp;"Arial"&amp;8&amp;K2E404D Sensitivity Label: General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Josias Sekhebesa</cp:lastModifiedBy>
  <cp:revision/>
  <dcterms:created xsi:type="dcterms:W3CDTF">2025-10-14T07:12:10Z</dcterms:created>
  <dcterms:modified xsi:type="dcterms:W3CDTF">2025-10-17T12:19:49Z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37e5cc-ed1f-4ad6-a881-35c0f1c6f3d8_Enabled">
    <vt:lpwstr>true</vt:lpwstr>
  </property>
  <property fmtid="{D5CDD505-2E9C-101B-9397-08002B2CF9AE}" pid="3" name="MSIP_Label_4637e5cc-ed1f-4ad6-a881-35c0f1c6f3d8_SetDate">
    <vt:lpwstr>2025-10-17T12:19:18Z</vt:lpwstr>
  </property>
  <property fmtid="{D5CDD505-2E9C-101B-9397-08002B2CF9AE}" pid="4" name="MSIP_Label_4637e5cc-ed1f-4ad6-a881-35c0f1c6f3d8_Method">
    <vt:lpwstr>Standard</vt:lpwstr>
  </property>
  <property fmtid="{D5CDD505-2E9C-101B-9397-08002B2CF9AE}" pid="5" name="MSIP_Label_4637e5cc-ed1f-4ad6-a881-35c0f1c6f3d8_Name">
    <vt:lpwstr>General</vt:lpwstr>
  </property>
  <property fmtid="{D5CDD505-2E9C-101B-9397-08002B2CF9AE}" pid="6" name="MSIP_Label_4637e5cc-ed1f-4ad6-a881-35c0f1c6f3d8_SiteId">
    <vt:lpwstr>e3cf3c98-a978-465f-8254-9d541eeea73c</vt:lpwstr>
  </property>
  <property fmtid="{D5CDD505-2E9C-101B-9397-08002B2CF9AE}" pid="7" name="MSIP_Label_4637e5cc-ed1f-4ad6-a881-35c0f1c6f3d8_ActionId">
    <vt:lpwstr>9f649459-24cd-4327-ae69-9047447bd5d9</vt:lpwstr>
  </property>
  <property fmtid="{D5CDD505-2E9C-101B-9397-08002B2CF9AE}" pid="8" name="MSIP_Label_4637e5cc-ed1f-4ad6-a881-35c0f1c6f3d8_ContentBits">
    <vt:lpwstr>2</vt:lpwstr>
  </property>
  <property fmtid="{D5CDD505-2E9C-101B-9397-08002B2CF9AE}" pid="9" name="MSIP_Label_4637e5cc-ed1f-4ad6-a881-35c0f1c6f3d8_Tag">
    <vt:lpwstr>10, 3, 0, 2</vt:lpwstr>
  </property>
</Properties>
</file>