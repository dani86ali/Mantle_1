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lalaljalal/Desktop/Folders/NesmKent/IT/HW for NK/To Give To Bill/"/>
    </mc:Choice>
  </mc:AlternateContent>
  <xr:revisionPtr revIDLastSave="0" documentId="13_ncr:1_{3A60A84A-F800-FE40-9F0F-AF883C5DCF63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Infrastructure Details - BOM" sheetId="16" r:id="rId1"/>
    <sheet name="CyberSecurity - BOM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16" l="1"/>
  <c r="F146" i="16"/>
  <c r="F147" i="16" s="1"/>
  <c r="D142" i="16"/>
  <c r="F142" i="16" s="1"/>
  <c r="D141" i="16"/>
  <c r="F141" i="16" s="1"/>
  <c r="D140" i="16"/>
  <c r="F140" i="16" s="1"/>
  <c r="D139" i="16"/>
  <c r="F139" i="16" s="1"/>
  <c r="F143" i="16" s="1"/>
  <c r="F131" i="16"/>
  <c r="F130" i="16"/>
  <c r="F129" i="16"/>
  <c r="F128" i="16"/>
  <c r="F126" i="16"/>
  <c r="F132" i="16" s="1"/>
  <c r="F120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97" i="16"/>
  <c r="F91" i="16"/>
  <c r="F89" i="16"/>
  <c r="F87" i="16"/>
  <c r="F86" i="16"/>
  <c r="F85" i="16"/>
  <c r="F84" i="16"/>
  <c r="F83" i="16"/>
  <c r="F82" i="16"/>
  <c r="F81" i="16"/>
  <c r="F80" i="16"/>
  <c r="F79" i="16"/>
  <c r="F78" i="16"/>
  <c r="F76" i="16"/>
  <c r="F75" i="16"/>
  <c r="F74" i="16"/>
  <c r="F72" i="16"/>
  <c r="F71" i="16"/>
  <c r="F69" i="16"/>
  <c r="F68" i="16"/>
  <c r="F67" i="16"/>
  <c r="F66" i="16"/>
  <c r="F65" i="16"/>
  <c r="F64" i="16"/>
  <c r="F63" i="16"/>
  <c r="F62" i="16"/>
  <c r="F53" i="16"/>
  <c r="F51" i="16"/>
  <c r="F49" i="16"/>
  <c r="F54" i="16" s="1"/>
  <c r="F43" i="16"/>
  <c r="F44" i="16" s="1"/>
  <c r="F39" i="16"/>
  <c r="F38" i="16"/>
  <c r="F40" i="16" s="1"/>
  <c r="F34" i="16"/>
  <c r="F33" i="16"/>
  <c r="F32" i="16"/>
  <c r="F31" i="16"/>
  <c r="F35" i="16" s="1"/>
  <c r="F27" i="16"/>
  <c r="F26" i="16"/>
  <c r="F25" i="16"/>
  <c r="F26" i="17"/>
  <c r="F25" i="17"/>
  <c r="F24" i="17"/>
  <c r="F23" i="17"/>
  <c r="F27" i="17" s="1"/>
  <c r="F19" i="17"/>
  <c r="F18" i="17"/>
  <c r="F20" i="17" s="1"/>
  <c r="F15" i="17"/>
  <c r="F14" i="17"/>
  <c r="F13" i="17"/>
  <c r="F16" i="17" s="1"/>
  <c r="F8" i="17"/>
  <c r="F7" i="17"/>
  <c r="F6" i="17"/>
  <c r="F5" i="17"/>
  <c r="F152" i="16" l="1"/>
  <c r="F117" i="16"/>
  <c r="F94" i="16"/>
  <c r="F134" i="16" s="1"/>
  <c r="F28" i="16"/>
  <c r="F55" i="16"/>
  <c r="F9" i="17"/>
  <c r="G6" i="16"/>
  <c r="F29" i="17"/>
  <c r="F154" i="16" l="1"/>
  <c r="G4" i="16"/>
  <c r="G5" i="16"/>
  <c r="G13" i="16" l="1"/>
  <c r="G18" i="16" s="1"/>
  <c r="G14" i="16" l="1"/>
  <c r="G19" i="16"/>
</calcChain>
</file>

<file path=xl/sharedStrings.xml><?xml version="1.0" encoding="utf-8"?>
<sst xmlns="http://schemas.openxmlformats.org/spreadsheetml/2006/main" count="218" uniqueCount="127">
  <si>
    <t xml:space="preserve">Cabling Part </t>
  </si>
  <si>
    <t xml:space="preserve">Engineers Workstation </t>
  </si>
  <si>
    <t xml:space="preserve">Users Monitors - Keyboards - Mouse - Head Set and Docking Station </t>
  </si>
  <si>
    <t xml:space="preserve">Delivery ETA </t>
  </si>
  <si>
    <t xml:space="preserve">Laptop </t>
  </si>
  <si>
    <t>Data Center and Network</t>
  </si>
  <si>
    <t>CyberSecurity Infrastructure for Cybersecurity Compliance (Essinitals)</t>
  </si>
  <si>
    <t>Upgrade license for adding 5 GB/Day of Logs.</t>
  </si>
  <si>
    <t>FortiAnalyzer-VM FortiCare Premium Support 3 Year FortiCare Premium Support (for 1-6 GB/Day of Logs)</t>
  </si>
  <si>
    <t>Total Amount Excluding  VAT (SAR)</t>
  </si>
  <si>
    <t>Laptops - PCs - accessories</t>
  </si>
  <si>
    <t>Total Without VAT</t>
  </si>
  <si>
    <t>Data Center | Air Conditioning System | UPS System | Fire System | Switches | Doors Access Control</t>
  </si>
  <si>
    <t>UPS</t>
  </si>
  <si>
    <t>Managed SOC</t>
  </si>
  <si>
    <r>
      <rPr>
        <b/>
        <sz val="10"/>
        <color rgb="FFFFFFFF"/>
        <rFont val="Calibri"/>
        <family val="2"/>
        <scheme val="minor"/>
      </rPr>
      <t>S.No</t>
    </r>
  </si>
  <si>
    <r>
      <rPr>
        <b/>
        <sz val="10"/>
        <color rgb="FFFFFFFF"/>
        <rFont val="Calibri"/>
        <family val="2"/>
        <scheme val="minor"/>
      </rPr>
      <t>Description</t>
    </r>
  </si>
  <si>
    <r>
      <rPr>
        <b/>
        <sz val="10"/>
        <color rgb="FFFFFFFF"/>
        <rFont val="Calibri"/>
        <family val="2"/>
        <scheme val="minor"/>
      </rPr>
      <t>QTY</t>
    </r>
  </si>
  <si>
    <r>
      <rPr>
        <b/>
        <sz val="10"/>
        <color rgb="FFFFFFFF"/>
        <rFont val="Calibri"/>
        <family val="2"/>
        <scheme val="minor"/>
      </rPr>
      <t>U. Price (SAR)</t>
    </r>
  </si>
  <si>
    <r>
      <rPr>
        <b/>
        <sz val="10"/>
        <color rgb="FFFFFFFF"/>
        <rFont val="Calibri"/>
        <family val="2"/>
        <scheme val="minor"/>
      </rPr>
      <t>T. Price (SAR)</t>
    </r>
  </si>
  <si>
    <t>Managed SOC Services 15 GB/day, 4 weeks Real-time Analysis, 12 Months Log Retention (1 Year)</t>
  </si>
  <si>
    <t xml:space="preserve">SIEM implementation, Integration and SOC commencement </t>
  </si>
  <si>
    <t xml:space="preserve">Tenable Nessus Professional tool 1 year with Implementation </t>
  </si>
  <si>
    <t>Graybox remote VAPT for upto 10 man days - Onetime</t>
  </si>
  <si>
    <t>Sub-Total</t>
  </si>
  <si>
    <t xml:space="preserve">Manage Engine </t>
  </si>
  <si>
    <t>Manage Engine Endpoint Central</t>
  </si>
  <si>
    <t>ManageEngine Endpoint CentraManageEngine Endpoint Central UEM Edition - Subscription Model - Annual subscription fee for 250 endpoints and Single User License for 1 year</t>
  </si>
  <si>
    <t>ManageEngine Endpoint Central Addons - Subscription Model - Annual subscription fee for Additional 2 Users</t>
  </si>
  <si>
    <t>Professional Services – Implementation:
• Installation &amp; Configuration Manage Engine Endpoint Central
• Project documentation and knowledge transfer to be delivered after completion of the above tasks.</t>
  </si>
  <si>
    <r>
      <rPr>
        <b/>
        <sz val="10"/>
        <color rgb="FFFFFFFF"/>
        <rFont val="Calibri"/>
        <family val="2"/>
        <scheme val="minor"/>
      </rPr>
      <t>Sub-Total</t>
    </r>
  </si>
  <si>
    <t>Manage Engine Service Desk Plus</t>
  </si>
  <si>
    <t>ManageEngine ServiceDesk Plus Multi-Language Enterprise Edition Perpetual Licensing Model, Single Installation License &amp; Annual Maintenance and Support fee forManageEngine ServiceDesk Plus Multi-Language Enterprise Edition Perpetual Licensing Model
Single Installation License &amp; Annual Maintenance and Support fee for:
- 2 Technicians (250 nodes) 1 year</t>
  </si>
  <si>
    <t>Professional service: Remote Installation, Remote Configuration, Remote Training</t>
  </si>
  <si>
    <t>GTB Data Classification + DLP</t>
  </si>
  <si>
    <t xml:space="preserve">GTB Endpoint Protector Advanced
TCP Inspection, USB Device Controls, Fileshare Audit, Local
Discovery including PST/OST files, OCR, Classification and
Watermarking - Subscription for 200 users </t>
  </si>
  <si>
    <t>GTB Discovery Server
Software - Exchange, Database - Subscription for one year</t>
  </si>
  <si>
    <t>GTB Inspector
On Prem - Subscription for one year</t>
  </si>
  <si>
    <t>Professional Services
Remote Implementation by Professional Services Team
covering: Requirement Gathering, Design &amp; Consulting,
Installation &amp; Configuration of GTB Solution, project
management, On-boarding of Users, End User Training, User
Acceptance Testing, Documentation - (HLD, LLD, User /
Admin Guide, Test Case), Go-Live</t>
  </si>
  <si>
    <t>ManageEngine Total</t>
  </si>
  <si>
    <t>Total SAR</t>
  </si>
  <si>
    <r>
      <rPr>
        <b/>
        <sz val="10"/>
        <color rgb="FFFFFFFF"/>
        <rFont val="Calibri"/>
        <family val="2"/>
        <scheme val="minor"/>
      </rPr>
      <t>Pricing Summary</t>
    </r>
  </si>
  <si>
    <r>
      <rPr>
        <sz val="10"/>
        <color rgb="FFFFFFFF"/>
        <rFont val="Calibri"/>
        <family val="2"/>
        <scheme val="minor"/>
      </rPr>
      <t>#</t>
    </r>
  </si>
  <si>
    <r>
      <rPr>
        <sz val="10"/>
        <color rgb="FFFFFFFF"/>
        <rFont val="Calibri"/>
        <family val="2"/>
        <scheme val="minor"/>
      </rPr>
      <t>Description</t>
    </r>
  </si>
  <si>
    <r>
      <rPr>
        <sz val="10"/>
        <color rgb="FFFFFFFF"/>
        <rFont val="Calibri"/>
        <family val="2"/>
        <scheme val="minor"/>
      </rPr>
      <t>T. Price (SAR)</t>
    </r>
  </si>
  <si>
    <t>Total Amount Excluding  VAT (USD)</t>
  </si>
  <si>
    <t>ManageEngine</t>
  </si>
  <si>
    <t>Total Amount + Cybersecurity Excluding  VAT (SAR)</t>
  </si>
  <si>
    <r>
      <rPr>
        <sz val="10"/>
        <color rgb="FFFFFFFF"/>
        <rFont val="Calibri"/>
        <family val="2"/>
        <scheme val="minor"/>
      </rPr>
      <t>Fortigate Perimeter Firewalls</t>
    </r>
  </si>
  <si>
    <t>FortiGate-201F Hardware plus 3 Year FortiCare Premium and FortiGuard Unified Threat Protection (UTP)</t>
  </si>
  <si>
    <t>Fortiauthenticator MFA</t>
  </si>
  <si>
    <t>FortiAuthenticator - VM License VM Base License supports 100 users. Expand user support to 1 million plus users by using FortiAuthenticator VM Upgrade License. Unlimited vCPU. Supporting VMware ESXi / ESX, Microsoft Hyper-V, Linux Kernel-based Virtual Machine (KVM) on Virtual Machine Manager and QEMU 2.5.0, and Xen Virtual Machine platforms</t>
  </si>
  <si>
    <t>FortiAuthenticator - VM License FortiAuthenticator-VM 100 users license upgrade</t>
  </si>
  <si>
    <t>FortiAuthenticator - VM License 3 Year FortiCare Premium Support (1 - 500 USERS)</t>
  </si>
  <si>
    <t>Software one-time password tokens for iOS, Android and Windows Phone mobile devices. Perpetual licenses for 50 users. Electronic license certificate</t>
  </si>
  <si>
    <r>
      <rPr>
        <sz val="10"/>
        <color rgb="FFFFFFFF"/>
        <rFont val="Calibri"/>
        <family val="2"/>
        <scheme val="minor"/>
      </rPr>
      <t>Trend Micro Endpoint protection</t>
    </r>
  </si>
  <si>
    <t>Trend Micro Cloud One - Endpoint Security with XDR for 3 years</t>
  </si>
  <si>
    <t>Trend Micro Cloud One - Workload Security with XDR for 3 years</t>
  </si>
  <si>
    <t>Wallix Access Management</t>
  </si>
  <si>
    <t>Wallix Bastion  3 Year subscription with Gold maintenance - Bastion Core - 5 users and upto 100 assets</t>
  </si>
  <si>
    <t>Professional Services - CyberSecurity Infrastructure for Cybersecurity Compliance (Essinitals)</t>
  </si>
  <si>
    <t>FortiGate + FortiAuthenticator + FortiAnalyzer</t>
  </si>
  <si>
    <t>Professional Services  – Implementation:
• Installation &amp; Configuration of Fortigate
• Installation &amp; Configuration of FortiAuthenticator
• Installation &amp; Configuration of FortiAnalyzer
• Project documentation and knowledge transfer to be delivered after completion of the above tasks.</t>
  </si>
  <si>
    <t>TrendMicro</t>
  </si>
  <si>
    <t>Professional Services – Implementation:
• Policy configurations and migration as per the best practices
• Installation &amp; Configuration 10 Cloud One endpoint agents
• Installation 3 Cloud One – Workload security Agent
• Project documentation and knowledge transfer to be delivered after completion of the above tasks.</t>
  </si>
  <si>
    <t>Wallix PAM</t>
  </si>
  <si>
    <t>Professional Services – Implementation:
• Installation &amp; Configuration Wallix Bastion
• Project documentation and knowledge transfer to be delivered after completion of the above tasks.</t>
  </si>
  <si>
    <t>Grand total CyberSecurity Infrastructure for Cybersecurity Compliance (Essinitals)</t>
  </si>
  <si>
    <r>
      <rPr>
        <b/>
        <sz val="11"/>
        <color rgb="FFFFFFFF"/>
        <rFont val="Calibri"/>
        <family val="2"/>
        <scheme val="minor"/>
      </rPr>
      <t>Total SAR</t>
    </r>
  </si>
  <si>
    <t>Hyperconverged infrastructure (HCI) Servers , Vmware and Windows Server License + Backup solution</t>
  </si>
  <si>
    <t>32GB DDR4 1.2V 3200 ECC REG---MEM-DR432LC-ER32</t>
  </si>
  <si>
    <t>D7-P5520 1.92TB NVMe PCIe 4.0 X4 3D TLC U.2 15mm Up to 2DWPD---HDS-25N4-001T9-L2-TXD-NON-015</t>
  </si>
  <si>
    <t>Intel VROC</t>
  </si>
  <si>
    <t>DataCenter Management Package (per node license)</t>
  </si>
  <si>
    <t>Windows Svr 2022 Standard 24 Core Base License (2vm) w/ key</t>
  </si>
  <si>
    <t>Windows Svr 2022 Standard 4 Additional Core License (No Key)</t>
  </si>
  <si>
    <t>VMware vSphere 8 Standard for 1 processor w/VMware 3Yr S&amp;S</t>
  </si>
  <si>
    <t>VMware vSAN 8 Advanced for 1 processor w/VMware 3Yr S&amp;S</t>
  </si>
  <si>
    <t>VMware vCenter Server 8 Standard for vSphere 8 (Per Instance) w/VMware 3Yr S&amp;S</t>
  </si>
  <si>
    <t>Intel Xeon Silver 4310 Processor 12-Core 2.1GHz 18MB Cache (120W)---P4X-ICX4310-SRKXN</t>
  </si>
  <si>
    <t>Windows Svr 2022 Standard 16 Core Base License (2vm) w/ key</t>
  </si>
  <si>
    <t>Veeam Backup &amp; Replication Universal License. Includes Enterprise Plus Edition features. - 3 Years Subscription Upfront Billing &amp; Production (24/7) Support, Minimum 10 Instance</t>
  </si>
  <si>
    <t>Professional services - HCI , Vmware and Windows Server License + Backup solution</t>
  </si>
  <si>
    <t>Professional Services – Implementation:
• Installation &amp; Configuration Servers, Vmware, Veeam 
• Project documentation and knowledge transfer to be delivered after completion of the above tasks.</t>
  </si>
  <si>
    <t>Enterprise Network Part + Wireless Part</t>
  </si>
  <si>
    <t>FortiSwitch-1048E Layer 2/3 FortiGate switch controller compatible switch with 48 x GE/10GE SFP/SFP+ slots and 6 x 40GE QSFP+ or 4 x 100GE QSFP28. Dual AC power supplies</t>
  </si>
  <si>
    <t>FortiSwitch-1048E 3 Year FortiCare Premium Support</t>
  </si>
  <si>
    <t>FortiSwitch-448E-FPOE Layer 2/3 FortiGate switch controller compatible PoE+ switch with 48 x GE RJ45 ports, 4 x 10 GE SFP+, with automatic Max 772W POE output limit</t>
  </si>
  <si>
    <t>FortiSwitch-448E-FPOE 3 Year FortiCare Premium Support</t>
  </si>
  <si>
    <t>FortiAP-431F Indoor Wireless FortiAP - Tri radio (2x 802.11 a/b/g/n/ac/ax, 4x4 MIMO and 1x 802.11 a/b/g/n/ac Wave 2, 2x2 MU-MIMO), internal antennas, 1x 100/1000/2500 Base-T RJ45, 1x 10/100/1000 Base-T RJ45, BT/BLE, 1x Type A USB, 1x RS-232 RJ45 Serial Port. Ceiling/wall mount kit included. For power order: 802.3at PoE injector GPI-130 or AC power adaptor SP-FAP400-PA. Region Code E</t>
  </si>
  <si>
    <t>FortiAP-431F 3 Year FortiCare Premium Support</t>
  </si>
  <si>
    <t>10GE SFP+ transceiver module, short range 10GE SFP+ transceiver module, short range for systems with SFP+ and SFP/SFP+ slots</t>
  </si>
  <si>
    <t>40GE QSFP+ Passive Direct Attach Cable 40GE QSFP+ Passive Direct Attach Cable, 3m for Systems with QSFP+ slots</t>
  </si>
  <si>
    <t>1GE SFP RJ45 transceiver module 1GE SFP RJ45 transceiver module for systems with SFP and SFP/SFP+ slots</t>
  </si>
  <si>
    <t>10GE SFP+ active direct attach cable, 10m / 32.8 ft 10GE SFP+ active direct attach cable, 10m / 32.8 ft for systems with SFP+ and SFP/SFP+ slots</t>
  </si>
  <si>
    <t>10GE SFP+ Passive Direct Attach Cable 10GE SFP+ Passive Direct Attach Cable, 1 m for Systems with SFP+ and SFP/SFP+ slots</t>
  </si>
  <si>
    <t>FortiNAC Control and Application Extended-VM FortiNAC Control and Application next-gen VM Server (VMWare/Hyper-V/AWS/Azure/KVM).</t>
  </si>
  <si>
    <t>FortiNAC Control and Application Extended-VM 3 Year FortiCare Premium Support</t>
  </si>
  <si>
    <t>FortiNAC Pro License for 1K concurrent endpoint devices FortiNAC PRO License for 1K concurrent endpoint devices. Pro license level provides the ultimate in visibility, control and response.</t>
  </si>
  <si>
    <t>FortiCare Support for FortiNAC License 3 Year FortiCare Premium Support (100 Endpoints) for FortiNAC PRO deployments.</t>
  </si>
  <si>
    <t>Professional services - Enterprise Network Part + Wireless Part</t>
  </si>
  <si>
    <t>Professional Services – Implementation:
• Installation &amp; Configuration FortiSwitch, FortiAP, FortiNAC
• Project documentation and knowledge transfer to be delivered after completion of the above tasks.</t>
  </si>
  <si>
    <r>
      <rPr>
        <b/>
        <sz val="10"/>
        <color rgb="FFFFFFFF"/>
        <rFont val="Calibri"/>
        <family val="2"/>
        <scheme val="minor"/>
      </rPr>
      <t>Delivery ETA</t>
    </r>
  </si>
  <si>
    <t xml:space="preserve">Smart Cabinet </t>
  </si>
  <si>
    <t>Standing cabinet 19" 42U W=800 mm D=800 mm Glass front w/ accessories :2xRFID ACS + 2x ELECTRONIC LOCKS front and rear,1x Access control Gateway,1x Input Metering PDU 16A Single Phase 1U, 8 x IEC Sockets (7 x C13 - 1 x C19),Temperature &amp; Humidity Sensor, water sensor Rope, Digital input Module with extension</t>
  </si>
  <si>
    <t>APC Smart-UPS SRT 5000VA 230V</t>
  </si>
  <si>
    <t>APC Smart-UPS SRT 192V 5kVA and 6kVA Battery Pack</t>
  </si>
  <si>
    <t>APC Smart-UPS SRT 19" Rail Kit for Smart-UPS SRT 5/6/8/10kVA</t>
  </si>
  <si>
    <t xml:space="preserve">Professional service </t>
  </si>
  <si>
    <r>
      <rPr>
        <sz val="10"/>
        <color rgb="FFFFFFFF"/>
        <rFont val="Calibri"/>
        <family val="2"/>
        <scheme val="minor"/>
      </rPr>
      <t>Total SAR</t>
    </r>
  </si>
  <si>
    <t>ASUS SimPro Dock 2</t>
  </si>
  <si>
    <t>Asus ROG Zephyrus G16 Gaming Laptop</t>
  </si>
  <si>
    <t>CyberSecurity</t>
  </si>
  <si>
    <t>SYS-620C-TN12R(x4)X12 CloudDC 2U,12x 3.5"Hybrid,X12DDW-A6,LA26AC12-R1K23AW, 5 Years warranty</t>
  </si>
  <si>
    <t>D7-P5520 7.68TB NVMe PCIe 4.0 X4 3D TLC U.2 15mm Up to 2DWPD---HDS-25N4-007T6-L2-TXD-NON-015</t>
  </si>
  <si>
    <t>PM893 240GB SATA 6Gb/s V6 2.5" 7mm 1DWPD 5YR SED---HDS-25T0-240G0-E1-TXE-SED-007</t>
  </si>
  <si>
    <t>AIOM 2-port 10GbE SFP+,b/ on X710-BM2 with 0.5U Brack---AOC-ATG-i2SM-O</t>
  </si>
  <si>
    <t>10GB SFP+ SR Trancievers</t>
  </si>
  <si>
    <t>SYS-520P-WTR(x1)UP 2U WIO X12SPW-TF, CSE-825BTS,HF,RoHS, 5 Years warranty</t>
  </si>
  <si>
    <t>64GB DDR4 1.2V 3200 ECC REG---MEM-DR464MC-ER32</t>
  </si>
  <si>
    <t>Intel S4510 960GB, SATA 6Gb/s, 3D, TLC 2.5" 1DWPD, HF,RoHS---HDS-25T0-960G0-E1-TXD-NON-007</t>
  </si>
  <si>
    <t>3.5", 14TB, 7.2K RPM, SATA3 6Gb/s, Cache 256MB, 512e/4Kn (EvansBP), HF, RoHS---HDD-3T14T-1FECR</t>
  </si>
  <si>
    <t>2x 10GbE SFP+ Intel X710-BM2, Gen3 x8 LP -- AOC-STGF-I2S-O</t>
  </si>
  <si>
    <t>Lenovo S27i-20 27.0'' Monitor, IPS panel , 1920 x 1080,  Input connectors- VGA + HDMI 1.4 ,Cables included - HDMI, 3 Years warranty</t>
  </si>
  <si>
    <t>Lenovo Essential Wireless Keyboard and Mouse Combo</t>
  </si>
  <si>
    <t>Lenovo Essential  Stereo Analog Headset</t>
  </si>
  <si>
    <t>ExpertBook B1 (B1402, 12th Gen Intel)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</si>
</sst>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SAR&quot;* #,##0.00_);_(&quot;SAR&quot;* \(#,##0.00\);_(&quot;SAR&quot;* &quot;-&quot;??_);_(@_)"/>
    <numFmt numFmtId="164" formatCode="0.0"/>
  </numFmts>
  <fonts count="23" x14ac:knownFonts="1">
    <font>
      <sz val="10"/>
      <color rgb="FF000000"/>
      <name val="Times New Roman"/>
      <charset val="204"/>
    </font>
    <font>
      <sz val="12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Times New Roman"/>
      <family val="1"/>
    </font>
    <font>
      <sz val="36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Times New Roman"/>
      <family val="1"/>
    </font>
    <font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rgb="FF333333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u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333333"/>
      <name val="Source Sans Pro"/>
      <family val="2"/>
    </font>
  </fonts>
  <fills count="1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F1F1F1"/>
      </patternFill>
    </fill>
    <fill>
      <patternFill patternType="solid">
        <fgColor rgb="FFD9D9D9"/>
      </patternFill>
    </fill>
    <fill>
      <patternFill patternType="solid">
        <fgColor rgb="FFBEBEBE"/>
      </patternFill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6" borderId="0" applyNumberFormat="0" applyBorder="0" applyAlignment="0" applyProtection="0"/>
    <xf numFmtId="0" fontId="11" fillId="0" borderId="0" applyNumberFormat="0" applyFill="0" applyBorder="0" applyAlignment="0" applyProtection="0"/>
    <xf numFmtId="0" fontId="15" fillId="0" borderId="0"/>
    <xf numFmtId="0" fontId="15" fillId="0" borderId="0"/>
    <xf numFmtId="44" fontId="21" fillId="0" borderId="0" applyFont="0" applyFill="0" applyBorder="0" applyAlignment="0" applyProtection="0"/>
  </cellStyleXfs>
  <cellXfs count="287">
    <xf numFmtId="0" fontId="0" fillId="0" borderId="0" xfId="0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right" vertical="center" wrapText="1"/>
    </xf>
    <xf numFmtId="0" fontId="8" fillId="2" borderId="15" xfId="0" applyFont="1" applyFill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horizontal="right" vertical="center" wrapText="1" shrinkToFit="1"/>
    </xf>
    <xf numFmtId="0" fontId="10" fillId="0" borderId="15" xfId="0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 shrinkToFit="1"/>
    </xf>
    <xf numFmtId="0" fontId="10" fillId="0" borderId="24" xfId="0" applyFont="1" applyBorder="1" applyAlignment="1">
      <alignment horizontal="left" vertical="center" wrapText="1"/>
    </xf>
    <xf numFmtId="1" fontId="9" fillId="0" borderId="24" xfId="0" applyNumberFormat="1" applyFont="1" applyBorder="1" applyAlignment="1">
      <alignment horizontal="center" vertical="center" wrapText="1" shrinkToFit="1"/>
    </xf>
    <xf numFmtId="3" fontId="5" fillId="10" borderId="24" xfId="0" applyNumberFormat="1" applyFont="1" applyFill="1" applyBorder="1" applyAlignment="1">
      <alignment horizontal="right" vertical="center" wrapText="1" shrinkToFit="1"/>
    </xf>
    <xf numFmtId="0" fontId="10" fillId="10" borderId="53" xfId="0" applyFont="1" applyFill="1" applyBorder="1" applyAlignment="1">
      <alignment horizontal="center" vertical="center" wrapText="1"/>
    </xf>
    <xf numFmtId="2" fontId="9" fillId="0" borderId="19" xfId="0" applyNumberFormat="1" applyFont="1" applyBorder="1" applyAlignment="1">
      <alignment horizontal="center" vertical="center" wrapText="1" shrinkToFit="1"/>
    </xf>
    <xf numFmtId="0" fontId="10" fillId="11" borderId="0" xfId="0" applyFont="1" applyFill="1" applyAlignment="1">
      <alignment horizontal="left" vertical="center" wrapText="1"/>
    </xf>
    <xf numFmtId="1" fontId="9" fillId="11" borderId="0" xfId="0" applyNumberFormat="1" applyFont="1" applyFill="1" applyAlignment="1">
      <alignment horizontal="center" vertical="center" wrapText="1" shrinkToFit="1"/>
    </xf>
    <xf numFmtId="3" fontId="9" fillId="11" borderId="0" xfId="0" applyNumberFormat="1" applyFont="1" applyFill="1" applyAlignment="1">
      <alignment horizontal="right" vertical="center" wrapText="1" shrinkToFit="1"/>
    </xf>
    <xf numFmtId="0" fontId="10" fillId="11" borderId="22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2" fontId="9" fillId="0" borderId="42" xfId="0" applyNumberFormat="1" applyFont="1" applyBorder="1" applyAlignment="1">
      <alignment horizontal="center" vertical="center" wrapText="1" shrinkToFit="1"/>
    </xf>
    <xf numFmtId="0" fontId="10" fillId="0" borderId="26" xfId="0" applyFont="1" applyBorder="1" applyAlignment="1">
      <alignment horizontal="left" vertical="center" wrapText="1"/>
    </xf>
    <xf numFmtId="1" fontId="9" fillId="0" borderId="26" xfId="0" applyNumberFormat="1" applyFont="1" applyBorder="1" applyAlignment="1">
      <alignment horizontal="center" vertical="center" wrapText="1" shrinkToFit="1"/>
    </xf>
    <xf numFmtId="3" fontId="7" fillId="10" borderId="26" xfId="0" applyNumberFormat="1" applyFont="1" applyFill="1" applyBorder="1" applyAlignment="1">
      <alignment horizontal="right" vertical="center" wrapText="1"/>
    </xf>
    <xf numFmtId="3" fontId="6" fillId="2" borderId="26" xfId="0" applyNumberFormat="1" applyFont="1" applyFill="1" applyBorder="1" applyAlignment="1">
      <alignment horizontal="right" vertical="center" wrapText="1" shrinkToFit="1"/>
    </xf>
    <xf numFmtId="0" fontId="9" fillId="2" borderId="27" xfId="0" applyFont="1" applyFill="1" applyBorder="1" applyAlignment="1">
      <alignment horizontal="center" vertical="center" wrapText="1"/>
    </xf>
    <xf numFmtId="2" fontId="9" fillId="0" borderId="45" xfId="0" applyNumberFormat="1" applyFont="1" applyBorder="1" applyAlignment="1">
      <alignment horizontal="center" vertical="center" wrapText="1" shrinkToFit="1"/>
    </xf>
    <xf numFmtId="0" fontId="10" fillId="0" borderId="39" xfId="0" applyFont="1" applyBorder="1" applyAlignment="1">
      <alignment horizontal="left" vertical="center" wrapText="1"/>
    </xf>
    <xf numFmtId="1" fontId="9" fillId="0" borderId="39" xfId="0" applyNumberFormat="1" applyFont="1" applyBorder="1" applyAlignment="1">
      <alignment horizontal="center" vertical="center" wrapText="1" shrinkToFit="1"/>
    </xf>
    <xf numFmtId="3" fontId="9" fillId="0" borderId="39" xfId="0" applyNumberFormat="1" applyFont="1" applyBorder="1" applyAlignment="1">
      <alignment horizontal="right" vertical="center" wrapText="1" shrinkToFit="1"/>
    </xf>
    <xf numFmtId="3" fontId="7" fillId="10" borderId="1" xfId="0" applyNumberFormat="1" applyFont="1" applyFill="1" applyBorder="1" applyAlignment="1">
      <alignment horizontal="right" vertical="center" wrapText="1"/>
    </xf>
    <xf numFmtId="3" fontId="6" fillId="2" borderId="39" xfId="0" applyNumberFormat="1" applyFont="1" applyFill="1" applyBorder="1" applyAlignment="1">
      <alignment horizontal="right" vertical="center" wrapText="1" shrinkToFit="1"/>
    </xf>
    <xf numFmtId="0" fontId="9" fillId="2" borderId="16" xfId="0" applyFont="1" applyFill="1" applyBorder="1" applyAlignment="1">
      <alignment horizontal="center" vertical="center" wrapText="1"/>
    </xf>
    <xf numFmtId="2" fontId="9" fillId="11" borderId="19" xfId="0" applyNumberFormat="1" applyFont="1" applyFill="1" applyBorder="1" applyAlignment="1">
      <alignment horizontal="center" vertical="center" wrapText="1" shrinkToFit="1"/>
    </xf>
    <xf numFmtId="1" fontId="9" fillId="11" borderId="54" xfId="0" applyNumberFormat="1" applyFont="1" applyFill="1" applyBorder="1" applyAlignment="1">
      <alignment horizontal="center" vertical="center" wrapText="1" shrinkToFit="1"/>
    </xf>
    <xf numFmtId="3" fontId="9" fillId="11" borderId="55" xfId="0" applyNumberFormat="1" applyFont="1" applyFill="1" applyBorder="1" applyAlignment="1">
      <alignment horizontal="right" vertical="center" wrapText="1" shrinkToFit="1"/>
    </xf>
    <xf numFmtId="0" fontId="10" fillId="11" borderId="17" xfId="0" applyFont="1" applyFill="1" applyBorder="1" applyAlignment="1">
      <alignment horizontal="center" vertical="center" wrapText="1"/>
    </xf>
    <xf numFmtId="3" fontId="5" fillId="12" borderId="50" xfId="0" applyNumberFormat="1" applyFont="1" applyFill="1" applyBorder="1" applyAlignment="1">
      <alignment horizontal="right" vertical="center" wrapText="1"/>
    </xf>
    <xf numFmtId="3" fontId="3" fillId="12" borderId="34" xfId="0" applyNumberFormat="1" applyFont="1" applyFill="1" applyBorder="1" applyAlignment="1">
      <alignment horizontal="right" vertical="top"/>
    </xf>
    <xf numFmtId="0" fontId="3" fillId="12" borderId="44" xfId="0" applyFont="1" applyFill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1" fontId="9" fillId="3" borderId="14" xfId="0" applyNumberFormat="1" applyFont="1" applyFill="1" applyBorder="1" applyAlignment="1">
      <alignment horizontal="center" vertical="center" wrapText="1" shrinkToFit="1"/>
    </xf>
    <xf numFmtId="4" fontId="9" fillId="3" borderId="15" xfId="0" applyNumberFormat="1" applyFont="1" applyFill="1" applyBorder="1" applyAlignment="1">
      <alignment horizontal="right" vertical="center" wrapText="1" shrinkToFit="1"/>
    </xf>
    <xf numFmtId="1" fontId="9" fillId="4" borderId="14" xfId="0" applyNumberFormat="1" applyFont="1" applyFill="1" applyBorder="1" applyAlignment="1">
      <alignment horizontal="center" vertical="center" wrapText="1" shrinkToFit="1"/>
    </xf>
    <xf numFmtId="4" fontId="9" fillId="4" borderId="15" xfId="0" applyNumberFormat="1" applyFont="1" applyFill="1" applyBorder="1" applyAlignment="1">
      <alignment horizontal="right" vertical="center" wrapText="1" shrinkToFit="1"/>
    </xf>
    <xf numFmtId="164" fontId="9" fillId="3" borderId="14" xfId="0" applyNumberFormat="1" applyFont="1" applyFill="1" applyBorder="1" applyAlignment="1">
      <alignment horizontal="center" vertical="center" wrapText="1" shrinkToFit="1"/>
    </xf>
    <xf numFmtId="4" fontId="9" fillId="7" borderId="15" xfId="0" applyNumberFormat="1" applyFont="1" applyFill="1" applyBorder="1" applyAlignment="1">
      <alignment horizontal="right" vertical="center" wrapText="1" shrinkToFit="1"/>
    </xf>
    <xf numFmtId="4" fontId="12" fillId="2" borderId="15" xfId="0" applyNumberFormat="1" applyFont="1" applyFill="1" applyBorder="1" applyAlignment="1">
      <alignment horizontal="right" vertical="center" wrapText="1" shrinkToFit="1"/>
    </xf>
    <xf numFmtId="4" fontId="2" fillId="0" borderId="15" xfId="0" applyNumberFormat="1" applyFont="1" applyBorder="1" applyAlignment="1">
      <alignment horizontal="right" vertical="center" wrapText="1" shrinkToFit="1"/>
    </xf>
    <xf numFmtId="1" fontId="9" fillId="0" borderId="14" xfId="0" applyNumberFormat="1" applyFont="1" applyBorder="1" applyAlignment="1">
      <alignment horizontal="center" vertical="center" wrapText="1" shrinkToFit="1"/>
    </xf>
    <xf numFmtId="4" fontId="9" fillId="0" borderId="15" xfId="0" applyNumberFormat="1" applyFont="1" applyBorder="1" applyAlignment="1">
      <alignment horizontal="right" vertical="center" wrapText="1" shrinkToFit="1"/>
    </xf>
    <xf numFmtId="4" fontId="2" fillId="0" borderId="27" xfId="0" applyNumberFormat="1" applyFont="1" applyBorder="1" applyAlignment="1">
      <alignment horizontal="right" vertical="center" wrapText="1" shrinkToFit="1"/>
    </xf>
    <xf numFmtId="1" fontId="6" fillId="2" borderId="8" xfId="0" applyNumberFormat="1" applyFont="1" applyFill="1" applyBorder="1" applyAlignment="1">
      <alignment horizontal="center" vertical="center" wrapText="1" shrinkToFit="1"/>
    </xf>
    <xf numFmtId="0" fontId="9" fillId="0" borderId="1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horizontal="right" vertical="center" wrapText="1" shrinkToFit="1"/>
    </xf>
    <xf numFmtId="0" fontId="5" fillId="6" borderId="15" xfId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4" fontId="9" fillId="8" borderId="1" xfId="0" applyNumberFormat="1" applyFont="1" applyFill="1" applyBorder="1" applyAlignment="1">
      <alignment vertical="center"/>
    </xf>
    <xf numFmtId="3" fontId="7" fillId="2" borderId="39" xfId="0" applyNumberFormat="1" applyFont="1" applyFill="1" applyBorder="1" applyAlignment="1">
      <alignment horizontal="right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3" fontId="10" fillId="11" borderId="1" xfId="0" applyNumberFormat="1" applyFont="1" applyFill="1" applyBorder="1" applyAlignment="1">
      <alignment horizontal="right" vertical="center" wrapText="1"/>
    </xf>
    <xf numFmtId="3" fontId="12" fillId="11" borderId="1" xfId="0" applyNumberFormat="1" applyFont="1" applyFill="1" applyBorder="1" applyAlignment="1">
      <alignment horizontal="right" vertical="center" wrapText="1" shrinkToFit="1"/>
    </xf>
    <xf numFmtId="0" fontId="9" fillId="11" borderId="1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3" fontId="7" fillId="2" borderId="50" xfId="0" applyNumberFormat="1" applyFont="1" applyFill="1" applyBorder="1" applyAlignment="1">
      <alignment horizontal="right" vertical="center" wrapText="1"/>
    </xf>
    <xf numFmtId="3" fontId="6" fillId="2" borderId="50" xfId="0" applyNumberFormat="1" applyFont="1" applyFill="1" applyBorder="1" applyAlignment="1">
      <alignment horizontal="right" vertical="center" wrapText="1" shrinkToFit="1"/>
    </xf>
    <xf numFmtId="0" fontId="9" fillId="2" borderId="51" xfId="0" applyFont="1" applyFill="1" applyBorder="1" applyAlignment="1">
      <alignment horizontal="center" vertical="center" wrapText="1"/>
    </xf>
    <xf numFmtId="3" fontId="14" fillId="2" borderId="57" xfId="0" applyNumberFormat="1" applyFont="1" applyFill="1" applyBorder="1" applyAlignment="1">
      <alignment horizontal="right" vertical="center" wrapText="1"/>
    </xf>
    <xf numFmtId="3" fontId="13" fillId="2" borderId="57" xfId="0" applyNumberFormat="1" applyFont="1" applyFill="1" applyBorder="1" applyAlignment="1">
      <alignment horizontal="right" vertical="center" wrapText="1" shrinkToFit="1"/>
    </xf>
    <xf numFmtId="0" fontId="9" fillId="2" borderId="58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wrapText="1"/>
    </xf>
    <xf numFmtId="0" fontId="13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3" fontId="14" fillId="11" borderId="0" xfId="0" applyNumberFormat="1" applyFont="1" applyFill="1" applyAlignment="1">
      <alignment horizontal="right" vertical="center" wrapText="1"/>
    </xf>
    <xf numFmtId="3" fontId="13" fillId="11" borderId="0" xfId="0" applyNumberFormat="1" applyFont="1" applyFill="1" applyAlignment="1">
      <alignment horizontal="right" vertical="center" wrapText="1" shrinkToFit="1"/>
    </xf>
    <xf numFmtId="0" fontId="9" fillId="11" borderId="0" xfId="0" applyFont="1" applyFill="1" applyAlignment="1">
      <alignment horizontal="center" vertical="center" wrapText="1"/>
    </xf>
    <xf numFmtId="1" fontId="6" fillId="2" borderId="59" xfId="0" applyNumberFormat="1" applyFont="1" applyFill="1" applyBorder="1" applyAlignment="1">
      <alignment horizontal="center" vertical="center" wrapText="1" shrinkToFi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6" fillId="0" borderId="0" xfId="4" applyFont="1" applyAlignment="1">
      <alignment horizontal="center" vertical="top" wrapText="1"/>
    </xf>
    <xf numFmtId="3" fontId="9" fillId="0" borderId="5" xfId="0" applyNumberFormat="1" applyFont="1" applyBorder="1" applyAlignment="1">
      <alignment horizontal="right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5" fillId="11" borderId="1" xfId="1" applyFont="1" applyFill="1" applyBorder="1" applyAlignment="1">
      <alignment horizontal="left" vertical="center" wrapText="1"/>
    </xf>
    <xf numFmtId="3" fontId="7" fillId="11" borderId="1" xfId="0" applyNumberFormat="1" applyFont="1" applyFill="1" applyBorder="1" applyAlignment="1">
      <alignment horizontal="right" vertical="center" wrapText="1"/>
    </xf>
    <xf numFmtId="3" fontId="6" fillId="11" borderId="1" xfId="0" applyNumberFormat="1" applyFont="1" applyFill="1" applyBorder="1" applyAlignment="1">
      <alignment horizontal="right" vertical="center" wrapText="1" shrinkToFit="1"/>
    </xf>
    <xf numFmtId="0" fontId="9" fillId="11" borderId="1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left" vertical="center" wrapText="1"/>
    </xf>
    <xf numFmtId="0" fontId="8" fillId="2" borderId="57" xfId="0" applyFont="1" applyFill="1" applyBorder="1" applyAlignment="1">
      <alignment horizontal="left" vertical="center" wrapText="1"/>
    </xf>
    <xf numFmtId="0" fontId="7" fillId="2" borderId="57" xfId="0" applyFont="1" applyFill="1" applyBorder="1" applyAlignment="1">
      <alignment horizontal="left" vertical="center" wrapText="1"/>
    </xf>
    <xf numFmtId="0" fontId="7" fillId="2" borderId="58" xfId="0" applyFont="1" applyFill="1" applyBorder="1" applyAlignment="1">
      <alignment horizontal="left" vertical="center" wrapText="1"/>
    </xf>
    <xf numFmtId="2" fontId="9" fillId="0" borderId="46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wrapText="1"/>
    </xf>
    <xf numFmtId="1" fontId="9" fillId="0" borderId="5" xfId="0" applyNumberFormat="1" applyFont="1" applyBorder="1" applyAlignment="1">
      <alignment horizontal="center" vertical="center" wrapText="1" shrinkToFi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left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8" borderId="28" xfId="0" applyFont="1" applyFill="1" applyBorder="1" applyAlignment="1">
      <alignment vertical="center" wrapText="1"/>
    </xf>
    <xf numFmtId="0" fontId="9" fillId="0" borderId="28" xfId="0" applyFont="1" applyBorder="1" applyAlignment="1">
      <alignment horizontal="center" vertical="center"/>
    </xf>
    <xf numFmtId="3" fontId="9" fillId="0" borderId="28" xfId="0" applyNumberFormat="1" applyFont="1" applyBorder="1" applyAlignment="1">
      <alignment horizontal="left" vertical="center" wrapText="1"/>
    </xf>
    <xf numFmtId="4" fontId="9" fillId="8" borderId="28" xfId="0" applyNumberFormat="1" applyFont="1" applyFill="1" applyBorder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left" wrapText="1"/>
    </xf>
    <xf numFmtId="0" fontId="5" fillId="11" borderId="43" xfId="1" applyFont="1" applyFill="1" applyBorder="1" applyAlignment="1">
      <alignment wrapText="1"/>
    </xf>
    <xf numFmtId="0" fontId="5" fillId="11" borderId="34" xfId="1" applyFont="1" applyFill="1" applyBorder="1" applyAlignment="1">
      <alignment wrapText="1"/>
    </xf>
    <xf numFmtId="3" fontId="7" fillId="11" borderId="34" xfId="0" applyNumberFormat="1" applyFont="1" applyFill="1" applyBorder="1" applyAlignment="1">
      <alignment horizontal="right" vertical="center" wrapText="1"/>
    </xf>
    <xf numFmtId="0" fontId="9" fillId="11" borderId="34" xfId="0" applyFont="1" applyFill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2" fontId="9" fillId="11" borderId="14" xfId="0" applyNumberFormat="1" applyFont="1" applyFill="1" applyBorder="1" applyAlignment="1">
      <alignment horizontal="center" vertical="center" wrapText="1" shrinkToFit="1"/>
    </xf>
    <xf numFmtId="3" fontId="7" fillId="2" borderId="5" xfId="0" applyNumberFormat="1" applyFont="1" applyFill="1" applyBorder="1" applyAlignment="1">
      <alignment horizontal="right" vertical="center" wrapText="1"/>
    </xf>
    <xf numFmtId="3" fontId="6" fillId="2" borderId="5" xfId="0" applyNumberFormat="1" applyFont="1" applyFill="1" applyBorder="1" applyAlignment="1">
      <alignment horizontal="right" vertical="center" wrapText="1" shrinkToFit="1"/>
    </xf>
    <xf numFmtId="0" fontId="9" fillId="2" borderId="48" xfId="0" applyFont="1" applyFill="1" applyBorder="1" applyAlignment="1">
      <alignment horizontal="center" vertical="center" wrapText="1"/>
    </xf>
    <xf numFmtId="3" fontId="10" fillId="2" borderId="26" xfId="0" applyNumberFormat="1" applyFont="1" applyFill="1" applyBorder="1" applyAlignment="1">
      <alignment horizontal="right" vertical="center" wrapText="1"/>
    </xf>
    <xf numFmtId="3" fontId="12" fillId="2" borderId="26" xfId="0" applyNumberFormat="1" applyFont="1" applyFill="1" applyBorder="1" applyAlignment="1">
      <alignment horizontal="right" vertical="center" wrapText="1" shrinkToFit="1"/>
    </xf>
    <xf numFmtId="0" fontId="9" fillId="2" borderId="3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20" fillId="0" borderId="0" xfId="2" applyFont="1" applyAlignment="1">
      <alignment horizontal="left" vertical="top"/>
    </xf>
    <xf numFmtId="0" fontId="9" fillId="0" borderId="36" xfId="0" applyFont="1" applyBorder="1" applyAlignment="1">
      <alignment horizontal="center" vertical="center" wrapText="1"/>
    </xf>
    <xf numFmtId="3" fontId="9" fillId="0" borderId="39" xfId="0" applyNumberFormat="1" applyFont="1" applyBorder="1" applyAlignment="1">
      <alignment horizontal="right" vertical="center" wrapText="1"/>
    </xf>
    <xf numFmtId="0" fontId="9" fillId="0" borderId="0" xfId="0" applyFont="1"/>
    <xf numFmtId="3" fontId="10" fillId="2" borderId="28" xfId="0" applyNumberFormat="1" applyFont="1" applyFill="1" applyBorder="1" applyAlignment="1">
      <alignment horizontal="right" vertical="center" wrapText="1"/>
    </xf>
    <xf numFmtId="3" fontId="5" fillId="2" borderId="28" xfId="0" applyNumberFormat="1" applyFont="1" applyFill="1" applyBorder="1" applyAlignment="1">
      <alignment horizontal="right" vertical="center" wrapText="1" shrinkToFit="1"/>
    </xf>
    <xf numFmtId="0" fontId="9" fillId="2" borderId="9" xfId="0" applyFont="1" applyFill="1" applyBorder="1" applyAlignment="1">
      <alignment horizontal="center" vertical="center" wrapText="1"/>
    </xf>
    <xf numFmtId="0" fontId="5" fillId="6" borderId="12" xfId="1" applyFont="1" applyBorder="1" applyAlignment="1">
      <alignment wrapText="1"/>
    </xf>
    <xf numFmtId="0" fontId="5" fillId="6" borderId="3" xfId="1" applyFont="1" applyBorder="1" applyAlignment="1">
      <alignment wrapText="1"/>
    </xf>
    <xf numFmtId="0" fontId="5" fillId="6" borderId="4" xfId="1" applyFont="1" applyBorder="1" applyAlignment="1">
      <alignment wrapText="1"/>
    </xf>
    <xf numFmtId="0" fontId="10" fillId="5" borderId="1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9" fillId="11" borderId="35" xfId="0" applyFont="1" applyFill="1" applyBorder="1" applyAlignment="1">
      <alignment wrapText="1"/>
    </xf>
    <xf numFmtId="0" fontId="9" fillId="11" borderId="7" xfId="0" applyFont="1" applyFill="1" applyBorder="1" applyAlignment="1">
      <alignment wrapText="1"/>
    </xf>
    <xf numFmtId="0" fontId="9" fillId="11" borderId="36" xfId="0" applyFont="1" applyFill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0" fillId="0" borderId="3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5" fillId="6" borderId="6" xfId="1" applyFont="1" applyBorder="1" applyAlignment="1">
      <alignment wrapText="1"/>
    </xf>
    <xf numFmtId="0" fontId="5" fillId="6" borderId="62" xfId="1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5" fillId="6" borderId="35" xfId="1" applyFont="1" applyBorder="1" applyAlignment="1">
      <alignment wrapText="1"/>
    </xf>
    <xf numFmtId="0" fontId="5" fillId="6" borderId="7" xfId="1" applyFont="1" applyBorder="1" applyAlignment="1">
      <alignment wrapText="1"/>
    </xf>
    <xf numFmtId="0" fontId="5" fillId="6" borderId="36" xfId="1" applyFont="1" applyBorder="1" applyAlignment="1">
      <alignment wrapText="1"/>
    </xf>
    <xf numFmtId="0" fontId="9" fillId="0" borderId="37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5" fillId="6" borderId="12" xfId="1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2" fillId="2" borderId="20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0" borderId="49" xfId="0" applyFont="1" applyBorder="1" applyAlignment="1">
      <alignment wrapText="1"/>
    </xf>
    <xf numFmtId="0" fontId="9" fillId="0" borderId="50" xfId="0" applyFont="1" applyBorder="1" applyAlignment="1">
      <alignment wrapText="1"/>
    </xf>
    <xf numFmtId="0" fontId="13" fillId="2" borderId="31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5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13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right" vertical="center" wrapText="1"/>
    </xf>
    <xf numFmtId="0" fontId="2" fillId="0" borderId="24" xfId="0" applyFont="1" applyBorder="1" applyAlignment="1">
      <alignment horizontal="right" vertical="center" wrapText="1"/>
    </xf>
    <xf numFmtId="0" fontId="2" fillId="0" borderId="25" xfId="0" applyFont="1" applyBorder="1" applyAlignment="1">
      <alignment horizontal="right" vertical="center" wrapText="1"/>
    </xf>
    <xf numFmtId="0" fontId="9" fillId="0" borderId="34" xfId="0" applyFont="1" applyBorder="1" applyAlignment="1">
      <alignment horizont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2" fontId="5" fillId="10" borderId="14" xfId="0" applyNumberFormat="1" applyFont="1" applyFill="1" applyBorder="1" applyAlignment="1">
      <alignment horizontal="left" vertical="center" wrapText="1" shrinkToFit="1"/>
    </xf>
    <xf numFmtId="2" fontId="9" fillId="10" borderId="1" xfId="0" applyNumberFormat="1" applyFont="1" applyFill="1" applyBorder="1" applyAlignment="1">
      <alignment horizontal="left" vertical="center" wrapText="1" shrinkToFit="1"/>
    </xf>
    <xf numFmtId="2" fontId="9" fillId="10" borderId="15" xfId="0" applyNumberFormat="1" applyFont="1" applyFill="1" applyBorder="1" applyAlignment="1">
      <alignment horizontal="left" vertical="center" wrapText="1" shrinkToFit="1"/>
    </xf>
    <xf numFmtId="0" fontId="10" fillId="0" borderId="17" xfId="0" applyFont="1" applyBorder="1" applyAlignment="1">
      <alignment horizontal="center" vertical="center" wrapText="1"/>
    </xf>
    <xf numFmtId="0" fontId="9" fillId="0" borderId="42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3" fillId="12" borderId="43" xfId="0" applyFont="1" applyFill="1" applyBorder="1" applyAlignment="1">
      <alignment horizontal="right" vertical="center"/>
    </xf>
    <xf numFmtId="0" fontId="3" fillId="12" borderId="34" xfId="0" applyFont="1" applyFill="1" applyBorder="1" applyAlignment="1">
      <alignment horizontal="right" vertical="center"/>
    </xf>
    <xf numFmtId="0" fontId="3" fillId="12" borderId="52" xfId="0" applyFont="1" applyFill="1" applyBorder="1" applyAlignment="1">
      <alignment horizontal="right" vertical="center"/>
    </xf>
    <xf numFmtId="2" fontId="5" fillId="10" borderId="12" xfId="0" applyNumberFormat="1" applyFont="1" applyFill="1" applyBorder="1" applyAlignment="1">
      <alignment horizontal="left" vertical="center" wrapText="1" shrinkToFit="1"/>
    </xf>
    <xf numFmtId="2" fontId="9" fillId="10" borderId="3" xfId="0" applyNumberFormat="1" applyFont="1" applyFill="1" applyBorder="1" applyAlignment="1">
      <alignment horizontal="left" vertical="center" wrapText="1" shrinkToFit="1"/>
    </xf>
    <xf numFmtId="2" fontId="9" fillId="10" borderId="13" xfId="0" applyNumberFormat="1" applyFont="1" applyFill="1" applyBorder="1" applyAlignment="1">
      <alignment horizontal="left" vertical="center" wrapText="1" shrinkToFit="1"/>
    </xf>
    <xf numFmtId="0" fontId="4" fillId="9" borderId="29" xfId="0" applyFont="1" applyFill="1" applyBorder="1" applyAlignment="1">
      <alignment horizontal="center" vertical="center"/>
    </xf>
    <xf numFmtId="0" fontId="4" fillId="9" borderId="41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2" fontId="8" fillId="10" borderId="37" xfId="0" applyNumberFormat="1" applyFont="1" applyFill="1" applyBorder="1" applyAlignment="1">
      <alignment horizontal="center" vertical="center" wrapText="1" shrinkToFit="1"/>
    </xf>
    <xf numFmtId="2" fontId="8" fillId="10" borderId="10" xfId="0" applyNumberFormat="1" applyFont="1" applyFill="1" applyBorder="1" applyAlignment="1">
      <alignment horizontal="center" vertical="center" wrapText="1" shrinkToFit="1"/>
    </xf>
    <xf numFmtId="2" fontId="8" fillId="10" borderId="11" xfId="0" applyNumberFormat="1" applyFont="1" applyFill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 vertical="center" wrapText="1"/>
    </xf>
    <xf numFmtId="0" fontId="22" fillId="0" borderId="47" xfId="0" applyFont="1" applyBorder="1" applyAlignment="1">
      <alignment vertical="top" wrapText="1"/>
    </xf>
    <xf numFmtId="0" fontId="22" fillId="0" borderId="7" xfId="0" applyFont="1" applyBorder="1" applyAlignment="1">
      <alignment horizontal="center" vertical="justify" wrapText="1"/>
    </xf>
    <xf numFmtId="0" fontId="22" fillId="0" borderId="63" xfId="0" applyFont="1" applyBorder="1" applyAlignment="1">
      <alignment vertical="top" wrapText="1"/>
    </xf>
    <xf numFmtId="0" fontId="22" fillId="0" borderId="0" xfId="0" applyFont="1" applyAlignment="1">
      <alignment horizontal="center" vertical="justify" wrapText="1"/>
    </xf>
    <xf numFmtId="0" fontId="22" fillId="0" borderId="63" xfId="0" applyFont="1" applyBorder="1" applyAlignment="1">
      <alignment horizontal="left" vertical="center" wrapText="1"/>
    </xf>
    <xf numFmtId="0" fontId="16" fillId="0" borderId="63" xfId="3" applyFont="1" applyBorder="1" applyAlignment="1">
      <alignment vertical="top" wrapText="1"/>
    </xf>
    <xf numFmtId="0" fontId="16" fillId="0" borderId="48" xfId="3" applyFont="1" applyBorder="1" applyAlignment="1">
      <alignment vertical="top" wrapText="1"/>
    </xf>
    <xf numFmtId="0" fontId="16" fillId="0" borderId="6" xfId="4" applyFont="1" applyBorder="1" applyAlignment="1">
      <alignment horizontal="center" vertical="top" wrapText="1"/>
    </xf>
    <xf numFmtId="4" fontId="15" fillId="0" borderId="7" xfId="5" applyNumberFormat="1" applyFont="1" applyFill="1" applyBorder="1"/>
    <xf numFmtId="4" fontId="15" fillId="0" borderId="36" xfId="5" applyNumberFormat="1" applyFont="1" applyFill="1" applyBorder="1"/>
    <xf numFmtId="0" fontId="9" fillId="0" borderId="64" xfId="0" applyFont="1" applyBorder="1" applyAlignment="1">
      <alignment horizontal="center" vertical="center" wrapText="1"/>
    </xf>
    <xf numFmtId="4" fontId="15" fillId="0" borderId="0" xfId="5" applyNumberFormat="1" applyFont="1" applyFill="1" applyBorder="1"/>
    <xf numFmtId="4" fontId="15" fillId="0" borderId="54" xfId="5" applyNumberFormat="1" applyFont="1" applyFill="1" applyBorder="1"/>
    <xf numFmtId="0" fontId="9" fillId="0" borderId="22" xfId="0" applyFont="1" applyBorder="1" applyAlignment="1">
      <alignment horizontal="center" vertical="center" wrapText="1"/>
    </xf>
    <xf numFmtId="3" fontId="9" fillId="0" borderId="0" xfId="0" applyNumberFormat="1" applyFont="1" applyAlignment="1">
      <alignment horizontal="right" vertical="center" wrapText="1" shrinkToFit="1"/>
    </xf>
    <xf numFmtId="3" fontId="9" fillId="0" borderId="6" xfId="0" applyNumberFormat="1" applyFont="1" applyBorder="1" applyAlignment="1">
      <alignment horizontal="right" vertical="center" wrapText="1" shrinkToFit="1"/>
    </xf>
    <xf numFmtId="4" fontId="15" fillId="0" borderId="62" xfId="5" applyNumberFormat="1" applyFont="1" applyFill="1" applyBorder="1"/>
    <xf numFmtId="0" fontId="9" fillId="0" borderId="21" xfId="0" applyFont="1" applyBorder="1" applyAlignment="1">
      <alignment horizontal="center" vertical="center" wrapText="1"/>
    </xf>
    <xf numFmtId="0" fontId="5" fillId="6" borderId="6" xfId="1" applyFont="1" applyBorder="1" applyAlignment="1">
      <alignment horizontal="left" vertical="center" wrapText="1"/>
    </xf>
    <xf numFmtId="0" fontId="5" fillId="6" borderId="62" xfId="1" applyFont="1" applyBorder="1" applyAlignment="1">
      <alignment horizontal="left" vertical="center" wrapText="1"/>
    </xf>
  </cellXfs>
  <cellStyles count="6">
    <cellStyle name="Accent1" xfId="1" builtinId="29"/>
    <cellStyle name="Currency" xfId="5" builtinId="4"/>
    <cellStyle name="Hyperlink" xfId="2" builtinId="8"/>
    <cellStyle name="Normal" xfId="0" builtinId="0"/>
    <cellStyle name="Normal 2" xfId="4" xr:uid="{FDF94146-953C-7945-ADA7-B3E5E70C8B5E}"/>
    <cellStyle name="Normal 3" xfId="3" xr:uid="{C7CC0196-E4F6-EF4E-9744-0EBCDC14AD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9A62-85DB-B34F-92AA-DE99D5B981F6}">
  <dimension ref="A1:G154"/>
  <sheetViews>
    <sheetView tabSelected="1" zoomScale="150" zoomScaleNormal="114" workbookViewId="0"/>
  </sheetViews>
  <sheetFormatPr baseColWidth="10" defaultColWidth="9.19921875" defaultRowHeight="17" customHeight="1" x14ac:dyDescent="0.15"/>
  <cols>
    <col min="2" max="2" width="5.796875" bestFit="1" customWidth="1"/>
    <col min="3" max="3" width="133.19921875" customWidth="1"/>
    <col min="4" max="4" width="4.796875" bestFit="1" customWidth="1"/>
    <col min="5" max="5" width="12.796875" bestFit="1" customWidth="1"/>
    <col min="6" max="6" width="12.3984375" bestFit="1" customWidth="1"/>
    <col min="7" max="7" width="12" bestFit="1" customWidth="1"/>
  </cols>
  <sheetData>
    <row r="1" spans="1:7" ht="14" x14ac:dyDescent="0.15">
      <c r="A1" s="44"/>
      <c r="B1" s="232" t="s">
        <v>41</v>
      </c>
      <c r="C1" s="233"/>
      <c r="D1" s="233"/>
      <c r="E1" s="233"/>
      <c r="F1" s="233"/>
      <c r="G1" s="234"/>
    </row>
    <row r="2" spans="1:7" ht="14" x14ac:dyDescent="0.2">
      <c r="A2" s="45"/>
      <c r="B2" s="173"/>
      <c r="C2" s="174"/>
      <c r="D2" s="174"/>
      <c r="E2" s="174"/>
      <c r="F2" s="174"/>
      <c r="G2" s="175"/>
    </row>
    <row r="3" spans="1:7" ht="15" x14ac:dyDescent="0.15">
      <c r="A3" s="44"/>
      <c r="B3" s="46" t="s">
        <v>42</v>
      </c>
      <c r="C3" s="235" t="s">
        <v>43</v>
      </c>
      <c r="D3" s="236"/>
      <c r="E3" s="236"/>
      <c r="F3" s="237"/>
      <c r="G3" s="47" t="s">
        <v>44</v>
      </c>
    </row>
    <row r="4" spans="1:7" ht="14" x14ac:dyDescent="0.15">
      <c r="A4" s="44"/>
      <c r="B4" s="48">
        <v>1</v>
      </c>
      <c r="C4" s="216" t="s">
        <v>6</v>
      </c>
      <c r="D4" s="217"/>
      <c r="E4" s="217"/>
      <c r="F4" s="218"/>
      <c r="G4" s="49">
        <f>F55</f>
        <v>0</v>
      </c>
    </row>
    <row r="5" spans="1:7" ht="14" x14ac:dyDescent="0.15">
      <c r="A5" s="44"/>
      <c r="B5" s="48">
        <v>2</v>
      </c>
      <c r="C5" s="216" t="s">
        <v>5</v>
      </c>
      <c r="D5" s="217"/>
      <c r="E5" s="217"/>
      <c r="F5" s="218"/>
      <c r="G5" s="49">
        <f>F134</f>
        <v>0</v>
      </c>
    </row>
    <row r="6" spans="1:7" ht="14" x14ac:dyDescent="0.15">
      <c r="A6" s="44"/>
      <c r="B6" s="48">
        <v>3</v>
      </c>
      <c r="C6" s="216" t="s">
        <v>10</v>
      </c>
      <c r="D6" s="217"/>
      <c r="E6" s="217"/>
      <c r="F6" s="218"/>
      <c r="G6" s="49">
        <f>F152</f>
        <v>0</v>
      </c>
    </row>
    <row r="7" spans="1:7" ht="14" x14ac:dyDescent="0.15">
      <c r="A7" s="44"/>
      <c r="B7" s="48">
        <v>4</v>
      </c>
      <c r="C7" s="216"/>
      <c r="D7" s="217"/>
      <c r="E7" s="217"/>
      <c r="F7" s="218"/>
      <c r="G7" s="49"/>
    </row>
    <row r="8" spans="1:7" ht="14" x14ac:dyDescent="0.15">
      <c r="A8" s="44"/>
      <c r="B8" s="48">
        <v>5</v>
      </c>
      <c r="C8" s="216"/>
      <c r="D8" s="217"/>
      <c r="E8" s="217"/>
      <c r="F8" s="218"/>
      <c r="G8" s="49"/>
    </row>
    <row r="9" spans="1:7" ht="14" x14ac:dyDescent="0.15">
      <c r="A9" s="44"/>
      <c r="B9" s="50">
        <v>6</v>
      </c>
      <c r="C9" s="238"/>
      <c r="D9" s="239"/>
      <c r="E9" s="239"/>
      <c r="F9" s="240"/>
      <c r="G9" s="51"/>
    </row>
    <row r="10" spans="1:7" ht="14" x14ac:dyDescent="0.15">
      <c r="A10" s="44"/>
      <c r="B10" s="48">
        <v>7</v>
      </c>
      <c r="C10" s="216"/>
      <c r="D10" s="217"/>
      <c r="E10" s="217"/>
      <c r="F10" s="218"/>
      <c r="G10" s="49"/>
    </row>
    <row r="11" spans="1:7" ht="14" x14ac:dyDescent="0.15">
      <c r="A11" s="44"/>
      <c r="B11" s="52">
        <v>7.1</v>
      </c>
      <c r="C11" s="216"/>
      <c r="D11" s="217"/>
      <c r="E11" s="217"/>
      <c r="F11" s="218"/>
      <c r="G11" s="53"/>
    </row>
    <row r="12" spans="1:7" ht="14" x14ac:dyDescent="0.15">
      <c r="A12" s="44"/>
      <c r="B12" s="52">
        <v>7.2</v>
      </c>
      <c r="C12" s="216"/>
      <c r="D12" s="217"/>
      <c r="E12" s="217"/>
      <c r="F12" s="218"/>
      <c r="G12" s="49"/>
    </row>
    <row r="13" spans="1:7" ht="14" x14ac:dyDescent="0.15">
      <c r="A13" s="44"/>
      <c r="B13" s="219" t="s">
        <v>9</v>
      </c>
      <c r="C13" s="220"/>
      <c r="D13" s="220"/>
      <c r="E13" s="220"/>
      <c r="F13" s="221"/>
      <c r="G13" s="54">
        <f>SUM(G4:G8)</f>
        <v>0</v>
      </c>
    </row>
    <row r="14" spans="1:7" ht="14" x14ac:dyDescent="0.15">
      <c r="A14" s="44"/>
      <c r="B14" s="222" t="s">
        <v>45</v>
      </c>
      <c r="C14" s="223"/>
      <c r="D14" s="223"/>
      <c r="E14" s="223"/>
      <c r="F14" s="224"/>
      <c r="G14" s="55">
        <f>G13/3.75</f>
        <v>0</v>
      </c>
    </row>
    <row r="15" spans="1:7" ht="14" x14ac:dyDescent="0.15">
      <c r="A15" s="44"/>
      <c r="B15" s="56">
        <v>8</v>
      </c>
      <c r="C15" s="225" t="s">
        <v>14</v>
      </c>
      <c r="D15" s="226"/>
      <c r="E15" s="226"/>
      <c r="F15" s="227"/>
      <c r="G15" s="57"/>
    </row>
    <row r="16" spans="1:7" ht="14" x14ac:dyDescent="0.15">
      <c r="A16" s="44"/>
      <c r="B16" s="56">
        <v>9</v>
      </c>
      <c r="C16" s="225" t="s">
        <v>46</v>
      </c>
      <c r="D16" s="226"/>
      <c r="E16" s="226"/>
      <c r="F16" s="227"/>
      <c r="G16" s="57"/>
    </row>
    <row r="17" spans="1:7" ht="14" x14ac:dyDescent="0.15">
      <c r="A17" s="44"/>
      <c r="B17" s="56">
        <v>10</v>
      </c>
      <c r="C17" s="225"/>
      <c r="D17" s="226"/>
      <c r="E17" s="226"/>
      <c r="F17" s="227"/>
      <c r="G17" s="57"/>
    </row>
    <row r="18" spans="1:7" ht="14" x14ac:dyDescent="0.15">
      <c r="A18" s="44"/>
      <c r="B18" s="219" t="s">
        <v>47</v>
      </c>
      <c r="C18" s="220"/>
      <c r="D18" s="220"/>
      <c r="E18" s="220"/>
      <c r="F18" s="221"/>
      <c r="G18" s="54">
        <f>SUM(G15:G17)+G13</f>
        <v>0</v>
      </c>
    </row>
    <row r="19" spans="1:7" ht="15" thickBot="1" x14ac:dyDescent="0.2">
      <c r="A19" s="44"/>
      <c r="B19" s="228" t="s">
        <v>45</v>
      </c>
      <c r="C19" s="229"/>
      <c r="D19" s="229"/>
      <c r="E19" s="229"/>
      <c r="F19" s="230"/>
      <c r="G19" s="58">
        <f>G18/3.75</f>
        <v>0</v>
      </c>
    </row>
    <row r="20" spans="1:7" ht="15" thickBot="1" x14ac:dyDescent="0.25">
      <c r="A20" s="45"/>
      <c r="B20" s="231"/>
      <c r="C20" s="231"/>
      <c r="D20" s="231"/>
      <c r="E20" s="231"/>
      <c r="F20" s="231"/>
      <c r="G20" s="231"/>
    </row>
    <row r="21" spans="1:7" ht="14" customHeight="1" x14ac:dyDescent="0.15">
      <c r="A21" s="44"/>
      <c r="B21" s="59">
        <v>1</v>
      </c>
      <c r="C21" s="176" t="s">
        <v>6</v>
      </c>
      <c r="D21" s="161"/>
      <c r="E21" s="161"/>
      <c r="F21" s="161"/>
      <c r="G21" s="177"/>
    </row>
    <row r="22" spans="1:7" ht="14" x14ac:dyDescent="0.2">
      <c r="A22" s="45"/>
      <c r="B22" s="173"/>
      <c r="C22" s="174"/>
      <c r="D22" s="174"/>
      <c r="E22" s="174"/>
      <c r="F22" s="174"/>
      <c r="G22" s="175"/>
    </row>
    <row r="23" spans="1:7" ht="14" customHeight="1" x14ac:dyDescent="0.15">
      <c r="A23" s="44"/>
      <c r="B23" s="213" t="s">
        <v>48</v>
      </c>
      <c r="C23" s="214"/>
      <c r="D23" s="214"/>
      <c r="E23" s="214"/>
      <c r="F23" s="214"/>
      <c r="G23" s="215"/>
    </row>
    <row r="24" spans="1:7" ht="15" x14ac:dyDescent="0.15">
      <c r="A24" s="44"/>
      <c r="B24" s="1" t="s">
        <v>15</v>
      </c>
      <c r="C24" s="2" t="s">
        <v>16</v>
      </c>
      <c r="D24" s="3" t="s">
        <v>17</v>
      </c>
      <c r="E24" s="4" t="s">
        <v>18</v>
      </c>
      <c r="F24" s="4" t="s">
        <v>19</v>
      </c>
      <c r="G24" s="5" t="s">
        <v>3</v>
      </c>
    </row>
    <row r="25" spans="1:7" ht="15" x14ac:dyDescent="0.15">
      <c r="A25" s="44"/>
      <c r="B25" s="6">
        <v>1.01</v>
      </c>
      <c r="C25" s="7" t="s">
        <v>49</v>
      </c>
      <c r="D25" s="8">
        <v>2</v>
      </c>
      <c r="E25" s="9"/>
      <c r="F25" s="9">
        <f>E25*D25</f>
        <v>0</v>
      </c>
      <c r="G25" s="155"/>
    </row>
    <row r="26" spans="1:7" ht="15" x14ac:dyDescent="0.15">
      <c r="A26" s="44"/>
      <c r="B26" s="6">
        <v>1.02</v>
      </c>
      <c r="C26" s="7" t="s">
        <v>7</v>
      </c>
      <c r="D26" s="8">
        <v>1</v>
      </c>
      <c r="E26" s="9"/>
      <c r="F26" s="9">
        <f t="shared" ref="F26:F27" si="0">E26*D26</f>
        <v>0</v>
      </c>
      <c r="G26" s="178"/>
    </row>
    <row r="27" spans="1:7" ht="15" x14ac:dyDescent="0.15">
      <c r="A27" s="44"/>
      <c r="B27" s="6">
        <v>1.03</v>
      </c>
      <c r="C27" s="7" t="s">
        <v>8</v>
      </c>
      <c r="D27" s="8">
        <v>1</v>
      </c>
      <c r="E27" s="9"/>
      <c r="F27" s="9">
        <f t="shared" si="0"/>
        <v>0</v>
      </c>
      <c r="G27" s="156"/>
    </row>
    <row r="28" spans="1:7" ht="15" x14ac:dyDescent="0.15">
      <c r="A28" s="44"/>
      <c r="B28" s="61"/>
      <c r="C28" s="44"/>
      <c r="D28" s="44"/>
      <c r="E28" s="4" t="s">
        <v>30</v>
      </c>
      <c r="F28" s="62">
        <f>SUM(F25:F27)</f>
        <v>0</v>
      </c>
      <c r="G28" s="63"/>
    </row>
    <row r="29" spans="1:7" ht="14" customHeight="1" x14ac:dyDescent="0.15">
      <c r="A29" s="44"/>
      <c r="B29" s="190" t="s">
        <v>50</v>
      </c>
      <c r="C29" s="191"/>
      <c r="D29" s="191"/>
      <c r="E29" s="191"/>
      <c r="F29" s="191"/>
      <c r="G29" s="192"/>
    </row>
    <row r="30" spans="1:7" ht="15" x14ac:dyDescent="0.15">
      <c r="A30" s="44"/>
      <c r="B30" s="1" t="s">
        <v>15</v>
      </c>
      <c r="C30" s="2" t="s">
        <v>16</v>
      </c>
      <c r="D30" s="3" t="s">
        <v>17</v>
      </c>
      <c r="E30" s="4" t="s">
        <v>18</v>
      </c>
      <c r="F30" s="4" t="s">
        <v>19</v>
      </c>
      <c r="G30" s="5" t="s">
        <v>3</v>
      </c>
    </row>
    <row r="31" spans="1:7" ht="45" x14ac:dyDescent="0.15">
      <c r="A31" s="44"/>
      <c r="B31" s="6">
        <v>1.04</v>
      </c>
      <c r="C31" s="7" t="s">
        <v>51</v>
      </c>
      <c r="D31" s="65">
        <v>1</v>
      </c>
      <c r="E31" s="66"/>
      <c r="F31" s="9">
        <f>E31*D31</f>
        <v>0</v>
      </c>
      <c r="G31" s="155"/>
    </row>
    <row r="32" spans="1:7" ht="15" x14ac:dyDescent="0.15">
      <c r="A32" s="44"/>
      <c r="B32" s="6">
        <v>1.05</v>
      </c>
      <c r="C32" s="7" t="s">
        <v>52</v>
      </c>
      <c r="D32" s="65">
        <v>1</v>
      </c>
      <c r="E32" s="66"/>
      <c r="F32" s="9">
        <f t="shared" ref="F32:F34" si="1">E32*D32</f>
        <v>0</v>
      </c>
      <c r="G32" s="178"/>
    </row>
    <row r="33" spans="1:7" ht="15" x14ac:dyDescent="0.15">
      <c r="A33" s="44"/>
      <c r="B33" s="6">
        <v>1.06</v>
      </c>
      <c r="C33" s="7" t="s">
        <v>53</v>
      </c>
      <c r="D33" s="65">
        <v>1</v>
      </c>
      <c r="E33" s="66"/>
      <c r="F33" s="9">
        <f t="shared" si="1"/>
        <v>0</v>
      </c>
      <c r="G33" s="178"/>
    </row>
    <row r="34" spans="1:7" ht="15" x14ac:dyDescent="0.15">
      <c r="A34" s="44"/>
      <c r="B34" s="6">
        <v>1.07</v>
      </c>
      <c r="C34" s="7" t="s">
        <v>54</v>
      </c>
      <c r="D34" s="65">
        <v>1</v>
      </c>
      <c r="E34" s="66"/>
      <c r="F34" s="9">
        <f t="shared" si="1"/>
        <v>0</v>
      </c>
      <c r="G34" s="156"/>
    </row>
    <row r="35" spans="1:7" ht="15" x14ac:dyDescent="0.2">
      <c r="A35" s="44"/>
      <c r="B35" s="193"/>
      <c r="C35" s="194"/>
      <c r="D35" s="194"/>
      <c r="E35" s="4" t="s">
        <v>30</v>
      </c>
      <c r="F35" s="62">
        <f>SUM(F31:F34)</f>
        <v>0</v>
      </c>
      <c r="G35" s="63"/>
    </row>
    <row r="36" spans="1:7" ht="14" customHeight="1" x14ac:dyDescent="0.2">
      <c r="A36" s="45"/>
      <c r="B36" s="195" t="s">
        <v>55</v>
      </c>
      <c r="C36" s="196"/>
      <c r="D36" s="196"/>
      <c r="E36" s="196"/>
      <c r="F36" s="196"/>
      <c r="G36" s="197"/>
    </row>
    <row r="37" spans="1:7" ht="15" x14ac:dyDescent="0.15">
      <c r="A37" s="44"/>
      <c r="B37" s="1" t="s">
        <v>15</v>
      </c>
      <c r="C37" s="2" t="s">
        <v>16</v>
      </c>
      <c r="D37" s="3" t="s">
        <v>17</v>
      </c>
      <c r="E37" s="4" t="s">
        <v>18</v>
      </c>
      <c r="F37" s="4" t="s">
        <v>19</v>
      </c>
      <c r="G37" s="5" t="s">
        <v>3</v>
      </c>
    </row>
    <row r="38" spans="1:7" ht="15" x14ac:dyDescent="0.15">
      <c r="A38" s="44"/>
      <c r="B38" s="6">
        <v>1.8</v>
      </c>
      <c r="C38" s="7" t="s">
        <v>56</v>
      </c>
      <c r="D38" s="8">
        <v>200</v>
      </c>
      <c r="E38" s="9"/>
      <c r="F38" s="9">
        <f>E38*D38</f>
        <v>0</v>
      </c>
      <c r="G38" s="10"/>
    </row>
    <row r="39" spans="1:7" ht="15" x14ac:dyDescent="0.15">
      <c r="A39" s="44"/>
      <c r="B39" s="6">
        <v>1.9</v>
      </c>
      <c r="C39" s="7" t="s">
        <v>57</v>
      </c>
      <c r="D39" s="8">
        <v>25</v>
      </c>
      <c r="E39" s="9"/>
      <c r="F39" s="9">
        <f>E39*D39</f>
        <v>0</v>
      </c>
      <c r="G39" s="10"/>
    </row>
    <row r="40" spans="1:7" ht="15" x14ac:dyDescent="0.2">
      <c r="A40" s="44"/>
      <c r="B40" s="198"/>
      <c r="C40" s="199"/>
      <c r="D40" s="200"/>
      <c r="E40" s="67" t="s">
        <v>30</v>
      </c>
      <c r="F40" s="34">
        <f>F38+F39</f>
        <v>0</v>
      </c>
      <c r="G40" s="35"/>
    </row>
    <row r="41" spans="1:7" ht="14" customHeight="1" x14ac:dyDescent="0.15">
      <c r="A41" s="44"/>
      <c r="B41" s="201" t="s">
        <v>58</v>
      </c>
      <c r="C41" s="196"/>
      <c r="D41" s="196"/>
      <c r="E41" s="196"/>
      <c r="F41" s="196"/>
      <c r="G41" s="197"/>
    </row>
    <row r="42" spans="1:7" ht="15" x14ac:dyDescent="0.15">
      <c r="A42" s="44"/>
      <c r="B42" s="1" t="s">
        <v>15</v>
      </c>
      <c r="C42" s="2" t="s">
        <v>16</v>
      </c>
      <c r="D42" s="3" t="s">
        <v>17</v>
      </c>
      <c r="E42" s="4" t="s">
        <v>18</v>
      </c>
      <c r="F42" s="4" t="s">
        <v>19</v>
      </c>
      <c r="G42" s="5" t="s">
        <v>3</v>
      </c>
    </row>
    <row r="43" spans="1:7" ht="15" x14ac:dyDescent="0.15">
      <c r="A43" s="44"/>
      <c r="B43" s="6">
        <v>1.1000000000000001</v>
      </c>
      <c r="C43" s="7" t="s">
        <v>59</v>
      </c>
      <c r="D43" s="8">
        <v>1</v>
      </c>
      <c r="E43" s="9"/>
      <c r="F43" s="9">
        <f>E43*D43</f>
        <v>0</v>
      </c>
      <c r="G43" s="10"/>
    </row>
    <row r="44" spans="1:7" ht="15" x14ac:dyDescent="0.15">
      <c r="A44" s="44"/>
      <c r="B44" s="202"/>
      <c r="C44" s="203"/>
      <c r="D44" s="204"/>
      <c r="E44" s="4" t="s">
        <v>30</v>
      </c>
      <c r="F44" s="62">
        <f>F43</f>
        <v>0</v>
      </c>
      <c r="G44" s="68"/>
    </row>
    <row r="45" spans="1:7" ht="14" x14ac:dyDescent="0.15">
      <c r="A45" s="44"/>
      <c r="B45" s="69"/>
      <c r="C45" s="70"/>
      <c r="D45" s="70"/>
      <c r="E45" s="71"/>
      <c r="F45" s="72"/>
      <c r="G45" s="73"/>
    </row>
    <row r="46" spans="1:7" ht="14" customHeight="1" x14ac:dyDescent="0.15">
      <c r="A46" s="44"/>
      <c r="B46" s="205" t="s">
        <v>60</v>
      </c>
      <c r="C46" s="206"/>
      <c r="D46" s="206"/>
      <c r="E46" s="206"/>
      <c r="F46" s="206"/>
      <c r="G46" s="207"/>
    </row>
    <row r="47" spans="1:7" ht="15" x14ac:dyDescent="0.15">
      <c r="A47" s="44"/>
      <c r="B47" s="1" t="s">
        <v>15</v>
      </c>
      <c r="C47" s="2" t="s">
        <v>16</v>
      </c>
      <c r="D47" s="3" t="s">
        <v>17</v>
      </c>
      <c r="E47" s="4" t="s">
        <v>18</v>
      </c>
      <c r="F47" s="4" t="s">
        <v>19</v>
      </c>
      <c r="G47" s="5" t="s">
        <v>3</v>
      </c>
    </row>
    <row r="48" spans="1:7" ht="15" x14ac:dyDescent="0.15">
      <c r="A48" s="44"/>
      <c r="B48" s="1"/>
      <c r="C48" s="64" t="s">
        <v>61</v>
      </c>
      <c r="D48" s="3"/>
      <c r="E48" s="4"/>
      <c r="F48" s="4"/>
      <c r="G48" s="5"/>
    </row>
    <row r="49" spans="1:7" ht="75" x14ac:dyDescent="0.15">
      <c r="A49" s="44"/>
      <c r="B49" s="6">
        <v>1.1100000000000001</v>
      </c>
      <c r="C49" s="7" t="s">
        <v>62</v>
      </c>
      <c r="D49" s="8">
        <v>1</v>
      </c>
      <c r="E49" s="9"/>
      <c r="F49" s="9">
        <f>E49*D49</f>
        <v>0</v>
      </c>
      <c r="G49" s="10"/>
    </row>
    <row r="50" spans="1:7" ht="15" x14ac:dyDescent="0.15">
      <c r="A50" s="44"/>
      <c r="B50" s="74"/>
      <c r="C50" s="2" t="s">
        <v>63</v>
      </c>
      <c r="D50" s="2"/>
      <c r="E50" s="2"/>
      <c r="F50" s="2"/>
      <c r="G50" s="75"/>
    </row>
    <row r="51" spans="1:7" ht="75" x14ac:dyDescent="0.15">
      <c r="A51" s="44"/>
      <c r="B51" s="6">
        <v>1.1200000000000001</v>
      </c>
      <c r="C51" s="7" t="s">
        <v>64</v>
      </c>
      <c r="D51" s="8">
        <v>1</v>
      </c>
      <c r="E51" s="9"/>
      <c r="F51" s="9">
        <f>E51*D51</f>
        <v>0</v>
      </c>
      <c r="G51" s="10"/>
    </row>
    <row r="52" spans="1:7" ht="15" x14ac:dyDescent="0.15">
      <c r="A52" s="44"/>
      <c r="B52" s="74"/>
      <c r="C52" s="2" t="s">
        <v>65</v>
      </c>
      <c r="D52" s="2"/>
      <c r="E52" s="2"/>
      <c r="F52" s="2"/>
      <c r="G52" s="75"/>
    </row>
    <row r="53" spans="1:7" ht="46" thickBot="1" x14ac:dyDescent="0.2">
      <c r="A53" s="44"/>
      <c r="B53" s="29">
        <v>1.1200000000000001</v>
      </c>
      <c r="C53" s="30" t="s">
        <v>66</v>
      </c>
      <c r="D53" s="31">
        <v>1</v>
      </c>
      <c r="E53" s="32"/>
      <c r="F53" s="32">
        <f>E53*D53</f>
        <v>0</v>
      </c>
      <c r="G53" s="21"/>
    </row>
    <row r="54" spans="1:7" ht="16" thickBot="1" x14ac:dyDescent="0.25">
      <c r="A54" s="44"/>
      <c r="B54" s="208"/>
      <c r="C54" s="209"/>
      <c r="D54" s="209"/>
      <c r="E54" s="76" t="s">
        <v>30</v>
      </c>
      <c r="F54" s="77">
        <f>F49+F51+F53</f>
        <v>0</v>
      </c>
      <c r="G54" s="78"/>
    </row>
    <row r="55" spans="1:7" ht="17" customHeight="1" thickBot="1" x14ac:dyDescent="0.25">
      <c r="A55" s="45"/>
      <c r="B55" s="210" t="s">
        <v>67</v>
      </c>
      <c r="C55" s="211"/>
      <c r="D55" s="212"/>
      <c r="E55" s="79" t="s">
        <v>68</v>
      </c>
      <c r="F55" s="80">
        <f>SUM(F44+F40+F35+F28+F54)</f>
        <v>0</v>
      </c>
      <c r="G55" s="81"/>
    </row>
    <row r="56" spans="1:7" ht="15" x14ac:dyDescent="0.2">
      <c r="A56" s="82"/>
      <c r="B56" s="83"/>
      <c r="C56" s="84"/>
      <c r="D56" s="84"/>
      <c r="E56" s="85"/>
      <c r="F56" s="86"/>
      <c r="G56" s="87"/>
    </row>
    <row r="57" spans="1:7" ht="15" customHeight="1" thickBot="1" x14ac:dyDescent="0.2">
      <c r="A57" s="44"/>
      <c r="B57" s="88">
        <v>2</v>
      </c>
      <c r="C57" s="187" t="s">
        <v>5</v>
      </c>
      <c r="D57" s="188"/>
      <c r="E57" s="188"/>
      <c r="F57" s="188"/>
      <c r="G57" s="189"/>
    </row>
    <row r="58" spans="1:7" ht="14" x14ac:dyDescent="0.2">
      <c r="A58" s="45"/>
      <c r="B58" s="182"/>
      <c r="C58" s="183"/>
      <c r="D58" s="183"/>
      <c r="E58" s="183"/>
      <c r="F58" s="183"/>
      <c r="G58" s="184"/>
    </row>
    <row r="59" spans="1:7" ht="14" customHeight="1" x14ac:dyDescent="0.15">
      <c r="A59" s="44"/>
      <c r="B59" s="152" t="s">
        <v>0</v>
      </c>
      <c r="C59" s="153"/>
      <c r="D59" s="153"/>
      <c r="E59" s="153"/>
      <c r="F59" s="153"/>
      <c r="G59" s="154"/>
    </row>
    <row r="60" spans="1:7" ht="14" customHeight="1" x14ac:dyDescent="0.15">
      <c r="A60" s="44"/>
      <c r="B60" s="152" t="s">
        <v>69</v>
      </c>
      <c r="C60" s="153"/>
      <c r="D60" s="153"/>
      <c r="E60" s="153"/>
      <c r="F60" s="153"/>
      <c r="G60" s="154"/>
    </row>
    <row r="61" spans="1:7" ht="15" x14ac:dyDescent="0.15">
      <c r="A61" s="44"/>
      <c r="B61" s="1" t="s">
        <v>15</v>
      </c>
      <c r="C61" s="106" t="s">
        <v>16</v>
      </c>
      <c r="D61" s="107" t="s">
        <v>17</v>
      </c>
      <c r="E61" s="67" t="s">
        <v>18</v>
      </c>
      <c r="F61" s="67" t="s">
        <v>19</v>
      </c>
      <c r="G61" s="89" t="s">
        <v>3</v>
      </c>
    </row>
    <row r="62" spans="1:7" ht="15" x14ac:dyDescent="0.15">
      <c r="A62" s="44"/>
      <c r="B62" s="266">
        <v>2.0099999999999998</v>
      </c>
      <c r="C62" s="267" t="s">
        <v>113</v>
      </c>
      <c r="D62" s="268">
        <v>4</v>
      </c>
      <c r="E62" s="275"/>
      <c r="F62" s="276">
        <f>E62*D62</f>
        <v>0</v>
      </c>
      <c r="G62" s="277"/>
    </row>
    <row r="63" spans="1:7" ht="15" x14ac:dyDescent="0.15">
      <c r="A63" s="44"/>
      <c r="B63" s="266">
        <v>2.02</v>
      </c>
      <c r="C63" s="269" t="s">
        <v>79</v>
      </c>
      <c r="D63" s="270">
        <v>8</v>
      </c>
      <c r="E63" s="278"/>
      <c r="F63" s="279">
        <f t="shared" ref="F63:F91" si="2">E63*D63</f>
        <v>0</v>
      </c>
      <c r="G63" s="280"/>
    </row>
    <row r="64" spans="1:7" ht="15" x14ac:dyDescent="0.15">
      <c r="A64" s="44"/>
      <c r="B64" s="266">
        <v>2.0299999999999998</v>
      </c>
      <c r="C64" s="269" t="s">
        <v>70</v>
      </c>
      <c r="D64" s="270">
        <v>16</v>
      </c>
      <c r="E64" s="278"/>
      <c r="F64" s="279">
        <f t="shared" si="2"/>
        <v>0</v>
      </c>
      <c r="G64" s="280"/>
    </row>
    <row r="65" spans="1:7" ht="15" x14ac:dyDescent="0.15">
      <c r="A65" s="44"/>
      <c r="B65" s="266">
        <v>2.04</v>
      </c>
      <c r="C65" s="269" t="s">
        <v>114</v>
      </c>
      <c r="D65" s="270">
        <v>24</v>
      </c>
      <c r="E65" s="278"/>
      <c r="F65" s="279">
        <f t="shared" si="2"/>
        <v>0</v>
      </c>
      <c r="G65" s="280"/>
    </row>
    <row r="66" spans="1:7" ht="15" x14ac:dyDescent="0.15">
      <c r="A66" s="44"/>
      <c r="B66" s="266">
        <v>2.0499999999999998</v>
      </c>
      <c r="C66" s="269" t="s">
        <v>115</v>
      </c>
      <c r="D66" s="270">
        <v>8</v>
      </c>
      <c r="E66" s="278"/>
      <c r="F66" s="279">
        <f t="shared" si="2"/>
        <v>0</v>
      </c>
      <c r="G66" s="280"/>
    </row>
    <row r="67" spans="1:7" ht="15" x14ac:dyDescent="0.15">
      <c r="A67" s="44"/>
      <c r="B67" s="266">
        <v>2.06</v>
      </c>
      <c r="C67" s="269" t="s">
        <v>116</v>
      </c>
      <c r="D67" s="270">
        <v>4</v>
      </c>
      <c r="E67" s="278"/>
      <c r="F67" s="279">
        <f t="shared" si="2"/>
        <v>0</v>
      </c>
      <c r="G67" s="280"/>
    </row>
    <row r="68" spans="1:7" ht="15" x14ac:dyDescent="0.15">
      <c r="A68" s="44"/>
      <c r="B68" s="266">
        <v>2.0699999999999998</v>
      </c>
      <c r="C68" s="269" t="s">
        <v>117</v>
      </c>
      <c r="D68" s="270">
        <v>8</v>
      </c>
      <c r="E68" s="278"/>
      <c r="F68" s="279">
        <f t="shared" si="2"/>
        <v>0</v>
      </c>
      <c r="G68" s="280"/>
    </row>
    <row r="69" spans="1:7" ht="15" x14ac:dyDescent="0.15">
      <c r="A69" s="44"/>
      <c r="B69" s="266">
        <v>2.08</v>
      </c>
      <c r="C69" s="269" t="s">
        <v>73</v>
      </c>
      <c r="D69" s="270">
        <v>4</v>
      </c>
      <c r="E69" s="278"/>
      <c r="F69" s="279">
        <f t="shared" si="2"/>
        <v>0</v>
      </c>
      <c r="G69" s="280"/>
    </row>
    <row r="70" spans="1:7" ht="14" x14ac:dyDescent="0.15">
      <c r="A70" s="44"/>
      <c r="B70" s="266"/>
      <c r="C70" s="269"/>
      <c r="D70" s="270"/>
      <c r="E70" s="278"/>
      <c r="F70" s="279"/>
      <c r="G70" s="280"/>
    </row>
    <row r="71" spans="1:7" ht="15" x14ac:dyDescent="0.15">
      <c r="A71" s="44"/>
      <c r="B71" s="266">
        <v>2.09</v>
      </c>
      <c r="C71" s="271" t="s">
        <v>74</v>
      </c>
      <c r="D71" s="270">
        <v>4</v>
      </c>
      <c r="E71" s="278"/>
      <c r="F71" s="279">
        <f t="shared" si="2"/>
        <v>0</v>
      </c>
      <c r="G71" s="280"/>
    </row>
    <row r="72" spans="1:7" ht="15" x14ac:dyDescent="0.15">
      <c r="A72" s="44"/>
      <c r="B72" s="266">
        <v>2.1</v>
      </c>
      <c r="C72" s="271" t="s">
        <v>75</v>
      </c>
      <c r="D72" s="270">
        <v>4</v>
      </c>
      <c r="E72" s="278"/>
      <c r="F72" s="279">
        <f t="shared" si="2"/>
        <v>0</v>
      </c>
      <c r="G72" s="280"/>
    </row>
    <row r="73" spans="1:7" ht="14" x14ac:dyDescent="0.15">
      <c r="A73" s="44"/>
      <c r="B73" s="266"/>
      <c r="C73" s="271"/>
      <c r="D73" s="270"/>
      <c r="E73" s="278"/>
      <c r="F73" s="279"/>
      <c r="G73" s="280"/>
    </row>
    <row r="74" spans="1:7" ht="15" x14ac:dyDescent="0.15">
      <c r="A74" s="44"/>
      <c r="B74" s="266">
        <v>2.11</v>
      </c>
      <c r="C74" s="271" t="s">
        <v>76</v>
      </c>
      <c r="D74" s="270">
        <v>8</v>
      </c>
      <c r="E74" s="278"/>
      <c r="F74" s="279">
        <f t="shared" si="2"/>
        <v>0</v>
      </c>
      <c r="G74" s="280"/>
    </row>
    <row r="75" spans="1:7" ht="15" x14ac:dyDescent="0.15">
      <c r="A75" s="44"/>
      <c r="B75" s="266">
        <v>2.12</v>
      </c>
      <c r="C75" s="271" t="s">
        <v>77</v>
      </c>
      <c r="D75" s="270">
        <v>8</v>
      </c>
      <c r="E75" s="278"/>
      <c r="F75" s="279">
        <f t="shared" si="2"/>
        <v>0</v>
      </c>
      <c r="G75" s="280"/>
    </row>
    <row r="76" spans="1:7" ht="15" x14ac:dyDescent="0.15">
      <c r="A76" s="44"/>
      <c r="B76" s="266">
        <v>2.13</v>
      </c>
      <c r="C76" s="271" t="s">
        <v>78</v>
      </c>
      <c r="D76" s="270">
        <v>1</v>
      </c>
      <c r="E76" s="278"/>
      <c r="F76" s="279">
        <f t="shared" si="2"/>
        <v>0</v>
      </c>
      <c r="G76" s="280"/>
    </row>
    <row r="77" spans="1:7" ht="14" x14ac:dyDescent="0.15">
      <c r="A77" s="44"/>
      <c r="B77" s="266"/>
      <c r="C77" s="271"/>
      <c r="D77" s="270"/>
      <c r="E77" s="278"/>
      <c r="F77" s="279"/>
      <c r="G77" s="280"/>
    </row>
    <row r="78" spans="1:7" ht="15" x14ac:dyDescent="0.15">
      <c r="A78" s="44"/>
      <c r="B78" s="266">
        <v>2.14</v>
      </c>
      <c r="C78" s="271" t="s">
        <v>118</v>
      </c>
      <c r="D78" s="270">
        <v>1</v>
      </c>
      <c r="E78" s="278"/>
      <c r="F78" s="279">
        <f t="shared" si="2"/>
        <v>0</v>
      </c>
      <c r="G78" s="280"/>
    </row>
    <row r="79" spans="1:7" ht="15" x14ac:dyDescent="0.15">
      <c r="A79" s="44"/>
      <c r="B79" s="266">
        <v>2.15</v>
      </c>
      <c r="C79" s="271" t="s">
        <v>79</v>
      </c>
      <c r="D79" s="270">
        <v>1</v>
      </c>
      <c r="E79" s="278"/>
      <c r="F79" s="279">
        <f t="shared" si="2"/>
        <v>0</v>
      </c>
      <c r="G79" s="280"/>
    </row>
    <row r="80" spans="1:7" ht="15" x14ac:dyDescent="0.15">
      <c r="A80" s="44"/>
      <c r="B80" s="266">
        <v>2.16</v>
      </c>
      <c r="C80" s="271" t="s">
        <v>119</v>
      </c>
      <c r="D80" s="270">
        <v>2</v>
      </c>
      <c r="E80" s="278"/>
      <c r="F80" s="279">
        <f t="shared" si="2"/>
        <v>0</v>
      </c>
      <c r="G80" s="280"/>
    </row>
    <row r="81" spans="1:7" ht="15" x14ac:dyDescent="0.15">
      <c r="A81" s="44"/>
      <c r="B81" s="266">
        <v>2.17</v>
      </c>
      <c r="C81" s="271" t="s">
        <v>120</v>
      </c>
      <c r="D81" s="270">
        <v>2</v>
      </c>
      <c r="E81" s="278"/>
      <c r="F81" s="279">
        <f t="shared" si="2"/>
        <v>0</v>
      </c>
      <c r="G81" s="280"/>
    </row>
    <row r="82" spans="1:7" ht="15" x14ac:dyDescent="0.15">
      <c r="A82" s="44"/>
      <c r="B82" s="266">
        <v>2.1800000000000002</v>
      </c>
      <c r="C82" s="271" t="s">
        <v>121</v>
      </c>
      <c r="D82" s="270">
        <v>6</v>
      </c>
      <c r="E82" s="278"/>
      <c r="F82" s="279">
        <f t="shared" si="2"/>
        <v>0</v>
      </c>
      <c r="G82" s="280"/>
    </row>
    <row r="83" spans="1:7" ht="15" x14ac:dyDescent="0.15">
      <c r="A83" s="44"/>
      <c r="B83" s="266">
        <v>2.19</v>
      </c>
      <c r="C83" s="271" t="s">
        <v>71</v>
      </c>
      <c r="D83" s="270">
        <v>2</v>
      </c>
      <c r="E83" s="278"/>
      <c r="F83" s="279">
        <f t="shared" si="2"/>
        <v>0</v>
      </c>
      <c r="G83" s="280"/>
    </row>
    <row r="84" spans="1:7" ht="15" x14ac:dyDescent="0.15">
      <c r="A84" s="44"/>
      <c r="B84" s="266">
        <v>2.2000000000000002</v>
      </c>
      <c r="C84" s="271" t="s">
        <v>122</v>
      </c>
      <c r="D84" s="270">
        <v>1</v>
      </c>
      <c r="E84" s="278"/>
      <c r="F84" s="279">
        <f t="shared" si="2"/>
        <v>0</v>
      </c>
      <c r="G84" s="280"/>
    </row>
    <row r="85" spans="1:7" ht="15" x14ac:dyDescent="0.15">
      <c r="A85" s="44"/>
      <c r="B85" s="266">
        <v>2.21</v>
      </c>
      <c r="C85" s="271" t="s">
        <v>117</v>
      </c>
      <c r="D85" s="270">
        <v>2</v>
      </c>
      <c r="E85" s="278"/>
      <c r="F85" s="279">
        <f t="shared" si="2"/>
        <v>0</v>
      </c>
      <c r="G85" s="280"/>
    </row>
    <row r="86" spans="1:7" ht="15" x14ac:dyDescent="0.15">
      <c r="A86" s="44"/>
      <c r="B86" s="266">
        <v>2.2200000000000002</v>
      </c>
      <c r="C86" s="271" t="s">
        <v>72</v>
      </c>
      <c r="D86" s="270">
        <v>1</v>
      </c>
      <c r="E86" s="278"/>
      <c r="F86" s="279">
        <f t="shared" si="2"/>
        <v>0</v>
      </c>
      <c r="G86" s="280"/>
    </row>
    <row r="87" spans="1:7" ht="15" x14ac:dyDescent="0.15">
      <c r="A87" s="44"/>
      <c r="B87" s="266">
        <v>2.23</v>
      </c>
      <c r="C87" s="271" t="s">
        <v>73</v>
      </c>
      <c r="D87" s="270">
        <v>1</v>
      </c>
      <c r="E87" s="278"/>
      <c r="F87" s="279">
        <f t="shared" si="2"/>
        <v>0</v>
      </c>
      <c r="G87" s="280"/>
    </row>
    <row r="88" spans="1:7" ht="14" x14ac:dyDescent="0.15">
      <c r="A88" s="44"/>
      <c r="B88" s="266"/>
      <c r="C88" s="271"/>
      <c r="D88" s="270"/>
      <c r="E88" s="278"/>
      <c r="F88" s="279"/>
      <c r="G88" s="280"/>
    </row>
    <row r="89" spans="1:7" ht="15" x14ac:dyDescent="0.15">
      <c r="A89" s="44"/>
      <c r="B89" s="266">
        <v>2.2400000000000002</v>
      </c>
      <c r="C89" s="271" t="s">
        <v>80</v>
      </c>
      <c r="D89" s="270">
        <v>1</v>
      </c>
      <c r="E89" s="278"/>
      <c r="F89" s="279">
        <f t="shared" si="2"/>
        <v>0</v>
      </c>
      <c r="G89" s="280"/>
    </row>
    <row r="90" spans="1:7" ht="14" x14ac:dyDescent="0.15">
      <c r="A90" s="44"/>
      <c r="B90" s="266"/>
      <c r="C90" s="271"/>
      <c r="D90" s="270"/>
      <c r="E90" s="278"/>
      <c r="F90" s="279"/>
      <c r="G90" s="280"/>
    </row>
    <row r="91" spans="1:7" ht="30" x14ac:dyDescent="0.15">
      <c r="A91" s="44"/>
      <c r="B91" s="266">
        <v>2.25</v>
      </c>
      <c r="C91" s="272" t="s">
        <v>81</v>
      </c>
      <c r="D91" s="270">
        <v>4</v>
      </c>
      <c r="E91" s="278"/>
      <c r="F91" s="279">
        <f t="shared" si="2"/>
        <v>0</v>
      </c>
      <c r="G91" s="280"/>
    </row>
    <row r="92" spans="1:7" ht="14" x14ac:dyDescent="0.15">
      <c r="A92" s="44"/>
      <c r="B92" s="266"/>
      <c r="C92" s="272"/>
      <c r="D92" s="91"/>
      <c r="E92" s="281"/>
      <c r="F92" s="279"/>
      <c r="G92" s="280"/>
    </row>
    <row r="93" spans="1:7" ht="14" x14ac:dyDescent="0.15">
      <c r="A93" s="44"/>
      <c r="B93" s="266"/>
      <c r="C93" s="273"/>
      <c r="D93" s="274"/>
      <c r="E93" s="282"/>
      <c r="F93" s="283"/>
      <c r="G93" s="284"/>
    </row>
    <row r="94" spans="1:7" ht="15" x14ac:dyDescent="0.15">
      <c r="A94" s="44"/>
      <c r="B94" s="185"/>
      <c r="C94" s="285"/>
      <c r="D94" s="286"/>
      <c r="E94" s="130" t="s">
        <v>30</v>
      </c>
      <c r="F94" s="131">
        <f>SUM(F62:F93)</f>
        <v>0</v>
      </c>
      <c r="G94" s="93"/>
    </row>
    <row r="95" spans="1:7" ht="14" x14ac:dyDescent="0.15">
      <c r="A95" s="44"/>
      <c r="B95" s="94"/>
      <c r="C95" s="94"/>
      <c r="D95" s="94"/>
      <c r="E95" s="95"/>
      <c r="F95" s="96"/>
      <c r="G95" s="97"/>
    </row>
    <row r="96" spans="1:7" ht="16" thickBot="1" x14ac:dyDescent="0.2">
      <c r="A96" s="44"/>
      <c r="B96" s="98"/>
      <c r="C96" s="99" t="s">
        <v>82</v>
      </c>
      <c r="D96" s="100"/>
      <c r="E96" s="100"/>
      <c r="F96" s="100"/>
      <c r="G96" s="101"/>
    </row>
    <row r="97" spans="1:7" ht="45" x14ac:dyDescent="0.15">
      <c r="A97" s="44"/>
      <c r="B97" s="102">
        <v>2.4</v>
      </c>
      <c r="C97" s="103" t="s">
        <v>83</v>
      </c>
      <c r="D97" s="104">
        <v>1</v>
      </c>
      <c r="E97" s="92"/>
      <c r="F97" s="92">
        <f>E97*D97</f>
        <v>0</v>
      </c>
      <c r="G97" s="22"/>
    </row>
    <row r="98" spans="1:7" ht="15" x14ac:dyDescent="0.2">
      <c r="A98" s="44"/>
      <c r="B98" s="163"/>
      <c r="C98" s="164"/>
      <c r="D98" s="165"/>
      <c r="E98" s="67" t="s">
        <v>30</v>
      </c>
      <c r="F98" s="34"/>
      <c r="G98" s="35"/>
    </row>
    <row r="99" spans="1:7" ht="14" x14ac:dyDescent="0.2">
      <c r="A99" s="45"/>
      <c r="B99" s="173"/>
      <c r="C99" s="174"/>
      <c r="D99" s="174"/>
      <c r="E99" s="174"/>
      <c r="F99" s="174"/>
      <c r="G99" s="175"/>
    </row>
    <row r="100" spans="1:7" ht="14" customHeight="1" x14ac:dyDescent="0.15">
      <c r="A100" s="44"/>
      <c r="B100" s="152" t="s">
        <v>84</v>
      </c>
      <c r="C100" s="153"/>
      <c r="D100" s="153"/>
      <c r="E100" s="153"/>
      <c r="F100" s="153"/>
      <c r="G100" s="154"/>
    </row>
    <row r="101" spans="1:7" ht="16" thickBot="1" x14ac:dyDescent="0.2">
      <c r="A101" s="44"/>
      <c r="B101" s="105" t="s">
        <v>15</v>
      </c>
      <c r="C101" s="106" t="s">
        <v>16</v>
      </c>
      <c r="D101" s="107" t="s">
        <v>17</v>
      </c>
      <c r="E101" s="67" t="s">
        <v>18</v>
      </c>
      <c r="F101" s="67" t="s">
        <v>19</v>
      </c>
      <c r="G101" s="108" t="s">
        <v>3</v>
      </c>
    </row>
    <row r="102" spans="1:7" ht="30" x14ac:dyDescent="0.15">
      <c r="A102" s="44"/>
      <c r="B102" s="109">
        <v>2.5</v>
      </c>
      <c r="C102" s="110" t="s">
        <v>85</v>
      </c>
      <c r="D102" s="111">
        <v>4</v>
      </c>
      <c r="E102" s="112"/>
      <c r="F102" s="113">
        <f>E102*D102</f>
        <v>0</v>
      </c>
      <c r="G102" s="186"/>
    </row>
    <row r="103" spans="1:7" ht="15" x14ac:dyDescent="0.15">
      <c r="A103" s="44"/>
      <c r="B103" s="114">
        <v>2.5099999999999998</v>
      </c>
      <c r="C103" s="115" t="s">
        <v>86</v>
      </c>
      <c r="D103" s="65">
        <v>4</v>
      </c>
      <c r="E103" s="116"/>
      <c r="F103" s="66">
        <f t="shared" ref="F103:F116" si="3">E103*D103</f>
        <v>0</v>
      </c>
      <c r="G103" s="178"/>
    </row>
    <row r="104" spans="1:7" ht="30" x14ac:dyDescent="0.15">
      <c r="A104" s="44"/>
      <c r="B104" s="90">
        <v>2.52</v>
      </c>
      <c r="C104" s="115" t="s">
        <v>87</v>
      </c>
      <c r="D104" s="65">
        <v>12</v>
      </c>
      <c r="E104" s="116"/>
      <c r="F104" s="66">
        <f t="shared" si="3"/>
        <v>0</v>
      </c>
      <c r="G104" s="178"/>
    </row>
    <row r="105" spans="1:7" ht="15" x14ac:dyDescent="0.15">
      <c r="A105" s="44"/>
      <c r="B105" s="90">
        <v>2.5299999999999998</v>
      </c>
      <c r="C105" s="115" t="s">
        <v>88</v>
      </c>
      <c r="D105" s="65">
        <v>12</v>
      </c>
      <c r="E105" s="116"/>
      <c r="F105" s="66">
        <f t="shared" si="3"/>
        <v>0</v>
      </c>
      <c r="G105" s="178"/>
    </row>
    <row r="106" spans="1:7" ht="46" thickBot="1" x14ac:dyDescent="0.2">
      <c r="A106" s="44"/>
      <c r="B106" s="114">
        <v>2.54</v>
      </c>
      <c r="C106" s="115" t="s">
        <v>89</v>
      </c>
      <c r="D106" s="65">
        <v>10</v>
      </c>
      <c r="E106" s="116"/>
      <c r="F106" s="66">
        <f t="shared" si="3"/>
        <v>0</v>
      </c>
      <c r="G106" s="178"/>
    </row>
    <row r="107" spans="1:7" ht="15" x14ac:dyDescent="0.15">
      <c r="A107" s="44"/>
      <c r="B107" s="109">
        <v>2.5499999999999998</v>
      </c>
      <c r="C107" s="115" t="s">
        <v>90</v>
      </c>
      <c r="D107" s="65">
        <v>10</v>
      </c>
      <c r="E107" s="116"/>
      <c r="F107" s="66">
        <f t="shared" si="3"/>
        <v>0</v>
      </c>
      <c r="G107" s="178"/>
    </row>
    <row r="108" spans="1:7" ht="15" x14ac:dyDescent="0.15">
      <c r="A108" s="44"/>
      <c r="B108" s="114">
        <v>2.56</v>
      </c>
      <c r="C108" s="115" t="s">
        <v>91</v>
      </c>
      <c r="D108" s="65">
        <v>30</v>
      </c>
      <c r="E108" s="116"/>
      <c r="F108" s="66">
        <f t="shared" si="3"/>
        <v>0</v>
      </c>
      <c r="G108" s="178"/>
    </row>
    <row r="109" spans="1:7" ht="15" x14ac:dyDescent="0.2">
      <c r="A109" s="44"/>
      <c r="B109" s="90">
        <v>2.57</v>
      </c>
      <c r="C109" s="115" t="s">
        <v>92</v>
      </c>
      <c r="D109" s="65">
        <v>4</v>
      </c>
      <c r="E109" s="117"/>
      <c r="F109" s="66">
        <f t="shared" si="3"/>
        <v>0</v>
      </c>
      <c r="G109" s="178"/>
    </row>
    <row r="110" spans="1:7" ht="15" x14ac:dyDescent="0.15">
      <c r="A110" s="44"/>
      <c r="B110" s="90">
        <v>2.58</v>
      </c>
      <c r="C110" s="115" t="s">
        <v>93</v>
      </c>
      <c r="D110" s="65">
        <v>20</v>
      </c>
      <c r="E110" s="116"/>
      <c r="F110" s="66">
        <f t="shared" si="3"/>
        <v>0</v>
      </c>
      <c r="G110" s="178"/>
    </row>
    <row r="111" spans="1:7" ht="16" thickBot="1" x14ac:dyDescent="0.2">
      <c r="A111" s="44"/>
      <c r="B111" s="114">
        <v>2.59</v>
      </c>
      <c r="C111" s="115" t="s">
        <v>94</v>
      </c>
      <c r="D111" s="65">
        <v>20</v>
      </c>
      <c r="E111" s="116"/>
      <c r="F111" s="66">
        <f t="shared" si="3"/>
        <v>0</v>
      </c>
      <c r="G111" s="178"/>
    </row>
    <row r="112" spans="1:7" ht="15" x14ac:dyDescent="0.15">
      <c r="A112" s="44"/>
      <c r="B112" s="109">
        <v>2.6</v>
      </c>
      <c r="C112" s="115" t="s">
        <v>95</v>
      </c>
      <c r="D112" s="65">
        <v>4</v>
      </c>
      <c r="E112" s="116"/>
      <c r="F112" s="66">
        <f t="shared" si="3"/>
        <v>0</v>
      </c>
      <c r="G112" s="178"/>
    </row>
    <row r="113" spans="1:7" ht="15" x14ac:dyDescent="0.15">
      <c r="A113" s="44"/>
      <c r="B113" s="114">
        <v>2.61</v>
      </c>
      <c r="C113" s="115" t="s">
        <v>96</v>
      </c>
      <c r="D113" s="65">
        <v>1</v>
      </c>
      <c r="E113" s="116"/>
      <c r="F113" s="66">
        <f t="shared" si="3"/>
        <v>0</v>
      </c>
      <c r="G113" s="178"/>
    </row>
    <row r="114" spans="1:7" ht="15" x14ac:dyDescent="0.15">
      <c r="A114" s="44"/>
      <c r="B114" s="90">
        <v>2.62</v>
      </c>
      <c r="C114" s="115" t="s">
        <v>97</v>
      </c>
      <c r="D114" s="65">
        <v>1</v>
      </c>
      <c r="E114" s="116"/>
      <c r="F114" s="66">
        <f t="shared" si="3"/>
        <v>0</v>
      </c>
      <c r="G114" s="178"/>
    </row>
    <row r="115" spans="1:7" ht="30" x14ac:dyDescent="0.15">
      <c r="A115" s="44"/>
      <c r="B115" s="90">
        <v>2.63</v>
      </c>
      <c r="C115" s="115" t="s">
        <v>98</v>
      </c>
      <c r="D115" s="65">
        <v>1</v>
      </c>
      <c r="E115" s="116"/>
      <c r="F115" s="66">
        <f t="shared" si="3"/>
        <v>0</v>
      </c>
      <c r="G115" s="178"/>
    </row>
    <row r="116" spans="1:7" ht="15" x14ac:dyDescent="0.15">
      <c r="A116" s="44"/>
      <c r="B116" s="114">
        <v>2.64</v>
      </c>
      <c r="C116" s="115" t="s">
        <v>99</v>
      </c>
      <c r="D116" s="65">
        <v>10</v>
      </c>
      <c r="E116" s="116"/>
      <c r="F116" s="66">
        <f t="shared" si="3"/>
        <v>0</v>
      </c>
      <c r="G116" s="178"/>
    </row>
    <row r="117" spans="1:7" ht="16" thickBot="1" x14ac:dyDescent="0.25">
      <c r="A117" s="44"/>
      <c r="B117" s="179"/>
      <c r="C117" s="180"/>
      <c r="D117" s="181"/>
      <c r="E117" s="67" t="s">
        <v>30</v>
      </c>
      <c r="F117" s="34">
        <f>SUM(F102:F116)</f>
        <v>0</v>
      </c>
      <c r="G117" s="35"/>
    </row>
    <row r="118" spans="1:7" ht="15" thickBot="1" x14ac:dyDescent="0.25">
      <c r="A118" s="44"/>
      <c r="B118" s="118"/>
      <c r="C118" s="119"/>
      <c r="D118" s="119"/>
      <c r="E118" s="120"/>
      <c r="F118" s="121"/>
      <c r="G118" s="122"/>
    </row>
    <row r="119" spans="1:7" ht="16" thickBot="1" x14ac:dyDescent="0.2">
      <c r="A119" s="44"/>
      <c r="B119" s="98"/>
      <c r="C119" s="100" t="s">
        <v>100</v>
      </c>
      <c r="D119" s="100"/>
      <c r="E119" s="100"/>
      <c r="F119" s="100"/>
      <c r="G119" s="101"/>
    </row>
    <row r="120" spans="1:7" ht="45" x14ac:dyDescent="0.15">
      <c r="A120" s="44"/>
      <c r="B120" s="102">
        <v>2.7</v>
      </c>
      <c r="C120" s="103" t="s">
        <v>101</v>
      </c>
      <c r="D120" s="104">
        <v>1</v>
      </c>
      <c r="E120" s="92"/>
      <c r="F120" s="92">
        <f>E120*D120</f>
        <v>0</v>
      </c>
      <c r="G120" s="22"/>
    </row>
    <row r="121" spans="1:7" ht="15" x14ac:dyDescent="0.2">
      <c r="A121" s="44"/>
      <c r="B121" s="163"/>
      <c r="C121" s="164"/>
      <c r="D121" s="165"/>
      <c r="E121" s="67" t="s">
        <v>30</v>
      </c>
      <c r="F121" s="34"/>
      <c r="G121" s="35"/>
    </row>
    <row r="122" spans="1:7" ht="14" x14ac:dyDescent="0.2">
      <c r="A122" s="45"/>
      <c r="B122" s="166"/>
      <c r="C122" s="167"/>
      <c r="D122" s="167"/>
      <c r="E122" s="167"/>
      <c r="F122" s="167"/>
      <c r="G122" s="168"/>
    </row>
    <row r="123" spans="1:7" ht="14" customHeight="1" x14ac:dyDescent="0.15">
      <c r="A123" s="44"/>
      <c r="B123" s="152" t="s">
        <v>12</v>
      </c>
      <c r="C123" s="153"/>
      <c r="D123" s="153"/>
      <c r="E123" s="153"/>
      <c r="F123" s="153"/>
      <c r="G123" s="154"/>
    </row>
    <row r="124" spans="1:7" ht="16" thickBot="1" x14ac:dyDescent="0.2">
      <c r="A124" s="44"/>
      <c r="B124" s="1" t="s">
        <v>15</v>
      </c>
      <c r="C124" s="2" t="s">
        <v>16</v>
      </c>
      <c r="D124" s="3" t="s">
        <v>17</v>
      </c>
      <c r="E124" s="4" t="s">
        <v>18</v>
      </c>
      <c r="F124" s="4" t="s">
        <v>19</v>
      </c>
      <c r="G124" s="123" t="s">
        <v>102</v>
      </c>
    </row>
    <row r="125" spans="1:7" ht="15" x14ac:dyDescent="0.15">
      <c r="A125" s="44"/>
      <c r="B125" s="6"/>
      <c r="C125" s="124" t="s">
        <v>103</v>
      </c>
      <c r="D125" s="125"/>
      <c r="E125" s="125"/>
      <c r="F125" s="125"/>
      <c r="G125" s="169"/>
    </row>
    <row r="126" spans="1:7" ht="30" x14ac:dyDescent="0.15">
      <c r="A126" s="44"/>
      <c r="B126" s="6">
        <v>2.8</v>
      </c>
      <c r="C126" s="126" t="s">
        <v>104</v>
      </c>
      <c r="D126" s="127">
        <v>3</v>
      </c>
      <c r="E126" s="128"/>
      <c r="F126" s="128">
        <f>D126*E126</f>
        <v>0</v>
      </c>
      <c r="G126" s="170"/>
    </row>
    <row r="127" spans="1:7" ht="15" x14ac:dyDescent="0.15">
      <c r="A127" s="44"/>
      <c r="B127" s="129"/>
      <c r="C127" s="124" t="s">
        <v>13</v>
      </c>
      <c r="D127" s="125"/>
      <c r="E127" s="125"/>
      <c r="F127" s="125"/>
      <c r="G127" s="170"/>
    </row>
    <row r="128" spans="1:7" ht="15" x14ac:dyDescent="0.15">
      <c r="A128" s="44"/>
      <c r="B128" s="129">
        <v>2.9</v>
      </c>
      <c r="C128" s="126" t="s">
        <v>105</v>
      </c>
      <c r="D128" s="127">
        <v>3</v>
      </c>
      <c r="E128" s="128"/>
      <c r="F128" s="128">
        <f t="shared" ref="F128:F131" si="4">D128*E128</f>
        <v>0</v>
      </c>
      <c r="G128" s="170"/>
    </row>
    <row r="129" spans="1:7" ht="15" x14ac:dyDescent="0.15">
      <c r="A129" s="44"/>
      <c r="B129" s="129">
        <v>2.91</v>
      </c>
      <c r="C129" s="126" t="s">
        <v>106</v>
      </c>
      <c r="D129" s="127">
        <v>6</v>
      </c>
      <c r="E129" s="128"/>
      <c r="F129" s="128">
        <f t="shared" si="4"/>
        <v>0</v>
      </c>
      <c r="G129" s="170"/>
    </row>
    <row r="130" spans="1:7" ht="15" x14ac:dyDescent="0.15">
      <c r="A130" s="44"/>
      <c r="B130" s="129">
        <v>2.92</v>
      </c>
      <c r="C130" s="126" t="s">
        <v>107</v>
      </c>
      <c r="D130" s="127">
        <v>12</v>
      </c>
      <c r="E130" s="127"/>
      <c r="F130" s="128">
        <f t="shared" si="4"/>
        <v>0</v>
      </c>
      <c r="G130" s="170"/>
    </row>
    <row r="131" spans="1:7" ht="15" x14ac:dyDescent="0.15">
      <c r="A131" s="44"/>
      <c r="B131" s="129">
        <v>2.93</v>
      </c>
      <c r="C131" s="126" t="s">
        <v>108</v>
      </c>
      <c r="D131" s="127">
        <v>1</v>
      </c>
      <c r="E131" s="128"/>
      <c r="F131" s="128">
        <f t="shared" si="4"/>
        <v>0</v>
      </c>
      <c r="G131" s="170"/>
    </row>
    <row r="132" spans="1:7" ht="15" x14ac:dyDescent="0.2">
      <c r="A132" s="44"/>
      <c r="B132" s="149"/>
      <c r="C132" s="171"/>
      <c r="D132" s="172"/>
      <c r="E132" s="130" t="s">
        <v>30</v>
      </c>
      <c r="F132" s="131">
        <f>SUM(F125:F131)</f>
        <v>0</v>
      </c>
      <c r="G132" s="132"/>
    </row>
    <row r="133" spans="1:7" ht="14" x14ac:dyDescent="0.2">
      <c r="A133" s="45"/>
      <c r="B133" s="173"/>
      <c r="C133" s="174"/>
      <c r="D133" s="174"/>
      <c r="E133" s="174"/>
      <c r="F133" s="174"/>
      <c r="G133" s="175"/>
    </row>
    <row r="134" spans="1:7" ht="16" customHeight="1" thickBot="1" x14ac:dyDescent="0.2">
      <c r="A134" s="44"/>
      <c r="B134" s="157" t="s">
        <v>5</v>
      </c>
      <c r="C134" s="158"/>
      <c r="D134" s="159"/>
      <c r="E134" s="133" t="s">
        <v>109</v>
      </c>
      <c r="F134" s="134">
        <f>F132+F121+F117+F98+F94</f>
        <v>0</v>
      </c>
      <c r="G134" s="135"/>
    </row>
    <row r="135" spans="1:7" ht="15" thickBot="1" x14ac:dyDescent="0.25">
      <c r="A135" s="45"/>
      <c r="B135" s="45"/>
      <c r="C135" s="45"/>
      <c r="D135" s="45"/>
      <c r="E135" s="45"/>
      <c r="F135" s="45"/>
      <c r="G135" s="45"/>
    </row>
    <row r="136" spans="1:7" ht="14" customHeight="1" x14ac:dyDescent="0.2">
      <c r="A136" s="45"/>
      <c r="B136" s="59">
        <v>3</v>
      </c>
      <c r="C136" s="176" t="s">
        <v>10</v>
      </c>
      <c r="D136" s="161"/>
      <c r="E136" s="161"/>
      <c r="F136" s="161"/>
      <c r="G136" s="177"/>
    </row>
    <row r="137" spans="1:7" ht="14" customHeight="1" x14ac:dyDescent="0.15">
      <c r="A137" s="44"/>
      <c r="B137" s="152" t="s">
        <v>2</v>
      </c>
      <c r="C137" s="153"/>
      <c r="D137" s="153"/>
      <c r="E137" s="153"/>
      <c r="F137" s="153"/>
      <c r="G137" s="154"/>
    </row>
    <row r="138" spans="1:7" ht="15" x14ac:dyDescent="0.15">
      <c r="A138" s="44"/>
      <c r="B138" s="1" t="s">
        <v>15</v>
      </c>
      <c r="C138" s="2" t="s">
        <v>16</v>
      </c>
      <c r="D138" s="3" t="s">
        <v>17</v>
      </c>
      <c r="E138" s="4" t="s">
        <v>18</v>
      </c>
      <c r="F138" s="4" t="s">
        <v>19</v>
      </c>
      <c r="G138" s="136" t="s">
        <v>102</v>
      </c>
    </row>
    <row r="139" spans="1:7" ht="15" x14ac:dyDescent="0.15">
      <c r="A139" s="44"/>
      <c r="B139" s="90">
        <v>3.01</v>
      </c>
      <c r="C139" s="137" t="s">
        <v>123</v>
      </c>
      <c r="D139" s="138">
        <f>D146+(D150*2)</f>
        <v>200</v>
      </c>
      <c r="E139" s="139"/>
      <c r="F139" s="9">
        <f>D139*E139</f>
        <v>0</v>
      </c>
      <c r="G139" s="155"/>
    </row>
    <row r="140" spans="1:7" ht="15" x14ac:dyDescent="0.15">
      <c r="A140" s="44"/>
      <c r="B140" s="90">
        <v>3.02</v>
      </c>
      <c r="C140" s="137" t="s">
        <v>124</v>
      </c>
      <c r="D140" s="138">
        <f>D146</f>
        <v>170</v>
      </c>
      <c r="E140" s="139"/>
      <c r="F140" s="9">
        <f t="shared" ref="F140:F142" si="5">D140*E140</f>
        <v>0</v>
      </c>
      <c r="G140" s="178"/>
    </row>
    <row r="141" spans="1:7" ht="15" x14ac:dyDescent="0.15">
      <c r="A141" s="44"/>
      <c r="B141" s="90">
        <v>3.03</v>
      </c>
      <c r="C141" s="137" t="s">
        <v>125</v>
      </c>
      <c r="D141" s="138">
        <f>D146</f>
        <v>170</v>
      </c>
      <c r="E141" s="139"/>
      <c r="F141" s="9">
        <f t="shared" si="5"/>
        <v>0</v>
      </c>
      <c r="G141" s="178"/>
    </row>
    <row r="142" spans="1:7" ht="15" x14ac:dyDescent="0.15">
      <c r="A142" s="44"/>
      <c r="B142" s="90">
        <v>3.04</v>
      </c>
      <c r="C142" s="137" t="s">
        <v>110</v>
      </c>
      <c r="D142" s="138">
        <f>D146</f>
        <v>170</v>
      </c>
      <c r="E142" s="139"/>
      <c r="F142" s="9">
        <f t="shared" si="5"/>
        <v>0</v>
      </c>
      <c r="G142" s="156"/>
    </row>
    <row r="143" spans="1:7" ht="15" x14ac:dyDescent="0.2">
      <c r="A143" s="44"/>
      <c r="B143" s="149"/>
      <c r="C143" s="150"/>
      <c r="D143" s="151"/>
      <c r="E143" s="4" t="s">
        <v>30</v>
      </c>
      <c r="F143" s="62">
        <f>SUM(F139:F142)</f>
        <v>0</v>
      </c>
      <c r="G143" s="68"/>
    </row>
    <row r="144" spans="1:7" ht="14" customHeight="1" x14ac:dyDescent="0.15">
      <c r="A144" s="44"/>
      <c r="B144" s="152" t="s">
        <v>4</v>
      </c>
      <c r="C144" s="153"/>
      <c r="D144" s="153"/>
      <c r="E144" s="153"/>
      <c r="F144" s="153"/>
      <c r="G144" s="154"/>
    </row>
    <row r="145" spans="1:7" ht="15" x14ac:dyDescent="0.15">
      <c r="A145" s="44"/>
      <c r="B145" s="1" t="s">
        <v>15</v>
      </c>
      <c r="C145" s="2" t="s">
        <v>16</v>
      </c>
      <c r="D145" s="3" t="s">
        <v>17</v>
      </c>
      <c r="E145" s="4" t="s">
        <v>18</v>
      </c>
      <c r="F145" s="4" t="s">
        <v>19</v>
      </c>
      <c r="G145" s="136" t="s">
        <v>102</v>
      </c>
    </row>
    <row r="146" spans="1:7" ht="15" x14ac:dyDescent="0.15">
      <c r="A146" s="44"/>
      <c r="B146" s="90">
        <v>3.1</v>
      </c>
      <c r="C146" s="140" t="s">
        <v>126</v>
      </c>
      <c r="D146" s="138">
        <v>170</v>
      </c>
      <c r="E146" s="139"/>
      <c r="F146" s="9">
        <f>D146*E146</f>
        <v>0</v>
      </c>
      <c r="G146" s="60"/>
    </row>
    <row r="147" spans="1:7" ht="15" x14ac:dyDescent="0.2">
      <c r="A147" s="44"/>
      <c r="B147" s="149"/>
      <c r="C147" s="150"/>
      <c r="D147" s="151"/>
      <c r="E147" s="4" t="s">
        <v>30</v>
      </c>
      <c r="F147" s="62">
        <f>SUM(F146:F146)</f>
        <v>0</v>
      </c>
      <c r="G147" s="68"/>
    </row>
    <row r="148" spans="1:7" ht="14" customHeight="1" x14ac:dyDescent="0.15">
      <c r="A148" s="44"/>
      <c r="B148" s="152" t="s">
        <v>1</v>
      </c>
      <c r="C148" s="153"/>
      <c r="D148" s="153"/>
      <c r="E148" s="153"/>
      <c r="F148" s="153"/>
      <c r="G148" s="154"/>
    </row>
    <row r="149" spans="1:7" ht="15" x14ac:dyDescent="0.15">
      <c r="A149" s="44"/>
      <c r="B149" s="1" t="s">
        <v>15</v>
      </c>
      <c r="C149" s="2" t="s">
        <v>16</v>
      </c>
      <c r="D149" s="3" t="s">
        <v>17</v>
      </c>
      <c r="E149" s="4" t="s">
        <v>18</v>
      </c>
      <c r="F149" s="4" t="s">
        <v>19</v>
      </c>
      <c r="G149" s="136" t="s">
        <v>102</v>
      </c>
    </row>
    <row r="150" spans="1:7" ht="15" x14ac:dyDescent="0.15">
      <c r="A150" s="44"/>
      <c r="B150" s="90">
        <v>3.2</v>
      </c>
      <c r="C150" s="137" t="s">
        <v>111</v>
      </c>
      <c r="D150" s="138">
        <v>15</v>
      </c>
      <c r="E150" s="139"/>
      <c r="F150" s="9">
        <f>D150*E150</f>
        <v>0</v>
      </c>
      <c r="G150" s="155"/>
    </row>
    <row r="151" spans="1:7" ht="14" x14ac:dyDescent="0.15">
      <c r="A151" s="44"/>
      <c r="B151" s="141"/>
      <c r="C151" s="142"/>
      <c r="D151" s="143"/>
      <c r="E151" s="144"/>
      <c r="F151" s="9"/>
      <c r="G151" s="156"/>
    </row>
    <row r="152" spans="1:7" ht="16" customHeight="1" thickBot="1" x14ac:dyDescent="0.2">
      <c r="A152" s="44"/>
      <c r="B152" s="157" t="s">
        <v>10</v>
      </c>
      <c r="C152" s="158"/>
      <c r="D152" s="159"/>
      <c r="E152" s="133" t="s">
        <v>109</v>
      </c>
      <c r="F152" s="134">
        <f>F143+F147+F150+F151</f>
        <v>0</v>
      </c>
      <c r="G152" s="28"/>
    </row>
    <row r="153" spans="1:7" ht="15" thickBot="1" x14ac:dyDescent="0.25">
      <c r="A153" s="145"/>
      <c r="B153" s="145"/>
      <c r="C153" s="145"/>
      <c r="D153" s="145"/>
      <c r="E153" s="145"/>
      <c r="F153" s="145"/>
      <c r="G153" s="145"/>
    </row>
    <row r="154" spans="1:7" ht="15" customHeight="1" x14ac:dyDescent="0.15">
      <c r="A154" s="44"/>
      <c r="B154" s="160" t="s">
        <v>11</v>
      </c>
      <c r="C154" s="161"/>
      <c r="D154" s="162"/>
      <c r="E154" s="146" t="s">
        <v>109</v>
      </c>
      <c r="F154" s="147">
        <f>F152+F134+F55</f>
        <v>0</v>
      </c>
      <c r="G154" s="148"/>
    </row>
  </sheetData>
  <mergeCells count="62">
    <mergeCell ref="C11:F11"/>
    <mergeCell ref="B1:G1"/>
    <mergeCell ref="B2:G2"/>
    <mergeCell ref="C3:F3"/>
    <mergeCell ref="C4:F4"/>
    <mergeCell ref="C5:F5"/>
    <mergeCell ref="C6:F6"/>
    <mergeCell ref="C7:F7"/>
    <mergeCell ref="C8:F8"/>
    <mergeCell ref="C9:F9"/>
    <mergeCell ref="C10:F10"/>
    <mergeCell ref="B23:G23"/>
    <mergeCell ref="C12:F12"/>
    <mergeCell ref="B13:F13"/>
    <mergeCell ref="B14:F14"/>
    <mergeCell ref="C15:F15"/>
    <mergeCell ref="C16:F16"/>
    <mergeCell ref="C17:F17"/>
    <mergeCell ref="B18:F18"/>
    <mergeCell ref="B19:F19"/>
    <mergeCell ref="B20:G20"/>
    <mergeCell ref="C21:G21"/>
    <mergeCell ref="B22:G22"/>
    <mergeCell ref="C57:G57"/>
    <mergeCell ref="G25:G27"/>
    <mergeCell ref="B29:G29"/>
    <mergeCell ref="G31:G34"/>
    <mergeCell ref="B35:D35"/>
    <mergeCell ref="B36:G36"/>
    <mergeCell ref="B40:D40"/>
    <mergeCell ref="B41:G41"/>
    <mergeCell ref="B44:D44"/>
    <mergeCell ref="B46:G46"/>
    <mergeCell ref="B54:D54"/>
    <mergeCell ref="B55:D55"/>
    <mergeCell ref="B117:D117"/>
    <mergeCell ref="B58:G58"/>
    <mergeCell ref="B59:G59"/>
    <mergeCell ref="B60:G60"/>
    <mergeCell ref="G62:G93"/>
    <mergeCell ref="B94:D94"/>
    <mergeCell ref="B98:D98"/>
    <mergeCell ref="B99:G99"/>
    <mergeCell ref="B100:G100"/>
    <mergeCell ref="G102:G116"/>
    <mergeCell ref="B144:G144"/>
    <mergeCell ref="B121:D121"/>
    <mergeCell ref="B122:G122"/>
    <mergeCell ref="B123:G123"/>
    <mergeCell ref="G125:G131"/>
    <mergeCell ref="B132:D132"/>
    <mergeCell ref="B133:G133"/>
    <mergeCell ref="B134:D134"/>
    <mergeCell ref="C136:G136"/>
    <mergeCell ref="B137:G137"/>
    <mergeCell ref="G139:G142"/>
    <mergeCell ref="B143:D143"/>
    <mergeCell ref="B147:D147"/>
    <mergeCell ref="B148:G148"/>
    <mergeCell ref="G150:G151"/>
    <mergeCell ref="B152:D152"/>
    <mergeCell ref="B154:D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D2B2-5090-8B4B-8B1F-B84DA82016B3}">
  <dimension ref="B1:G29"/>
  <sheetViews>
    <sheetView zoomScale="117" workbookViewId="0"/>
  </sheetViews>
  <sheetFormatPr baseColWidth="10" defaultColWidth="5.796875" defaultRowHeight="20" customHeight="1" x14ac:dyDescent="0.15"/>
  <cols>
    <col min="2" max="2" width="5.3984375" bestFit="1" customWidth="1"/>
    <col min="3" max="3" width="176" bestFit="1" customWidth="1"/>
    <col min="4" max="4" width="4.796875" bestFit="1" customWidth="1"/>
    <col min="5" max="5" width="13" bestFit="1" customWidth="1"/>
    <col min="6" max="6" width="12.59765625" bestFit="1" customWidth="1"/>
    <col min="7" max="7" width="12.19921875" bestFit="1" customWidth="1"/>
  </cols>
  <sheetData>
    <row r="1" spans="2:7" s="43" customFormat="1" ht="44" customHeight="1" x14ac:dyDescent="0.15">
      <c r="B1" s="255" t="s">
        <v>112</v>
      </c>
      <c r="C1" s="256"/>
      <c r="D1" s="256"/>
      <c r="E1" s="256"/>
      <c r="F1" s="256"/>
      <c r="G1" s="257"/>
    </row>
    <row r="2" spans="2:7" s="43" customFormat="1" ht="44" customHeight="1" thickBot="1" x14ac:dyDescent="0.2">
      <c r="B2" s="258"/>
      <c r="C2" s="259"/>
      <c r="D2" s="259"/>
      <c r="E2" s="259"/>
      <c r="F2" s="259"/>
      <c r="G2" s="260"/>
    </row>
    <row r="3" spans="2:7" ht="14" x14ac:dyDescent="0.15">
      <c r="B3" s="261" t="s">
        <v>14</v>
      </c>
      <c r="C3" s="233"/>
      <c r="D3" s="233"/>
      <c r="E3" s="233"/>
      <c r="F3" s="233"/>
      <c r="G3" s="234"/>
    </row>
    <row r="4" spans="2:7" ht="15" x14ac:dyDescent="0.15">
      <c r="B4" s="1" t="s">
        <v>15</v>
      </c>
      <c r="C4" s="2" t="s">
        <v>16</v>
      </c>
      <c r="D4" s="3" t="s">
        <v>17</v>
      </c>
      <c r="E4" s="4" t="s">
        <v>18</v>
      </c>
      <c r="F4" s="4" t="s">
        <v>19</v>
      </c>
      <c r="G4" s="5" t="s">
        <v>3</v>
      </c>
    </row>
    <row r="5" spans="2:7" ht="15" x14ac:dyDescent="0.15">
      <c r="B5" s="6">
        <v>1.01</v>
      </c>
      <c r="C5" s="7" t="s">
        <v>20</v>
      </c>
      <c r="D5" s="8">
        <v>1</v>
      </c>
      <c r="E5" s="9"/>
      <c r="F5" s="9">
        <f>E5*D5</f>
        <v>0</v>
      </c>
      <c r="G5" s="262"/>
    </row>
    <row r="6" spans="2:7" ht="15" x14ac:dyDescent="0.15">
      <c r="B6" s="6">
        <v>1.02</v>
      </c>
      <c r="C6" s="7" t="s">
        <v>21</v>
      </c>
      <c r="D6" s="8">
        <v>1</v>
      </c>
      <c r="E6" s="9"/>
      <c r="F6" s="9">
        <f t="shared" ref="F6:F8" si="0">E6*D6</f>
        <v>0</v>
      </c>
      <c r="G6" s="262"/>
    </row>
    <row r="7" spans="2:7" ht="15" x14ac:dyDescent="0.15">
      <c r="B7" s="6">
        <v>1.03</v>
      </c>
      <c r="C7" s="7" t="s">
        <v>22</v>
      </c>
      <c r="D7" s="8">
        <v>1</v>
      </c>
      <c r="E7" s="9"/>
      <c r="F7" s="9">
        <f t="shared" si="0"/>
        <v>0</v>
      </c>
      <c r="G7" s="262"/>
    </row>
    <row r="8" spans="2:7" ht="15" x14ac:dyDescent="0.15">
      <c r="B8" s="6">
        <v>1.04</v>
      </c>
      <c r="C8" s="7" t="s">
        <v>23</v>
      </c>
      <c r="D8" s="8">
        <v>1</v>
      </c>
      <c r="E8" s="9"/>
      <c r="F8" s="9">
        <f t="shared" si="0"/>
        <v>0</v>
      </c>
      <c r="G8" s="262"/>
    </row>
    <row r="9" spans="2:7" ht="16" thickBot="1" x14ac:dyDescent="0.2">
      <c r="B9" s="11"/>
      <c r="C9" s="12"/>
      <c r="D9" s="13"/>
      <c r="E9" s="14" t="s">
        <v>24</v>
      </c>
      <c r="F9" s="14">
        <f>SUM(F5:F8)</f>
        <v>0</v>
      </c>
      <c r="G9" s="15"/>
    </row>
    <row r="10" spans="2:7" ht="15" thickBot="1" x14ac:dyDescent="0.2">
      <c r="B10" s="16"/>
      <c r="C10" s="17"/>
      <c r="D10" s="18"/>
      <c r="E10" s="19"/>
      <c r="F10" s="19"/>
      <c r="G10" s="20"/>
    </row>
    <row r="11" spans="2:7" ht="14" x14ac:dyDescent="0.15">
      <c r="B11" s="263" t="s">
        <v>25</v>
      </c>
      <c r="C11" s="264"/>
      <c r="D11" s="264"/>
      <c r="E11" s="264"/>
      <c r="F11" s="264"/>
      <c r="G11" s="265"/>
    </row>
    <row r="12" spans="2:7" ht="14" x14ac:dyDescent="0.15">
      <c r="B12" s="252" t="s">
        <v>26</v>
      </c>
      <c r="C12" s="253"/>
      <c r="D12" s="253"/>
      <c r="E12" s="253"/>
      <c r="F12" s="253"/>
      <c r="G12" s="254"/>
    </row>
    <row r="13" spans="2:7" ht="15" x14ac:dyDescent="0.15">
      <c r="B13" s="6">
        <v>1.05</v>
      </c>
      <c r="C13" s="7" t="s">
        <v>27</v>
      </c>
      <c r="D13" s="8">
        <v>1</v>
      </c>
      <c r="E13" s="9"/>
      <c r="F13" s="9">
        <f>E13*D13</f>
        <v>0</v>
      </c>
      <c r="G13" s="241"/>
    </row>
    <row r="14" spans="2:7" ht="15" x14ac:dyDescent="0.15">
      <c r="B14" s="6">
        <v>1.06</v>
      </c>
      <c r="C14" s="7" t="s">
        <v>28</v>
      </c>
      <c r="D14" s="8">
        <v>1</v>
      </c>
      <c r="E14" s="9"/>
      <c r="F14" s="9">
        <f t="shared" ref="F14:F15" si="1">E14*D14</f>
        <v>0</v>
      </c>
      <c r="G14" s="246"/>
    </row>
    <row r="15" spans="2:7" ht="45" x14ac:dyDescent="0.15">
      <c r="B15" s="6">
        <v>1.07</v>
      </c>
      <c r="C15" s="7" t="s">
        <v>29</v>
      </c>
      <c r="D15" s="8">
        <v>1</v>
      </c>
      <c r="E15" s="9"/>
      <c r="F15" s="9">
        <f t="shared" si="1"/>
        <v>0</v>
      </c>
      <c r="G15" s="242"/>
    </row>
    <row r="16" spans="2:7" ht="16" thickBot="1" x14ac:dyDescent="0.2">
      <c r="B16" s="23"/>
      <c r="C16" s="24"/>
      <c r="D16" s="25"/>
      <c r="E16" s="26" t="s">
        <v>30</v>
      </c>
      <c r="F16" s="27">
        <f>SUM(F13:F15)</f>
        <v>0</v>
      </c>
      <c r="G16" s="28"/>
    </row>
    <row r="17" spans="2:7" ht="14" x14ac:dyDescent="0.15">
      <c r="B17" s="252" t="s">
        <v>31</v>
      </c>
      <c r="C17" s="253"/>
      <c r="D17" s="253"/>
      <c r="E17" s="253"/>
      <c r="F17" s="253"/>
      <c r="G17" s="254"/>
    </row>
    <row r="18" spans="2:7" ht="60" x14ac:dyDescent="0.15">
      <c r="B18" s="6">
        <v>1.08</v>
      </c>
      <c r="C18" s="7" t="s">
        <v>32</v>
      </c>
      <c r="D18" s="8">
        <v>1</v>
      </c>
      <c r="E18" s="9"/>
      <c r="F18" s="9">
        <f>E18*D18</f>
        <v>0</v>
      </c>
      <c r="G18" s="241"/>
    </row>
    <row r="19" spans="2:7" ht="15" x14ac:dyDescent="0.15">
      <c r="B19" s="29">
        <v>1.0900000000000001</v>
      </c>
      <c r="C19" s="30" t="s">
        <v>33</v>
      </c>
      <c r="D19" s="31">
        <v>1</v>
      </c>
      <c r="E19" s="32"/>
      <c r="F19" s="9">
        <f>E19*D19</f>
        <v>0</v>
      </c>
      <c r="G19" s="242"/>
    </row>
    <row r="20" spans="2:7" ht="15" x14ac:dyDescent="0.15">
      <c r="B20" s="6"/>
      <c r="C20" s="7"/>
      <c r="D20" s="8"/>
      <c r="E20" s="33" t="s">
        <v>30</v>
      </c>
      <c r="F20" s="34">
        <f>SUM(F18+F19)</f>
        <v>0</v>
      </c>
      <c r="G20" s="35"/>
    </row>
    <row r="21" spans="2:7" ht="14" x14ac:dyDescent="0.15">
      <c r="B21" s="36"/>
      <c r="C21" s="17"/>
      <c r="D21" s="37"/>
      <c r="E21" s="38"/>
      <c r="F21" s="38"/>
      <c r="G21" s="39"/>
    </row>
    <row r="22" spans="2:7" ht="14" x14ac:dyDescent="0.15">
      <c r="B22" s="243" t="s">
        <v>34</v>
      </c>
      <c r="C22" s="244"/>
      <c r="D22" s="244"/>
      <c r="E22" s="244"/>
      <c r="F22" s="244"/>
      <c r="G22" s="245"/>
    </row>
    <row r="23" spans="2:7" ht="60" x14ac:dyDescent="0.15">
      <c r="B23" s="6">
        <v>1.1000000000000001</v>
      </c>
      <c r="C23" s="7" t="s">
        <v>35</v>
      </c>
      <c r="D23" s="8">
        <v>1</v>
      </c>
      <c r="E23" s="9"/>
      <c r="F23" s="9">
        <f>E23*D23</f>
        <v>0</v>
      </c>
      <c r="G23" s="241"/>
    </row>
    <row r="24" spans="2:7" ht="30" x14ac:dyDescent="0.15">
      <c r="B24" s="6">
        <v>1.1100000000000001</v>
      </c>
      <c r="C24" s="7" t="s">
        <v>36</v>
      </c>
      <c r="D24" s="8">
        <v>1</v>
      </c>
      <c r="E24" s="9"/>
      <c r="F24" s="9">
        <f t="shared" ref="F24:F26" si="2">E24*D24</f>
        <v>0</v>
      </c>
      <c r="G24" s="246"/>
    </row>
    <row r="25" spans="2:7" ht="30" x14ac:dyDescent="0.15">
      <c r="B25" s="6">
        <v>1.2</v>
      </c>
      <c r="C25" s="7" t="s">
        <v>37</v>
      </c>
      <c r="D25" s="8">
        <v>1</v>
      </c>
      <c r="E25" s="9"/>
      <c r="F25" s="9">
        <f t="shared" si="2"/>
        <v>0</v>
      </c>
      <c r="G25" s="246"/>
    </row>
    <row r="26" spans="2:7" ht="105" x14ac:dyDescent="0.15">
      <c r="B26" s="6">
        <v>1.21</v>
      </c>
      <c r="C26" s="7" t="s">
        <v>38</v>
      </c>
      <c r="D26" s="8">
        <v>1</v>
      </c>
      <c r="E26" s="9"/>
      <c r="F26" s="9">
        <f t="shared" si="2"/>
        <v>0</v>
      </c>
      <c r="G26" s="242"/>
    </row>
    <row r="27" spans="2:7" ht="16" thickBot="1" x14ac:dyDescent="0.25">
      <c r="B27" s="247"/>
      <c r="C27" s="248"/>
      <c r="D27" s="248"/>
      <c r="E27" s="26" t="s">
        <v>30</v>
      </c>
      <c r="F27" s="27">
        <f>SUM(F23:F26)</f>
        <v>0</v>
      </c>
      <c r="G27" s="28"/>
    </row>
    <row r="28" spans="2:7" ht="14" thickBot="1" x14ac:dyDescent="0.2"/>
    <row r="29" spans="2:7" ht="16" thickBot="1" x14ac:dyDescent="0.2">
      <c r="B29" s="249" t="s">
        <v>39</v>
      </c>
      <c r="C29" s="250"/>
      <c r="D29" s="251"/>
      <c r="E29" s="40" t="s">
        <v>40</v>
      </c>
      <c r="F29" s="41">
        <f>F27+F20+F16</f>
        <v>0</v>
      </c>
      <c r="G29" s="42"/>
    </row>
  </sheetData>
  <mergeCells count="12">
    <mergeCell ref="G13:G15"/>
    <mergeCell ref="B17:G17"/>
    <mergeCell ref="B1:G2"/>
    <mergeCell ref="B3:G3"/>
    <mergeCell ref="G5:G8"/>
    <mergeCell ref="B11:G11"/>
    <mergeCell ref="B12:G12"/>
    <mergeCell ref="G18:G19"/>
    <mergeCell ref="B22:G22"/>
    <mergeCell ref="G23:G26"/>
    <mergeCell ref="B27:D27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 Details - BOM</vt:lpstr>
      <vt:lpstr>CyberSecurity -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Hussein</dc:creator>
  <cp:lastModifiedBy>Microsoft Office User</cp:lastModifiedBy>
  <dcterms:created xsi:type="dcterms:W3CDTF">2023-03-24T08:10:48Z</dcterms:created>
  <dcterms:modified xsi:type="dcterms:W3CDTF">2023-08-15T06:57:45Z</dcterms:modified>
</cp:coreProperties>
</file>