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https://binyahsa-my.sharepoint.com/personal/mamoun_khaled_binyah_com_sa/Documents/Car Park Project/RFQ Packages/MEP/1- MEP SUB CONTRACTOR/Updated Package/221213 CP3-408-NCD CD Package/BOQ/"/>
    </mc:Choice>
  </mc:AlternateContent>
  <xr:revisionPtr revIDLastSave="62" documentId="8_{5197CC2D-60B5-45AA-8D49-3070441F8538}" xr6:coauthVersionLast="47" xr6:coauthVersionMax="47" xr10:uidLastSave="{6990CB87-0390-42E6-AB2A-D7A32022B359}"/>
  <bookViews>
    <workbookView xWindow="-108" yWindow="-108" windowWidth="23256" windowHeight="12576" activeTab="1" xr2:uid="{FED03FED-134E-4498-B3E5-E860AD3D86FA}"/>
  </bookViews>
  <sheets>
    <sheet name="General Requirments" sheetId="4" r:id="rId1"/>
    <sheet name="MAIN BOQ" sheetId="1" r:id="rId2"/>
    <sheet name="DAY Work BOQ" sheetId="3" r:id="rId3"/>
    <sheet name="Provisional Sum BOQ" sheetId="2" r:id="rId4"/>
  </sheets>
  <externalReferences>
    <externalReference r:id="rId5"/>
  </externalReferences>
  <definedNames>
    <definedName name="_xlnm._FilterDatabase" localSheetId="1" hidden="1">'MAIN BOQ'!$D$1:$D$1536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84" i="4" l="1"/>
  <c r="F676" i="4"/>
  <c r="F672" i="4"/>
  <c r="C662" i="4"/>
  <c r="C664" i="4" s="1"/>
  <c r="C666" i="4" s="1"/>
  <c r="C668" i="4" s="1"/>
  <c r="C670" i="4" s="1"/>
  <c r="C672" i="4" s="1"/>
  <c r="C674" i="4" s="1"/>
  <c r="C676" i="4" s="1"/>
  <c r="C678" i="4" s="1"/>
  <c r="C680" i="4" s="1"/>
  <c r="C682" i="4" s="1"/>
  <c r="C684" i="4" s="1"/>
  <c r="C686" i="4" s="1"/>
  <c r="B656" i="4"/>
  <c r="F651" i="4"/>
  <c r="F653" i="4" s="1"/>
  <c r="F686" i="4" s="1"/>
  <c r="B560" i="4"/>
  <c r="F557" i="4"/>
  <c r="F602" i="4" s="1"/>
  <c r="B518" i="4"/>
  <c r="F515" i="4"/>
  <c r="F682" i="4" s="1"/>
  <c r="B474" i="4"/>
  <c r="F471" i="4"/>
  <c r="F680" i="4" s="1"/>
  <c r="B426" i="4"/>
  <c r="F423" i="4"/>
  <c r="F678" i="4" s="1"/>
  <c r="B399" i="4"/>
  <c r="F396" i="4"/>
  <c r="B363" i="4"/>
  <c r="F335" i="4"/>
  <c r="F330" i="4"/>
  <c r="F328" i="4"/>
  <c r="F360" i="4" s="1"/>
  <c r="F674" i="4" s="1"/>
  <c r="B324" i="4"/>
  <c r="F321" i="4"/>
  <c r="B280" i="4"/>
  <c r="F277" i="4"/>
  <c r="F670" i="4" s="1"/>
  <c r="B242" i="4"/>
  <c r="F239" i="4"/>
  <c r="F668" i="4" s="1"/>
  <c r="A215" i="4"/>
  <c r="B207" i="4"/>
  <c r="F198" i="4"/>
  <c r="F204" i="4" s="1"/>
  <c r="F666" i="4" s="1"/>
  <c r="A143" i="4"/>
  <c r="A145" i="4" s="1"/>
  <c r="F137" i="4"/>
  <c r="F136" i="4"/>
  <c r="F135" i="4"/>
  <c r="F175" i="4" s="1"/>
  <c r="F664" i="4" s="1"/>
  <c r="F130" i="4"/>
  <c r="F129" i="4"/>
  <c r="F127" i="4"/>
  <c r="F96" i="4"/>
  <c r="F95" i="4"/>
  <c r="F94" i="4"/>
  <c r="F93" i="4"/>
  <c r="F132" i="4" s="1"/>
  <c r="F662" i="4" s="1"/>
  <c r="B93" i="4"/>
  <c r="B135" i="4" s="1"/>
  <c r="B178" i="4" s="1"/>
  <c r="F88" i="4"/>
  <c r="F87" i="4"/>
  <c r="F86" i="4"/>
  <c r="F85" i="4"/>
  <c r="F82" i="4"/>
  <c r="F81" i="4"/>
  <c r="F80" i="4"/>
  <c r="F79" i="4"/>
  <c r="F78" i="4"/>
  <c r="F77" i="4"/>
  <c r="F76" i="4"/>
  <c r="F75" i="4"/>
  <c r="F74" i="4"/>
  <c r="F73" i="4"/>
  <c r="F72" i="4"/>
  <c r="F71" i="4"/>
  <c r="F70" i="4"/>
  <c r="F69" i="4"/>
  <c r="F68" i="4"/>
  <c r="F67" i="4"/>
  <c r="F66" i="4"/>
  <c r="F65" i="4"/>
  <c r="F64" i="4"/>
  <c r="F63" i="4"/>
  <c r="F90" i="4" s="1"/>
  <c r="F660" i="4" s="1"/>
  <c r="A628" i="3"/>
  <c r="B440" i="3"/>
  <c r="B487" i="3" s="1"/>
  <c r="B539" i="3" s="1"/>
  <c r="A347" i="3"/>
  <c r="A349" i="3" s="1"/>
  <c r="B291" i="3"/>
  <c r="A203" i="3"/>
  <c r="A105" i="3"/>
  <c r="F711" i="4" l="1"/>
  <c r="A353" i="3"/>
  <c r="A205" i="3"/>
  <c r="A107" i="3"/>
  <c r="A207" i="3"/>
  <c r="A351" i="3"/>
  <c r="A357" i="3" l="1"/>
  <c r="A359" i="3" s="1"/>
  <c r="A209" i="3"/>
  <c r="A211" i="3" s="1"/>
  <c r="A355" i="3"/>
  <c r="A109" i="3"/>
  <c r="A115" i="3" l="1"/>
  <c r="A361" i="3"/>
  <c r="A365" i="3" s="1"/>
  <c r="A363" i="3"/>
  <c r="A111" i="3"/>
  <c r="A213" i="3"/>
  <c r="A215" i="3" s="1"/>
  <c r="A367" i="3" l="1"/>
  <c r="A369" i="3" s="1"/>
  <c r="A219" i="3"/>
  <c r="A117" i="3"/>
  <c r="A119" i="3"/>
  <c r="A217" i="3"/>
  <c r="A121" i="3"/>
  <c r="A221" i="3" l="1"/>
  <c r="A371" i="3"/>
  <c r="A123" i="3"/>
  <c r="A223" i="3" l="1"/>
  <c r="A225" i="3" s="1"/>
  <c r="A125" i="3"/>
  <c r="A373" i="3"/>
  <c r="A375" i="3" s="1"/>
  <c r="A127" i="3"/>
  <c r="A377" i="3" l="1"/>
  <c r="A379" i="3" s="1"/>
  <c r="A227" i="3"/>
  <c r="A129" i="3"/>
  <c r="A131" i="3" s="1"/>
  <c r="A383" i="3" l="1"/>
  <c r="A229" i="3"/>
  <c r="A231" i="3" s="1"/>
  <c r="A381" i="3"/>
  <c r="A133" i="3"/>
  <c r="A385" i="3" l="1"/>
  <c r="A387" i="3" s="1"/>
  <c r="A135" i="3"/>
  <c r="A233" i="3"/>
  <c r="A394" i="3" l="1"/>
  <c r="A235" i="3"/>
  <c r="A137" i="3"/>
  <c r="A139" i="3" l="1"/>
  <c r="A396" i="3"/>
  <c r="A237" i="3"/>
  <c r="A244" i="3" l="1"/>
  <c r="A141" i="3"/>
  <c r="A398" i="3"/>
  <c r="A148" i="3" l="1"/>
  <c r="A246" i="3"/>
  <c r="A248" i="3" s="1"/>
  <c r="A400" i="3"/>
  <c r="A402" i="3" s="1"/>
  <c r="A150" i="3" l="1"/>
  <c r="A152" i="3" s="1"/>
  <c r="A406" i="3"/>
  <c r="A404" i="3"/>
  <c r="A408" i="3" s="1"/>
  <c r="A250" i="3"/>
  <c r="A156" i="3" l="1"/>
  <c r="A154" i="3"/>
  <c r="A252" i="3"/>
  <c r="A410" i="3"/>
  <c r="A412" i="3" s="1"/>
  <c r="H1431" i="1"/>
  <c r="H1419" i="1"/>
  <c r="H1416" i="1"/>
  <c r="H1413" i="1"/>
  <c r="H1409" i="1"/>
  <c r="H1408" i="1"/>
  <c r="H1407" i="1"/>
  <c r="H1406" i="1"/>
  <c r="H1403" i="1"/>
  <c r="H1402" i="1"/>
  <c r="H1401" i="1"/>
  <c r="H1400" i="1"/>
  <c r="H1396" i="1"/>
  <c r="H1395" i="1"/>
  <c r="H1394" i="1"/>
  <c r="H1393" i="1"/>
  <c r="H1392" i="1"/>
  <c r="H1391" i="1"/>
  <c r="E1390" i="1"/>
  <c r="H1390" i="1" s="1"/>
  <c r="H1387" i="1"/>
  <c r="H1386" i="1"/>
  <c r="H1385" i="1"/>
  <c r="H1384" i="1"/>
  <c r="H1383" i="1"/>
  <c r="H1382" i="1"/>
  <c r="H1381" i="1"/>
  <c r="E1381" i="1"/>
  <c r="H1377" i="1"/>
  <c r="H1376" i="1"/>
  <c r="H1375" i="1"/>
  <c r="H1374" i="1"/>
  <c r="H1373" i="1"/>
  <c r="H1372" i="1"/>
  <c r="H1371" i="1"/>
  <c r="H1370" i="1"/>
  <c r="H1369" i="1"/>
  <c r="H1368" i="1"/>
  <c r="H1367" i="1"/>
  <c r="E1367" i="1"/>
  <c r="H1366" i="1"/>
  <c r="E1366" i="1"/>
  <c r="H1363" i="1"/>
  <c r="H1362" i="1"/>
  <c r="H1361" i="1"/>
  <c r="H1360" i="1"/>
  <c r="H1359" i="1"/>
  <c r="H1358" i="1"/>
  <c r="H1357" i="1"/>
  <c r="H1356" i="1"/>
  <c r="H1355" i="1"/>
  <c r="H1354" i="1"/>
  <c r="H1353" i="1"/>
  <c r="E1353" i="1"/>
  <c r="E1352" i="1"/>
  <c r="H1352" i="1" s="1"/>
  <c r="H1348" i="1"/>
  <c r="H1347" i="1"/>
  <c r="H1346" i="1"/>
  <c r="E1346" i="1"/>
  <c r="H1345" i="1"/>
  <c r="E1345" i="1"/>
  <c r="H1344" i="1"/>
  <c r="E1344" i="1"/>
  <c r="H1341" i="1"/>
  <c r="H1340" i="1"/>
  <c r="E1339" i="1"/>
  <c r="H1339" i="1" s="1"/>
  <c r="H1338" i="1"/>
  <c r="E1338" i="1"/>
  <c r="H1337" i="1"/>
  <c r="E1337" i="1"/>
  <c r="H1330" i="1"/>
  <c r="H1329" i="1"/>
  <c r="H1326" i="1"/>
  <c r="H1325" i="1"/>
  <c r="E1321" i="1"/>
  <c r="H1321" i="1" s="1"/>
  <c r="H1318" i="1"/>
  <c r="E1318" i="1"/>
  <c r="H1314" i="1"/>
  <c r="H1311" i="1"/>
  <c r="H1308" i="1"/>
  <c r="H1307" i="1"/>
  <c r="H1306" i="1"/>
  <c r="H1305" i="1"/>
  <c r="H1301" i="1"/>
  <c r="H1300" i="1"/>
  <c r="H1299" i="1"/>
  <c r="H1298" i="1"/>
  <c r="H1294" i="1"/>
  <c r="H1292" i="1"/>
  <c r="H1291" i="1"/>
  <c r="H1290" i="1"/>
  <c r="H1286" i="1"/>
  <c r="H1283" i="1"/>
  <c r="H1282" i="1"/>
  <c r="H1281" i="1"/>
  <c r="H1278"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3" i="1"/>
  <c r="H1210" i="1"/>
  <c r="H1207" i="1"/>
  <c r="H1206" i="1"/>
  <c r="H1203" i="1"/>
  <c r="H1202" i="1"/>
  <c r="H1199" i="1"/>
  <c r="H1198" i="1"/>
  <c r="H1197" i="1"/>
  <c r="H1196" i="1"/>
  <c r="H1193" i="1"/>
  <c r="H1192" i="1"/>
  <c r="H1191" i="1"/>
  <c r="H1188" i="1"/>
  <c r="H1185" i="1"/>
  <c r="H1182" i="1"/>
  <c r="H1179" i="1"/>
  <c r="H1176" i="1"/>
  <c r="H1173" i="1"/>
  <c r="H1172" i="1"/>
  <c r="H1171" i="1"/>
  <c r="H1170" i="1"/>
  <c r="H1169" i="1"/>
  <c r="H1168" i="1"/>
  <c r="H1166" i="1"/>
  <c r="H1165" i="1"/>
  <c r="H1164" i="1"/>
  <c r="H1163" i="1"/>
  <c r="H1145" i="1"/>
  <c r="H1144" i="1"/>
  <c r="H1140" i="1"/>
  <c r="H1139" i="1"/>
  <c r="H1138" i="1"/>
  <c r="H1137" i="1"/>
  <c r="H1136" i="1"/>
  <c r="H1135" i="1"/>
  <c r="H1134" i="1"/>
  <c r="H1133" i="1"/>
  <c r="H1132" i="1"/>
  <c r="H1131" i="1"/>
  <c r="H1130" i="1"/>
  <c r="H1126" i="1"/>
  <c r="H1125" i="1"/>
  <c r="H1124" i="1"/>
  <c r="H1123" i="1"/>
  <c r="H1122" i="1"/>
  <c r="H1121" i="1"/>
  <c r="H1118" i="1"/>
  <c r="E1117" i="1"/>
  <c r="H1117" i="1" s="1"/>
  <c r="H1116" i="1"/>
  <c r="E1115" i="1"/>
  <c r="H1115" i="1" s="1"/>
  <c r="E1114" i="1"/>
  <c r="H1114" i="1" s="1"/>
  <c r="E1113" i="1"/>
  <c r="H1113" i="1" s="1"/>
  <c r="E1110" i="1"/>
  <c r="H1110" i="1" s="1"/>
  <c r="H1106" i="1"/>
  <c r="H1103" i="1"/>
  <c r="E1103" i="1"/>
  <c r="H1102" i="1"/>
  <c r="E1101" i="1"/>
  <c r="H1101" i="1" s="1"/>
  <c r="H1100" i="1"/>
  <c r="H1099" i="1"/>
  <c r="E1099" i="1"/>
  <c r="H1096" i="1"/>
  <c r="E1096" i="1"/>
  <c r="H1095" i="1"/>
  <c r="H1094" i="1"/>
  <c r="E1094" i="1"/>
  <c r="H1093" i="1"/>
  <c r="E1092" i="1"/>
  <c r="H1092" i="1" s="1"/>
  <c r="H1088" i="1"/>
  <c r="H1087" i="1"/>
  <c r="H1086" i="1"/>
  <c r="E1085" i="1"/>
  <c r="H1085" i="1" s="1"/>
  <c r="E1084" i="1"/>
  <c r="H1084" i="1" s="1"/>
  <c r="H1083" i="1"/>
  <c r="E1083" i="1"/>
  <c r="E1080" i="1"/>
  <c r="H1080" i="1" s="1"/>
  <c r="E1076" i="1"/>
  <c r="H1076" i="1" s="1"/>
  <c r="E1075" i="1"/>
  <c r="H1075" i="1" s="1"/>
  <c r="H1074" i="1"/>
  <c r="H1073" i="1"/>
  <c r="E1073" i="1"/>
  <c r="H1072" i="1"/>
  <c r="H1071" i="1"/>
  <c r="H1070" i="1"/>
  <c r="H1069" i="1"/>
  <c r="H1068" i="1"/>
  <c r="E1068" i="1"/>
  <c r="H1067" i="1"/>
  <c r="E1067" i="1"/>
  <c r="H1066" i="1"/>
  <c r="E1066" i="1"/>
  <c r="H1063" i="1"/>
  <c r="E1063" i="1"/>
  <c r="E1062" i="1"/>
  <c r="H1062" i="1" s="1"/>
  <c r="H1061" i="1"/>
  <c r="E1060" i="1"/>
  <c r="H1060" i="1" s="1"/>
  <c r="H1059" i="1"/>
  <c r="H1058" i="1"/>
  <c r="H1057" i="1"/>
  <c r="H1056" i="1"/>
  <c r="E1055" i="1"/>
  <c r="H1055" i="1" s="1"/>
  <c r="E1054" i="1"/>
  <c r="H1054" i="1" s="1"/>
  <c r="H1053" i="1"/>
  <c r="E1053" i="1"/>
  <c r="H1049" i="1"/>
  <c r="H1046" i="1"/>
  <c r="H1045" i="1"/>
  <c r="H1042" i="1"/>
  <c r="H1039" i="1"/>
  <c r="H1036" i="1"/>
  <c r="H1035" i="1"/>
  <c r="H1034" i="1"/>
  <c r="H1033" i="1"/>
  <c r="H1032" i="1"/>
  <c r="H1031" i="1"/>
  <c r="H1030" i="1"/>
  <c r="E1029" i="1"/>
  <c r="H1029" i="1" s="1"/>
  <c r="H1026" i="1"/>
  <c r="H1025" i="1"/>
  <c r="H1024" i="1"/>
  <c r="H1023" i="1"/>
  <c r="H1022" i="1"/>
  <c r="H1021" i="1"/>
  <c r="H1020" i="1"/>
  <c r="H1019" i="1"/>
  <c r="H1018" i="1"/>
  <c r="H1015" i="1"/>
  <c r="H1014" i="1"/>
  <c r="H1013" i="1"/>
  <c r="H1012" i="1"/>
  <c r="H1011" i="1"/>
  <c r="H1010" i="1"/>
  <c r="H1009" i="1"/>
  <c r="H1008" i="1"/>
  <c r="H1007" i="1"/>
  <c r="H1006" i="1"/>
  <c r="H1003" i="1"/>
  <c r="H1002" i="1"/>
  <c r="H1001" i="1"/>
  <c r="H1000" i="1"/>
  <c r="H999" i="1"/>
  <c r="H998" i="1"/>
  <c r="H995" i="1"/>
  <c r="H994" i="1"/>
  <c r="H993" i="1"/>
  <c r="H992" i="1"/>
  <c r="H991" i="1"/>
  <c r="H990" i="1"/>
  <c r="H989" i="1"/>
  <c r="H988" i="1"/>
  <c r="H987" i="1"/>
  <c r="H986" i="1"/>
  <c r="H985" i="1"/>
  <c r="H982" i="1"/>
  <c r="H981" i="1"/>
  <c r="H980" i="1"/>
  <c r="H977" i="1"/>
  <c r="H976" i="1"/>
  <c r="H975" i="1"/>
  <c r="H974" i="1"/>
  <c r="H973" i="1"/>
  <c r="H972" i="1"/>
  <c r="H971" i="1"/>
  <c r="H970" i="1"/>
  <c r="H969" i="1"/>
  <c r="H968" i="1"/>
  <c r="H967" i="1"/>
  <c r="H966" i="1"/>
  <c r="H965" i="1"/>
  <c r="H964" i="1"/>
  <c r="H963" i="1"/>
  <c r="H962" i="1"/>
  <c r="H959" i="1"/>
  <c r="H958" i="1"/>
  <c r="H957" i="1"/>
  <c r="H956" i="1"/>
  <c r="H955" i="1"/>
  <c r="H954" i="1"/>
  <c r="H953" i="1"/>
  <c r="H952" i="1"/>
  <c r="H949" i="1"/>
  <c r="H948" i="1"/>
  <c r="H947" i="1"/>
  <c r="H946" i="1"/>
  <c r="H945" i="1"/>
  <c r="H944" i="1"/>
  <c r="H943" i="1"/>
  <c r="H942" i="1"/>
  <c r="H939" i="1"/>
  <c r="H938" i="1"/>
  <c r="H937" i="1"/>
  <c r="H934" i="1"/>
  <c r="H933" i="1"/>
  <c r="H932" i="1"/>
  <c r="H931" i="1"/>
  <c r="H930" i="1"/>
  <c r="E927" i="1"/>
  <c r="H927" i="1" s="1"/>
  <c r="E926" i="1"/>
  <c r="H926" i="1" s="1"/>
  <c r="H925" i="1"/>
  <c r="E925" i="1"/>
  <c r="H924" i="1"/>
  <c r="E924" i="1"/>
  <c r="H923" i="1"/>
  <c r="E923" i="1"/>
  <c r="H922" i="1"/>
  <c r="E921" i="1"/>
  <c r="H921" i="1" s="1"/>
  <c r="H920" i="1"/>
  <c r="H919" i="1"/>
  <c r="H909" i="1"/>
  <c r="H906" i="1"/>
  <c r="H903" i="1"/>
  <c r="H895" i="1"/>
  <c r="H888" i="1"/>
  <c r="H881" i="1"/>
  <c r="H879" i="1"/>
  <c r="H877" i="1"/>
  <c r="H866" i="1"/>
  <c r="H865" i="1"/>
  <c r="H864" i="1"/>
  <c r="H861" i="1"/>
  <c r="H860" i="1"/>
  <c r="H859" i="1"/>
  <c r="H856" i="1"/>
  <c r="H853" i="1"/>
  <c r="H849" i="1"/>
  <c r="H848" i="1"/>
  <c r="H847" i="1"/>
  <c r="H846" i="1"/>
  <c r="H840" i="1"/>
  <c r="H837" i="1"/>
  <c r="H834" i="1"/>
  <c r="H831" i="1"/>
  <c r="H830" i="1"/>
  <c r="H827" i="1"/>
  <c r="H826" i="1"/>
  <c r="H823" i="1"/>
  <c r="H822" i="1"/>
  <c r="H821" i="1"/>
  <c r="H820" i="1"/>
  <c r="H817" i="1"/>
  <c r="E817" i="1"/>
  <c r="H814" i="1"/>
  <c r="H811" i="1"/>
  <c r="H810" i="1"/>
  <c r="H809" i="1"/>
  <c r="H805" i="1"/>
  <c r="H804" i="1"/>
  <c r="H803" i="1"/>
  <c r="E800" i="1"/>
  <c r="H800" i="1" s="1"/>
  <c r="H795" i="1"/>
  <c r="H792" i="1"/>
  <c r="H791" i="1"/>
  <c r="H790" i="1"/>
  <c r="H787" i="1"/>
  <c r="H786" i="1"/>
  <c r="H785" i="1"/>
  <c r="H784" i="1"/>
  <c r="H783"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19" i="1"/>
  <c r="H718" i="1"/>
  <c r="H717" i="1"/>
  <c r="H716" i="1"/>
  <c r="H713" i="1"/>
  <c r="H712" i="1"/>
  <c r="E711" i="1"/>
  <c r="H711" i="1" s="1"/>
  <c r="H708" i="1"/>
  <c r="H707" i="1"/>
  <c r="H706" i="1"/>
  <c r="H702" i="1"/>
  <c r="E699" i="1"/>
  <c r="H699" i="1" s="1"/>
  <c r="H698" i="1"/>
  <c r="H697" i="1"/>
  <c r="H694" i="1"/>
  <c r="E694" i="1"/>
  <c r="H693" i="1"/>
  <c r="H692" i="1"/>
  <c r="E688" i="1"/>
  <c r="H688" i="1" s="1"/>
  <c r="H681" i="1"/>
  <c r="H680" i="1"/>
  <c r="H677" i="1"/>
  <c r="H676" i="1"/>
  <c r="H675" i="1"/>
  <c r="H672" i="1"/>
  <c r="H671" i="1"/>
  <c r="H670" i="1"/>
  <c r="H669" i="1"/>
  <c r="H666" i="1"/>
  <c r="H665" i="1"/>
  <c r="H664" i="1"/>
  <c r="H663" i="1"/>
  <c r="H662" i="1"/>
  <c r="H661" i="1"/>
  <c r="H660" i="1"/>
  <c r="H657" i="1"/>
  <c r="H656" i="1"/>
  <c r="H652" i="1"/>
  <c r="H651" i="1"/>
  <c r="H650" i="1"/>
  <c r="H647" i="1"/>
  <c r="H646" i="1"/>
  <c r="H645" i="1"/>
  <c r="H642" i="1"/>
  <c r="H638" i="1"/>
  <c r="E638" i="1"/>
  <c r="H635" i="1"/>
  <c r="H632" i="1"/>
  <c r="H629" i="1"/>
  <c r="H624" i="1"/>
  <c r="H623" i="1"/>
  <c r="H622" i="1"/>
  <c r="H621" i="1"/>
  <c r="H620" i="1"/>
  <c r="H619" i="1"/>
  <c r="H616" i="1"/>
  <c r="H615" i="1"/>
  <c r="H614" i="1"/>
  <c r="H613" i="1"/>
  <c r="H612" i="1"/>
  <c r="H611" i="1"/>
  <c r="H610" i="1"/>
  <c r="H605" i="1"/>
  <c r="H604" i="1"/>
  <c r="H603" i="1"/>
  <c r="H602" i="1"/>
  <c r="H601" i="1"/>
  <c r="H600" i="1"/>
  <c r="H596" i="1"/>
  <c r="H595" i="1"/>
  <c r="H591" i="1"/>
  <c r="H588" i="1"/>
  <c r="H585" i="1"/>
  <c r="H582" i="1"/>
  <c r="H579" i="1"/>
  <c r="H578" i="1"/>
  <c r="H575" i="1"/>
  <c r="H572" i="1"/>
  <c r="H571" i="1"/>
  <c r="H570" i="1"/>
  <c r="H567" i="1"/>
  <c r="H566" i="1"/>
  <c r="H563" i="1"/>
  <c r="E560" i="1"/>
  <c r="H560" i="1" s="1"/>
  <c r="H557" i="1"/>
  <c r="H554" i="1"/>
  <c r="H551" i="1"/>
  <c r="E550" i="1"/>
  <c r="H550" i="1" s="1"/>
  <c r="H549" i="1"/>
  <c r="H548" i="1"/>
  <c r="H547" i="1"/>
  <c r="E544" i="1"/>
  <c r="H544" i="1" s="1"/>
  <c r="E541" i="1"/>
  <c r="H541" i="1" s="1"/>
  <c r="H540" i="1"/>
  <c r="E537" i="1"/>
  <c r="H537" i="1" s="1"/>
  <c r="E536" i="1"/>
  <c r="H536" i="1" s="1"/>
  <c r="H535" i="1"/>
  <c r="H534" i="1"/>
  <c r="H528" i="1"/>
  <c r="H527" i="1"/>
  <c r="H526" i="1"/>
  <c r="H525" i="1"/>
  <c r="H524" i="1"/>
  <c r="H523" i="1"/>
  <c r="H522" i="1"/>
  <c r="H521" i="1"/>
  <c r="H520" i="1"/>
  <c r="H516" i="1"/>
  <c r="H513" i="1"/>
  <c r="H512" i="1"/>
  <c r="H511" i="1"/>
  <c r="H510" i="1"/>
  <c r="H509" i="1"/>
  <c r="H508" i="1"/>
  <c r="H505" i="1"/>
  <c r="H504" i="1"/>
  <c r="H503" i="1"/>
  <c r="H502" i="1"/>
  <c r="H501" i="1"/>
  <c r="H500" i="1"/>
  <c r="H499" i="1"/>
  <c r="H496" i="1"/>
  <c r="H495" i="1"/>
  <c r="H494" i="1"/>
  <c r="H493" i="1"/>
  <c r="H492" i="1"/>
  <c r="H491" i="1"/>
  <c r="H490" i="1"/>
  <c r="H482" i="1"/>
  <c r="H481" i="1"/>
  <c r="H478" i="1"/>
  <c r="H477" i="1"/>
  <c r="H474" i="1"/>
  <c r="H473" i="1"/>
  <c r="H472" i="1"/>
  <c r="H471" i="1"/>
  <c r="H470" i="1"/>
  <c r="H469" i="1"/>
  <c r="H468" i="1"/>
  <c r="H467" i="1"/>
  <c r="H466" i="1"/>
  <c r="H462" i="1"/>
  <c r="H459" i="1"/>
  <c r="H458" i="1"/>
  <c r="H456" i="1"/>
  <c r="H455" i="1"/>
  <c r="H454" i="1"/>
  <c r="H451" i="1"/>
  <c r="H448" i="1"/>
  <c r="H447" i="1"/>
  <c r="H446" i="1"/>
  <c r="H445" i="1"/>
  <c r="H444" i="1"/>
  <c r="H443" i="1"/>
  <c r="H442" i="1"/>
  <c r="H441" i="1"/>
  <c r="H438" i="1"/>
  <c r="H437" i="1"/>
  <c r="H436" i="1"/>
  <c r="H435" i="1"/>
  <c r="H434" i="1"/>
  <c r="H433" i="1"/>
  <c r="H432" i="1"/>
  <c r="E431" i="1"/>
  <c r="H431" i="1" s="1"/>
  <c r="H430" i="1"/>
  <c r="H429" i="1"/>
  <c r="E428" i="1"/>
  <c r="H428" i="1" s="1"/>
  <c r="H427" i="1"/>
  <c r="H426" i="1"/>
  <c r="E425" i="1"/>
  <c r="H425" i="1" s="1"/>
  <c r="H424" i="1"/>
  <c r="H418" i="1"/>
  <c r="H417" i="1"/>
  <c r="H414" i="1"/>
  <c r="H413" i="1"/>
  <c r="H410" i="1"/>
  <c r="E409" i="1"/>
  <c r="E412" i="1" s="1"/>
  <c r="H412" i="1" s="1"/>
  <c r="E408" i="1"/>
  <c r="E411" i="1" s="1"/>
  <c r="H411" i="1" s="1"/>
  <c r="H407" i="1"/>
  <c r="H406" i="1"/>
  <c r="H405" i="1"/>
  <c r="E401" i="1"/>
  <c r="H401" i="1" s="1"/>
  <c r="H397" i="1"/>
  <c r="E397" i="1"/>
  <c r="H394" i="1"/>
  <c r="E394" i="1"/>
  <c r="H393" i="1"/>
  <c r="E393" i="1"/>
  <c r="H391" i="1"/>
  <c r="E391" i="1"/>
  <c r="H390" i="1"/>
  <c r="H383" i="1"/>
  <c r="H382" i="1"/>
  <c r="E381" i="1"/>
  <c r="E384" i="1" s="1"/>
  <c r="H384" i="1" s="1"/>
  <c r="H380" i="1"/>
  <c r="H379" i="1"/>
  <c r="H378" i="1"/>
  <c r="H377" i="1"/>
  <c r="H376" i="1"/>
  <c r="H375" i="1"/>
  <c r="H374" i="1"/>
  <c r="H371" i="1"/>
  <c r="H370" i="1"/>
  <c r="H369" i="1"/>
  <c r="H368" i="1"/>
  <c r="E367" i="1"/>
  <c r="E387" i="1" s="1"/>
  <c r="H387" i="1" s="1"/>
  <c r="H366" i="1"/>
  <c r="H365" i="1"/>
  <c r="H364" i="1"/>
  <c r="H363" i="1"/>
  <c r="H362" i="1"/>
  <c r="H361" i="1"/>
  <c r="H360" i="1"/>
  <c r="E360" i="1"/>
  <c r="H355" i="1"/>
  <c r="H354" i="1"/>
  <c r="H353" i="1"/>
  <c r="H349" i="1"/>
  <c r="H348" i="1"/>
  <c r="E347" i="1"/>
  <c r="H347" i="1" s="1"/>
  <c r="H346" i="1"/>
  <c r="E345" i="1"/>
  <c r="H345" i="1" s="1"/>
  <c r="H342" i="1"/>
  <c r="H336" i="1"/>
  <c r="H335" i="1"/>
  <c r="H334" i="1"/>
  <c r="H333" i="1"/>
  <c r="H332" i="1"/>
  <c r="H331" i="1"/>
  <c r="H330" i="1"/>
  <c r="H329" i="1"/>
  <c r="H326" i="1"/>
  <c r="H323" i="1"/>
  <c r="H322" i="1"/>
  <c r="H321" i="1"/>
  <c r="H318" i="1"/>
  <c r="H310" i="1"/>
  <c r="H307" i="1"/>
  <c r="H306" i="1"/>
  <c r="H305" i="1"/>
  <c r="H304" i="1"/>
  <c r="H301" i="1"/>
  <c r="E300" i="1"/>
  <c r="H300" i="1" s="1"/>
  <c r="H299" i="1"/>
  <c r="E298" i="1"/>
  <c r="H298" i="1" s="1"/>
  <c r="E297" i="1"/>
  <c r="H297" i="1" s="1"/>
  <c r="H296" i="1"/>
  <c r="H295" i="1"/>
  <c r="H291" i="1"/>
  <c r="H290" i="1"/>
  <c r="H289" i="1"/>
  <c r="H286" i="1"/>
  <c r="H285" i="1"/>
  <c r="H284" i="1"/>
  <c r="H283" i="1"/>
  <c r="H282" i="1"/>
  <c r="H281" i="1"/>
  <c r="H280" i="1"/>
  <c r="H279" i="1"/>
  <c r="H278" i="1"/>
  <c r="H274" i="1"/>
  <c r="H273" i="1"/>
  <c r="H272" i="1"/>
  <c r="H271" i="1"/>
  <c r="H270" i="1"/>
  <c r="H269" i="1"/>
  <c r="H268" i="1"/>
  <c r="H265" i="1"/>
  <c r="H264" i="1"/>
  <c r="H263" i="1"/>
  <c r="H262" i="1"/>
  <c r="H259" i="1"/>
  <c r="H258" i="1"/>
  <c r="H255" i="1"/>
  <c r="H254" i="1"/>
  <c r="H251" i="1"/>
  <c r="E248" i="1"/>
  <c r="H248" i="1" s="1"/>
  <c r="H244" i="1"/>
  <c r="H243" i="1"/>
  <c r="H242" i="1"/>
  <c r="H241" i="1"/>
  <c r="H240" i="1"/>
  <c r="H239" i="1"/>
  <c r="H236" i="1"/>
  <c r="H235" i="1"/>
  <c r="H234" i="1"/>
  <c r="H231" i="1"/>
  <c r="H230" i="1"/>
  <c r="H229" i="1"/>
  <c r="H226" i="1"/>
  <c r="H223" i="1"/>
  <c r="H222" i="1"/>
  <c r="H219" i="1"/>
  <c r="E216" i="1"/>
  <c r="H216" i="1" s="1"/>
  <c r="E215" i="1"/>
  <c r="H215" i="1" s="1"/>
  <c r="H214" i="1"/>
  <c r="H213" i="1"/>
  <c r="H212" i="1"/>
  <c r="H211" i="1"/>
  <c r="E208" i="1"/>
  <c r="H208" i="1" s="1"/>
  <c r="H205" i="1"/>
  <c r="H201" i="1"/>
  <c r="H200" i="1"/>
  <c r="H197" i="1"/>
  <c r="E194" i="1"/>
  <c r="H194" i="1" s="1"/>
  <c r="H193" i="1"/>
  <c r="E189" i="1"/>
  <c r="H189" i="1" s="1"/>
  <c r="H186" i="1"/>
  <c r="E186" i="1"/>
  <c r="E190" i="1" s="1"/>
  <c r="H190" i="1" s="1"/>
  <c r="H185" i="1"/>
  <c r="H184" i="1"/>
  <c r="H182" i="1"/>
  <c r="H181" i="1"/>
  <c r="H180" i="1"/>
  <c r="H179" i="1"/>
  <c r="H175" i="1"/>
  <c r="H172" i="1"/>
  <c r="H171" i="1"/>
  <c r="H170" i="1"/>
  <c r="H169" i="1"/>
  <c r="H168" i="1"/>
  <c r="H167" i="1"/>
  <c r="H166" i="1"/>
  <c r="H165" i="1"/>
  <c r="H164" i="1"/>
  <c r="H163" i="1"/>
  <c r="H162" i="1"/>
  <c r="H161" i="1"/>
  <c r="H160" i="1"/>
  <c r="H157" i="1"/>
  <c r="H156" i="1"/>
  <c r="H155" i="1"/>
  <c r="H152" i="1"/>
  <c r="E150" i="1"/>
  <c r="H150" i="1" s="1"/>
  <c r="H147" i="1"/>
  <c r="H146" i="1"/>
  <c r="H145" i="1"/>
  <c r="H144" i="1"/>
  <c r="H143" i="1"/>
  <c r="H142" i="1"/>
  <c r="H141" i="1"/>
  <c r="H140" i="1"/>
  <c r="H139" i="1"/>
  <c r="H135" i="1"/>
  <c r="H134" i="1"/>
  <c r="H133" i="1"/>
  <c r="H132" i="1"/>
  <c r="H131" i="1"/>
  <c r="H130" i="1"/>
  <c r="H129" i="1"/>
  <c r="H128" i="1"/>
  <c r="H127" i="1"/>
  <c r="H126" i="1"/>
  <c r="H125" i="1"/>
  <c r="H124" i="1"/>
  <c r="H123" i="1"/>
  <c r="H122" i="1"/>
  <c r="H121" i="1"/>
  <c r="H120" i="1"/>
  <c r="H119" i="1"/>
  <c r="H118" i="1"/>
  <c r="H117" i="1"/>
  <c r="H116" i="1"/>
  <c r="H113" i="1"/>
  <c r="H112" i="1"/>
  <c r="H111" i="1"/>
  <c r="H110" i="1"/>
  <c r="H109" i="1"/>
  <c r="H108" i="1"/>
  <c r="H107" i="1"/>
  <c r="E104" i="1"/>
  <c r="H104" i="1" s="1"/>
  <c r="E103" i="1"/>
  <c r="H103" i="1" s="1"/>
  <c r="E102" i="1"/>
  <c r="H102" i="1" s="1"/>
  <c r="E101" i="1"/>
  <c r="H101" i="1" s="1"/>
  <c r="E100" i="1"/>
  <c r="H100" i="1" s="1"/>
  <c r="E99" i="1"/>
  <c r="H99" i="1" s="1"/>
  <c r="E98" i="1"/>
  <c r="H98" i="1" s="1"/>
  <c r="H95" i="1"/>
  <c r="H94" i="1"/>
  <c r="H93" i="1"/>
  <c r="H92" i="1"/>
  <c r="H91" i="1"/>
  <c r="H90" i="1"/>
  <c r="H89" i="1"/>
  <c r="H88" i="1"/>
  <c r="H87" i="1"/>
  <c r="H86" i="1"/>
  <c r="H85" i="1"/>
  <c r="H79" i="1"/>
  <c r="H76" i="1"/>
  <c r="H75" i="1"/>
  <c r="H74" i="1"/>
  <c r="H73" i="1"/>
  <c r="H72" i="1"/>
  <c r="H69" i="1"/>
  <c r="H68" i="1"/>
  <c r="H65" i="1"/>
  <c r="E62" i="1"/>
  <c r="H62" i="1" s="1"/>
  <c r="H59" i="1"/>
  <c r="H58" i="1"/>
  <c r="H57" i="1"/>
  <c r="H56" i="1"/>
  <c r="H55" i="1"/>
  <c r="H51" i="1"/>
  <c r="H50" i="1"/>
  <c r="H49" i="1"/>
  <c r="H48" i="1"/>
  <c r="E45" i="1"/>
  <c r="H45" i="1" s="1"/>
  <c r="E44" i="1"/>
  <c r="H44" i="1" s="1"/>
  <c r="E43" i="1"/>
  <c r="H43" i="1" s="1"/>
  <c r="E42" i="1"/>
  <c r="H42" i="1" s="1"/>
  <c r="H39" i="1"/>
  <c r="H38" i="1"/>
  <c r="H37" i="1"/>
  <c r="H36" i="1"/>
  <c r="H35" i="1"/>
  <c r="H32" i="1"/>
  <c r="H31" i="1"/>
  <c r="H27" i="1"/>
  <c r="H26" i="1"/>
  <c r="E25" i="1"/>
  <c r="H25" i="1" s="1"/>
  <c r="H23" i="1"/>
  <c r="H22" i="1"/>
  <c r="H21" i="1"/>
  <c r="E21" i="1"/>
  <c r="E24" i="1" s="1"/>
  <c r="H24" i="1" s="1"/>
  <c r="E18" i="1"/>
  <c r="H18" i="1" s="1"/>
  <c r="H17" i="1"/>
  <c r="H367" i="1" l="1"/>
  <c r="A414" i="3"/>
  <c r="A416" i="3" s="1"/>
  <c r="A254" i="3"/>
  <c r="H408" i="1"/>
  <c r="H381" i="1"/>
  <c r="H1533" i="1" s="1"/>
  <c r="G1533" i="1" s="1"/>
  <c r="H409" i="1"/>
  <c r="A418" i="3" l="1"/>
  <c r="A256" i="3"/>
  <c r="A258" i="3" s="1"/>
  <c r="A420" i="3" l="1"/>
  <c r="A260" i="3"/>
  <c r="A262" i="3" l="1"/>
  <c r="A264" i="3" s="1"/>
  <c r="A422" i="3"/>
  <c r="A266" i="3" l="1"/>
  <c r="A424" i="3"/>
  <c r="A426" i="3" l="1"/>
  <c r="A428" i="3" s="1"/>
  <c r="A268" i="3"/>
  <c r="A430" i="3" l="1"/>
  <c r="A270" i="3"/>
  <c r="A272" i="3" l="1"/>
  <c r="A432" i="3"/>
  <c r="A444" i="3" s="1"/>
  <c r="A434" i="3" l="1"/>
  <c r="A446" i="3" s="1"/>
  <c r="A274" i="3"/>
  <c r="A436" i="3" l="1"/>
  <c r="A448" i="3" s="1"/>
  <c r="A276" i="3"/>
  <c r="A278" i="3" s="1"/>
  <c r="A280" i="3" l="1"/>
  <c r="A450" i="3"/>
  <c r="A452" i="3" s="1"/>
  <c r="A282" i="3" l="1"/>
  <c r="A284" i="3" s="1"/>
  <c r="A456" i="3"/>
  <c r="A297" i="3" l="1"/>
  <c r="A458" i="3"/>
  <c r="A286" i="3"/>
  <c r="A299" i="3" s="1"/>
  <c r="A460" i="3" l="1"/>
  <c r="A462" i="3"/>
  <c r="A288" i="3"/>
  <c r="A301" i="3" s="1"/>
  <c r="A303" i="3" s="1"/>
  <c r="A305" i="3" l="1"/>
  <c r="A464" i="3"/>
  <c r="A307" i="3" l="1"/>
  <c r="A309" i="3" s="1"/>
  <c r="A466" i="3"/>
  <c r="A468" i="3" l="1"/>
  <c r="A311" i="3"/>
  <c r="A313" i="3" s="1"/>
  <c r="A472" i="3" l="1"/>
  <c r="A474" i="3" l="1"/>
  <c r="A476" i="3" l="1"/>
  <c r="A478" i="3" s="1"/>
  <c r="A480" i="3" l="1"/>
  <c r="A482" i="3" s="1"/>
</calcChain>
</file>

<file path=xl/sharedStrings.xml><?xml version="1.0" encoding="utf-8"?>
<sst xmlns="http://schemas.openxmlformats.org/spreadsheetml/2006/main" count="4299" uniqueCount="1731">
  <si>
    <t>Diriyah Gate Development Authority</t>
  </si>
  <si>
    <t>Northern Cultural District</t>
  </si>
  <si>
    <t>Car Park Asset</t>
  </si>
  <si>
    <t>Design and Build Package</t>
  </si>
  <si>
    <t>Al Diriyah, Kingdom of Saudi Arabia</t>
  </si>
  <si>
    <t>MAIN WORKS PACKAGE</t>
  </si>
  <si>
    <t>REF.</t>
  </si>
  <si>
    <t>DESCRIPTION</t>
  </si>
  <si>
    <t>QTY</t>
  </si>
  <si>
    <t>UNIT</t>
  </si>
  <si>
    <t>RATE (SAR)</t>
  </si>
  <si>
    <t>TOTAL (SAR)</t>
  </si>
  <si>
    <t>SPECIFICATION NOTES / COMMENTS</t>
  </si>
  <si>
    <t>0.00</t>
  </si>
  <si>
    <t>FACILITATING WORKS</t>
  </si>
  <si>
    <t>1.00</t>
  </si>
  <si>
    <t>SUBSTRUCTURE</t>
  </si>
  <si>
    <t>1.01</t>
  </si>
  <si>
    <t>Substructure</t>
  </si>
  <si>
    <t>a</t>
  </si>
  <si>
    <t>Surface treatment allowance; to horizontal surface</t>
  </si>
  <si>
    <t>m2</t>
  </si>
  <si>
    <t>b</t>
  </si>
  <si>
    <t>Surface treatment allowance; to vertical surface</t>
  </si>
  <si>
    <t>Basement Works</t>
  </si>
  <si>
    <t>c</t>
  </si>
  <si>
    <t>Excavation to reduce level for raft slab</t>
  </si>
  <si>
    <t>m3</t>
  </si>
  <si>
    <t>d</t>
  </si>
  <si>
    <t>Excavation works; to raft thickenings</t>
  </si>
  <si>
    <t>e</t>
  </si>
  <si>
    <t>Excavation works; to working spaces and slope around edges</t>
  </si>
  <si>
    <t>f</t>
  </si>
  <si>
    <t>Disposal of excavated materials; off-site</t>
  </si>
  <si>
    <t>g</t>
  </si>
  <si>
    <t>Backfilling; to working spaces and slope around edges</t>
  </si>
  <si>
    <t>h</t>
  </si>
  <si>
    <t>Allowance for shoring</t>
  </si>
  <si>
    <t>Item</t>
  </si>
  <si>
    <t>j</t>
  </si>
  <si>
    <t>Allowance for dewatering</t>
  </si>
  <si>
    <t>Lowest Floor Construction</t>
  </si>
  <si>
    <t>k</t>
  </si>
  <si>
    <t>Plain in situ concrete, C12/C15</t>
  </si>
  <si>
    <t>l</t>
  </si>
  <si>
    <t>blinding beds, 50mm thick</t>
  </si>
  <si>
    <t>m</t>
  </si>
  <si>
    <t>protection screed, 100mm thick</t>
  </si>
  <si>
    <t>n</t>
  </si>
  <si>
    <t>Reinforced in situ concrete, C32/40</t>
  </si>
  <si>
    <t>p</t>
  </si>
  <si>
    <t>raft slab;  350mm thick</t>
  </si>
  <si>
    <t>q</t>
  </si>
  <si>
    <t>raft slab;  700mm thick</t>
  </si>
  <si>
    <t>r</t>
  </si>
  <si>
    <t>raft slab strip thickening; 400mm thick</t>
  </si>
  <si>
    <t>s</t>
  </si>
  <si>
    <t>raft slab rectangular thickening; 750mm thick</t>
  </si>
  <si>
    <t>t</t>
  </si>
  <si>
    <t>lift pits walls and slab</t>
  </si>
  <si>
    <t>u</t>
  </si>
  <si>
    <t>Reinforcement bars, ASTM A 615M Grade 420</t>
  </si>
  <si>
    <t>v</t>
  </si>
  <si>
    <t>in raft slab; 130kg/m3</t>
  </si>
  <si>
    <t>w</t>
  </si>
  <si>
    <t>raft slab strip thickening; 130kg/m3</t>
  </si>
  <si>
    <t>x</t>
  </si>
  <si>
    <t>in raft slab rectangular thickening; 130kg/m3</t>
  </si>
  <si>
    <t>y</t>
  </si>
  <si>
    <t>in lift pits walls and slab; assumed 130kg/m3</t>
  </si>
  <si>
    <t>Shuttering</t>
  </si>
  <si>
    <t>z</t>
  </si>
  <si>
    <t>to sides of raft slab</t>
  </si>
  <si>
    <t>aa</t>
  </si>
  <si>
    <t>to sides of raft slab strip thickening</t>
  </si>
  <si>
    <t>ab</t>
  </si>
  <si>
    <t>to sides of raft slab rectangular thickening</t>
  </si>
  <si>
    <t>ac</t>
  </si>
  <si>
    <t>to sides of lift pit walls</t>
  </si>
  <si>
    <t>Basement Retaining Walls</t>
  </si>
  <si>
    <t>ad</t>
  </si>
  <si>
    <t>ae</t>
  </si>
  <si>
    <t>retaining wall; 900mm thick</t>
  </si>
  <si>
    <t>af</t>
  </si>
  <si>
    <t>retaining wall; 600mm thick</t>
  </si>
  <si>
    <t>ag</t>
  </si>
  <si>
    <t>retaining wall; 500mm thick</t>
  </si>
  <si>
    <t>ah</t>
  </si>
  <si>
    <t>retaining wall; 400mm thick</t>
  </si>
  <si>
    <t>aj</t>
  </si>
  <si>
    <t>retaining wall; 300mm thick</t>
  </si>
  <si>
    <t>ak</t>
  </si>
  <si>
    <t>al</t>
  </si>
  <si>
    <t>in retaining wall; 125kg/m3</t>
  </si>
  <si>
    <t>am</t>
  </si>
  <si>
    <t>an</t>
  </si>
  <si>
    <t>to side of retaining wall</t>
  </si>
  <si>
    <t>Allowances</t>
  </si>
  <si>
    <t>ap</t>
  </si>
  <si>
    <t>Allow for sump pits and manholes</t>
  </si>
  <si>
    <t>item</t>
  </si>
  <si>
    <t>aq</t>
  </si>
  <si>
    <t>Allow for structural joints</t>
  </si>
  <si>
    <t>Substructure Waterproofing</t>
  </si>
  <si>
    <t>ar</t>
  </si>
  <si>
    <t>waterproofing membrane; horizontally, to underside of raft slab</t>
  </si>
  <si>
    <t>as</t>
  </si>
  <si>
    <t>waterproofing membrane; vertically, to sides of raft slab and thickening</t>
  </si>
  <si>
    <t>at</t>
  </si>
  <si>
    <t>waterproofing membrane; vertically, to sides of retaining wall</t>
  </si>
  <si>
    <t>au</t>
  </si>
  <si>
    <t>vapor barrier; horizontally</t>
  </si>
  <si>
    <t>av</t>
  </si>
  <si>
    <t>Protection board</t>
  </si>
  <si>
    <t>Miscellaneous Items</t>
  </si>
  <si>
    <t>aw</t>
  </si>
  <si>
    <t>Allow for water stop/bars and/or hydrophilic strips</t>
  </si>
  <si>
    <t>2.00</t>
  </si>
  <si>
    <t>SUPERSTRUCTURE</t>
  </si>
  <si>
    <t>Frame</t>
  </si>
  <si>
    <t>columns</t>
  </si>
  <si>
    <t>core walls; 300mm thick</t>
  </si>
  <si>
    <t>core walls; 400mm thick</t>
  </si>
  <si>
    <t>core walls; 450mm thick</t>
  </si>
  <si>
    <t>core walls; 500mm thick</t>
  </si>
  <si>
    <t>core walls; 600mm thick</t>
  </si>
  <si>
    <t>tank walls; 600mm thick</t>
  </si>
  <si>
    <t>suspended beams</t>
  </si>
  <si>
    <t>corbel</t>
  </si>
  <si>
    <t>ramp walls; 300mm thick</t>
  </si>
  <si>
    <t>ramp kerb</t>
  </si>
  <si>
    <t>in columns; 200kg/m3</t>
  </si>
  <si>
    <t>in core walls; 90kg/m3</t>
  </si>
  <si>
    <t>in tank walls; 140kg/m3</t>
  </si>
  <si>
    <t>in suspended beams; 250kg/m3</t>
  </si>
  <si>
    <t>in corbel; assumed 250kg/m3</t>
  </si>
  <si>
    <t>in ramp walls; 300mm thick; assumed 150kg/m3</t>
  </si>
  <si>
    <t>in ramp kerb; assumed 150kg/m3</t>
  </si>
  <si>
    <t>to sides of column</t>
  </si>
  <si>
    <t>to sides of core walls</t>
  </si>
  <si>
    <t>to sides of tank walls</t>
  </si>
  <si>
    <t>to sides and soffits of suspended beams</t>
  </si>
  <si>
    <t>to sides and soffits of corbels / bracket</t>
  </si>
  <si>
    <t>to ramp walls; 300mm thick</t>
  </si>
  <si>
    <t>to ramp kerb</t>
  </si>
  <si>
    <t>Precast beams</t>
  </si>
  <si>
    <t>L-shaped beam; 300 x 500mm</t>
  </si>
  <si>
    <t>L-shaped beam; 400 x 680mm</t>
  </si>
  <si>
    <t>L-shaped beam; 400 x 800mm</t>
  </si>
  <si>
    <t>L-shaped beam; 400 x 900mm</t>
  </si>
  <si>
    <t>L-shaped beam; 450 x 680mm</t>
  </si>
  <si>
    <t>L-shaped beam; 450 x 735mm</t>
  </si>
  <si>
    <t>L-shaped beam; 450 x 800mm</t>
  </si>
  <si>
    <t>L-shaped beam; 450 x 900mm</t>
  </si>
  <si>
    <t>L-shaped beam; 900 x 680mm</t>
  </si>
  <si>
    <t>Inverted Tee beams; 700 x 800mm</t>
  </si>
  <si>
    <t>Inverted Tee beams; 800 x 800mm</t>
  </si>
  <si>
    <t>Inverted Tee beams; 800 x 900mm</t>
  </si>
  <si>
    <t>Inverted Tee beams; 900 x 680mm</t>
  </si>
  <si>
    <t>Inverted Tee beams; 900 x 735mm</t>
  </si>
  <si>
    <t>Inverted Tee beams; 900 x 900mm</t>
  </si>
  <si>
    <t>Rectangular beam; 300 x 680mm</t>
  </si>
  <si>
    <t>Rectangular beam; 300 x 700mm</t>
  </si>
  <si>
    <t>Rectangular beam; 600 x 700mm</t>
  </si>
  <si>
    <t>Rectangular beam; 300 x 800mm</t>
  </si>
  <si>
    <t>Rectangular beam; 150 x 65mm</t>
  </si>
  <si>
    <t>Upper Floors</t>
  </si>
  <si>
    <t>Suspended slab; 265 mm thick</t>
  </si>
  <si>
    <t>Suspended slab; 275 mm thick</t>
  </si>
  <si>
    <t>Suspended slab; 330 mm thick</t>
  </si>
  <si>
    <t>Suspended slab; 385 mm thick</t>
  </si>
  <si>
    <t>Suspended slab; 450 mm thick</t>
  </si>
  <si>
    <t>Suspended slab; 465 mm thick</t>
  </si>
  <si>
    <t>Suspended slab; 565 mm thick</t>
  </si>
  <si>
    <t>Suspended slab; 665 mm thick</t>
  </si>
  <si>
    <t>Structural screed; 65mm thick</t>
  </si>
  <si>
    <t>in suspended slab; assumed 85kg/m3</t>
  </si>
  <si>
    <t>Mesh reinforcement</t>
  </si>
  <si>
    <t>in structural screed</t>
  </si>
  <si>
    <t>to soffit of suspended slab</t>
  </si>
  <si>
    <t>to edges of suspended slab; not exceeding 300mm</t>
  </si>
  <si>
    <t>to edges of suspended slab; exceeding 300mm</t>
  </si>
  <si>
    <t>Precast slab</t>
  </si>
  <si>
    <t>Hollow core slab; 600 x 200mm</t>
  </si>
  <si>
    <t>Hollow core slab; 600 x 265mm</t>
  </si>
  <si>
    <t>Hollow core slab; 800 x 200mm</t>
  </si>
  <si>
    <t>Hollow core slab; 1000 x 200mm</t>
  </si>
  <si>
    <t>Hollow core slab; 1000 x 265mm</t>
  </si>
  <si>
    <t>Hollow core slab; 1182.5 x 200mm</t>
  </si>
  <si>
    <t>Hollow core slab; 1200 x 200mm</t>
  </si>
  <si>
    <t>Hollow core slab; 1200 x 265mm</t>
  </si>
  <si>
    <t>Hollow core slab; 1200 x 320mm</t>
  </si>
  <si>
    <t>Hollow core slab; 1200 x 400mm</t>
  </si>
  <si>
    <t>Precast double tee slab; 2400 x 500mm</t>
  </si>
  <si>
    <t>Precast double tee slab; 2400 x 600mm</t>
  </si>
  <si>
    <t>Precast double tee slab; 2400 x 700mm</t>
  </si>
  <si>
    <t>Sundries</t>
  </si>
  <si>
    <t>Allow for structural movement/expansion joint</t>
  </si>
  <si>
    <t>Roof</t>
  </si>
  <si>
    <t>roof slab; 200mm thick</t>
  </si>
  <si>
    <t>roof slab; 250mm thick</t>
  </si>
  <si>
    <t>roof slab; 275mm thick</t>
  </si>
  <si>
    <t>roof slab; 300mm thick</t>
  </si>
  <si>
    <t>Post tensioned concrete; including post tensioning strands, anchorage, ducts and all necessary system components</t>
  </si>
  <si>
    <t>PT roof slab; 700mm thick</t>
  </si>
  <si>
    <t>PT roof slab; 850mm thick</t>
  </si>
  <si>
    <t>PT roof slab; 1100mm thick</t>
  </si>
  <si>
    <t>Reinforcement bars</t>
  </si>
  <si>
    <t>in roof slab; 85kg/m3</t>
  </si>
  <si>
    <t>in PT roof slab; 70kg/m3</t>
  </si>
  <si>
    <t>to soffits of roof slab</t>
  </si>
  <si>
    <t>to soffits of PT roof slab</t>
  </si>
  <si>
    <t>Precast roof  slab</t>
  </si>
  <si>
    <t>XPS Built-up roof system (Ballast); roof type RT-02; comprising of cement based levelling/ wearing screeds (spec. ref. M10), liquid applied waterproofing (spec. ref. J31), sundry insulation/proofing work extruded polystyrene rigid foam insulation with skin (spec. ref. P10), water infiltration reduction membrane (spec. ref. J40) and stone ballast (spec. ref. J31)</t>
  </si>
  <si>
    <t>to ground roof</t>
  </si>
  <si>
    <t>to top of roof</t>
  </si>
  <si>
    <t>Stairs and ramps</t>
  </si>
  <si>
    <t>stair including landing</t>
  </si>
  <si>
    <t>in stair including landing; assumed 160 kg/m3</t>
  </si>
  <si>
    <t>to sloping soffits of stairs</t>
  </si>
  <si>
    <t>to soffits of landing</t>
  </si>
  <si>
    <t>to edges of riser; not exceeding 300mm</t>
  </si>
  <si>
    <t>to edges of strings; exceeding 300mm</t>
  </si>
  <si>
    <t>to soffits of ramp slab</t>
  </si>
  <si>
    <t>to edges of ramp slab; not exceeding 300mm</t>
  </si>
  <si>
    <t>Stair finishes</t>
  </si>
  <si>
    <t>Ceramic floor tiles with edge groove to stair tread laid to pattern on and including approved bedding, matching grouting - Type CT.01</t>
  </si>
  <si>
    <t>Paint finish to stair soffits</t>
  </si>
  <si>
    <t>Ramp finishes</t>
  </si>
  <si>
    <t>Resin flooring, M12 and paint finishing M60; type FP-01; traffic deck coating, light grey 222</t>
  </si>
  <si>
    <t>assumed anti-skid</t>
  </si>
  <si>
    <t>Stair balustrades and handrails</t>
  </si>
  <si>
    <t>Glass balustrade including handrailing type Z11; MT-01 finish</t>
  </si>
  <si>
    <t>Stair handrails; wall mounted</t>
  </si>
  <si>
    <t>PWD ramp handrails; floor mounted</t>
  </si>
  <si>
    <t>Ladders</t>
  </si>
  <si>
    <t>Allowance for fire escape ladders</t>
  </si>
  <si>
    <t>Allowance for roof access ladders</t>
  </si>
  <si>
    <t>Water tank ladder; comprising of galvanized steel safety cage, ladder rungs, and grab rail</t>
  </si>
  <si>
    <t>External Walls</t>
  </si>
  <si>
    <t>Cavity wall,450mm overall thickness; 200mm thick blockwork, with 100mm thick insulation, cold applied damp proofing, and 150mm thick blockwork, type EWT-01</t>
  </si>
  <si>
    <t>Cavity wall, 300mm overall thickness; 200mm thick blockwork, with 100mm thick insulation, and cold applied damp proofing; type EWT-02</t>
  </si>
  <si>
    <t>Blockwork, type IWT-02; 150mm thick concrete common blockwork (spec. ref. F10)</t>
  </si>
  <si>
    <t>Finish; Adobe Nadji render, 25mm thick</t>
  </si>
  <si>
    <t>Triangular mouldings to external walls; 200mm height</t>
  </si>
  <si>
    <t>Crenelation/coping</t>
  </si>
  <si>
    <t>Windows and External Doors</t>
  </si>
  <si>
    <t>Steel Doors</t>
  </si>
  <si>
    <t>Door type ED-S-D, 1860mmm x 2110mm high, double swing door</t>
  </si>
  <si>
    <t>nr</t>
  </si>
  <si>
    <t>Aluminium Louver Door</t>
  </si>
  <si>
    <t>Door Type ED-S-L, 2460mm x 2110mm high, double swing door</t>
  </si>
  <si>
    <t>Roll-up Shutter Doors</t>
  </si>
  <si>
    <t>Door type ED-70, 3600mm x 3527mm high, Roll-up Door</t>
  </si>
  <si>
    <t>Door type ED-70, 4500mm x 2325mm high, Roll-up door</t>
  </si>
  <si>
    <t>Glass Doors</t>
  </si>
  <si>
    <t>Door type ED-GSL, 1750mm x 2150mm high, automatic double sliding door</t>
  </si>
  <si>
    <t>Door type ED-GSL, 1750mm x 2300mm high, automatic double sliding door</t>
  </si>
  <si>
    <t>Glazed curtain panels</t>
  </si>
  <si>
    <t>Fixed glazed panel with double leaf glass sliding door (measured separately) with metal frame; 5000mm x 2350mm high overall size</t>
  </si>
  <si>
    <t>Fixed glazed panel with double leaf glass sliding door (measured separately) with metal frame; 5000mm x 2550mm high overall size</t>
  </si>
  <si>
    <t>Fixed glazed panel with metal frame; 3350mm x 2350mm high overall size</t>
  </si>
  <si>
    <t>Fixed glazed panel with double leaf timber door (measured separately) with metal frame; 4000mm x 2650mm high overall size</t>
  </si>
  <si>
    <t>Louvers</t>
  </si>
  <si>
    <t>EL-01, 3450mm x 2300mm</t>
  </si>
  <si>
    <t>EL-01, 3500mm x 2300mm</t>
  </si>
  <si>
    <t>EL-02, 2000mm x 2300mm</t>
  </si>
  <si>
    <t>EL-02, 3100mm x 2300mm</t>
  </si>
  <si>
    <t>EL-02, 3200mm x 2300mm</t>
  </si>
  <si>
    <t>EL-02, 3450mm x 2300mm</t>
  </si>
  <si>
    <t>Glass louver, 2400mm x 1000mm to stair core 5</t>
  </si>
  <si>
    <t>Internal walls and partitions</t>
  </si>
  <si>
    <t>Blockwork, type IWT-02; 100mm thick concrete common blockwork (spec. ref. F10)</t>
  </si>
  <si>
    <t>Blockwork, type IWT-02; 200mm thick concrete common blockwork (spec. ref. F10)</t>
  </si>
  <si>
    <t>Blockwork, type IWT-04, 150mm thick concrete solid blockwork (spec. ref. F10)</t>
  </si>
  <si>
    <t>Composite blockwork, type EWT-03; 283mm thick overall thickness; comprising of 2 layers of 9mm thick gypsum plaster board on one side, 100mm thick insulation, 150mm thick common blockwork, and 15mm thick gypsum plaster board on one side including all necessary fixing and accessories</t>
  </si>
  <si>
    <t>thickness were measured based on the provided details</t>
  </si>
  <si>
    <t>Plasterboard wall partition system, type IWT-03; 200mm thick overall thickness; comprising of two layers of 12.5mm thick gypsum plasterboard on one side, including all necessary fixing and accessories (spec. ref. K10)</t>
  </si>
  <si>
    <t>Plasterboard wall partition system, type EWT-04; 200mm thick overall thickness; comprising of two layers of 9mm thick gypsum plasterboard on one side, 100mm thick insulation, including all necessary fixing and accessories (spec. ref. K10)</t>
  </si>
  <si>
    <t>Gypsum plasterboard, type EWT-05; 15mm thick (spec. ref. K10)</t>
  </si>
  <si>
    <t>Toilet/shower cubicle, type CP.01/CP.02; flush fronted solid grade HPL with hardwares; including all necessary fixings and accessories; all in accordance with drawings and specifications</t>
  </si>
  <si>
    <t>2000 x 1900 x 2500mm high overall size; two (2) nos. cubicle; one (1) no. dividing panel and two (2) nos. 700mm wide door</t>
  </si>
  <si>
    <t>no</t>
  </si>
  <si>
    <t>4000 x 1900 x 2500mm high overall size; four (4) nos. cubicle; three (3) no. dividing panel and four (4) nos. 700mm wide door</t>
  </si>
  <si>
    <t>5300 x 1900 x 2500mm high overall size; five (5) nos. cubicle; four (4) no. dividing panel and five (5) nos. 700mm wide door</t>
  </si>
  <si>
    <t>Internal doors, windows and louvers</t>
  </si>
  <si>
    <t>Door type ID-S-VP, 1140mm x 2110mm high, single swing with vision panel door, to fire escape</t>
  </si>
  <si>
    <t>Door type ED-S-D, 1000mm x 2110mm high, double swing riser door</t>
  </si>
  <si>
    <t>Door type ED-S, 1140mm x 2110mm high, single swing door</t>
  </si>
  <si>
    <t>Door type ID-S, 1000mm x 2110mm high, single swing door</t>
  </si>
  <si>
    <t>Door type ID-S, 1140mm x 2110mm high, single swing door</t>
  </si>
  <si>
    <t>Door type ID-S-D, 1860mm x 2110mm high, double swing door</t>
  </si>
  <si>
    <t>Door type ED-00-G-FL, 1000mm x 2150mm high, single swing door</t>
  </si>
  <si>
    <t>Door type ED-GSL, 1750mm x 1950mm high, automatic sliding door</t>
  </si>
  <si>
    <t>Door type ED-GSL, 1750mm x 2000mm high, automatic sliding door</t>
  </si>
  <si>
    <t>Door type ED-GSL, 1750mm x 2100mm high, automatic sliding door</t>
  </si>
  <si>
    <t>Timber Doors</t>
  </si>
  <si>
    <t>Door Type ID-T, 1140mm x 2100mm high, single swing door</t>
  </si>
  <si>
    <t>Door Hardware</t>
  </si>
  <si>
    <t>Door Master Key system</t>
  </si>
  <si>
    <t>Included</t>
  </si>
  <si>
    <t xml:space="preserve">Allow for ironmongery </t>
  </si>
  <si>
    <t>Curtain Panels, glazed</t>
  </si>
  <si>
    <t>Fixed glazed panel with metal frame</t>
  </si>
  <si>
    <t>3500mm x 2350mm high overall size</t>
  </si>
  <si>
    <t>Fixed glazed panel with double leaf glass sliding door (measured separately) with metal frame</t>
  </si>
  <si>
    <t>4050mm x 2350mm high overall size</t>
  </si>
  <si>
    <t>4650mm x 2350mm high overall size</t>
  </si>
  <si>
    <t>5000mm x 2350mm high overall size</t>
  </si>
  <si>
    <t>Fixed glazed panel with single leaf glass door (measured separately) with metal frame</t>
  </si>
  <si>
    <t>2450mm x 2350mm high overall size</t>
  </si>
  <si>
    <t>EL-01, 2400mm x 2300mm</t>
  </si>
  <si>
    <t>EL-01, 4000mm x 2300mm</t>
  </si>
  <si>
    <t>3.00</t>
  </si>
  <si>
    <t>INTERNAL FINISHES</t>
  </si>
  <si>
    <t>Wall finishes</t>
  </si>
  <si>
    <t>including plaster</t>
  </si>
  <si>
    <t>Parking</t>
  </si>
  <si>
    <t>Matt White Wall Paint; Pure acrylic based highly washable stain resistant emulsion with zero VOC, zero VOC emissions, low smell, Matt finish with Formaldehyde abatement technology that improves indoor air quality and free from harmful chemicals like APEO, formaldehyde, heavy Metals etc. with washability scrubs 15,000 scrubs; Primer: One Coat Fenomastic Zero Primer; Filler: Two Coats Fenomastic Zero Stucco; Finishing Coats: Two Coats Fenomastic Zero Matt; to Parking; ref. PA.01</t>
  </si>
  <si>
    <t>Front of House</t>
  </si>
  <si>
    <t>Cardoso stone look ceramic wall tiles; grout to match tile color; including background; ref. CT.02</t>
  </si>
  <si>
    <t>Porcelain stone look tile; grout to match tile colorl including background; to toilets</t>
  </si>
  <si>
    <t>Matt acrylic paint; including background; ref. PA.01</t>
  </si>
  <si>
    <t>Matt acrylic paint; including background; ref. PA.01 to stair core</t>
  </si>
  <si>
    <t>Microcrete with Najdi wall texture and skirting MT.01, ref. WF.02 to lift lobbies</t>
  </si>
  <si>
    <t>Najdi decorative feature to lift door frames, ref. WF-01</t>
  </si>
  <si>
    <t>Back of House</t>
  </si>
  <si>
    <t>Matt acrylic paint; including background; ref. PA.01 to dry areas</t>
  </si>
  <si>
    <t>Matt acrylic paint; including background; ref. PA.01 to wet areas</t>
  </si>
  <si>
    <t>Waterproofing to Water Tanks</t>
  </si>
  <si>
    <t>Floor Finishes</t>
  </si>
  <si>
    <t>Painting</t>
  </si>
  <si>
    <t>Resin flooring, M12 and paint finishing M60; type FP-02; road marking to parking bay, mid grey 280</t>
  </si>
  <si>
    <t>Resin flooring, M12 and paint finishing M60; type FP-03; road marking to parking bay accessible, RAL 5005</t>
  </si>
  <si>
    <t>Resin flooring, M12 and paint finishing M60; type FP-04; road marking to parking bay electric, RAL 6002</t>
  </si>
  <si>
    <t>Resin flooring, M12 and paint finishing M60; type FP-05; road marking to parking bay family</t>
  </si>
  <si>
    <t>Resin flooring, M12 and paint finishing M60; type FP-06; road marking to parking pedestrian pathways</t>
  </si>
  <si>
    <t>Resin flooring, M12 and paint finishing M60; type FP-07; road marking to car park and ramps line markings, off white</t>
  </si>
  <si>
    <t>Thermally broken floor to MEP rooms; type MEP-01</t>
  </si>
  <si>
    <t>Allowance for Skirting; epoxy paint; 100mm high; including background</t>
  </si>
  <si>
    <t>Stainless steel tactile indicators; type SS-01; including waterproofing</t>
  </si>
  <si>
    <t>Waterproofing to wet areas - toilets</t>
  </si>
  <si>
    <t>including turning ups</t>
  </si>
  <si>
    <t>Parking Lines and Arrows</t>
  </si>
  <si>
    <t>Arrow - Left / Right Turn</t>
  </si>
  <si>
    <t>Arrow - Straight</t>
  </si>
  <si>
    <t>Arrow - Straight and Turn</t>
  </si>
  <si>
    <t>Stop Line, Solid Line, 300mm wide</t>
  </si>
  <si>
    <t>Give Way Line, Dash Line, 300mm wide</t>
  </si>
  <si>
    <t>Pedestrian Crossing Line, 300mm wide</t>
  </si>
  <si>
    <t>Parking Bay Number</t>
  </si>
  <si>
    <t>Accessible Parking Sign Floor Marking</t>
  </si>
  <si>
    <t>Electric Car Parking Sign Floor Marking</t>
  </si>
  <si>
    <t>Family Parking Sign Floor Marking</t>
  </si>
  <si>
    <t>Parking Lines between Parking Bays</t>
  </si>
  <si>
    <t>Insulation</t>
  </si>
  <si>
    <t>Insulation to receive MEP 01 finish</t>
  </si>
  <si>
    <t>Stones</t>
  </si>
  <si>
    <t>Cut to size, 20mm thick local limestone in honed finish in natural color laid to pattern on and including approved bedding, matching grouting to Manufacturer's recommendation  - Type ST.02, to thresholds / lift floor.</t>
  </si>
  <si>
    <t>Cut to size, stone floor tiles including approved bedding, matching grouting to Manufacturer's recommendation  - Type ST.01</t>
  </si>
  <si>
    <t>Barrier entrance mat, a composite of Carpet/Rubber/Aluminum in black color - Type CA-01</t>
  </si>
  <si>
    <t>Carpet, Type CA-02, to prayer rooms</t>
  </si>
  <si>
    <t>Ceramic tiles</t>
  </si>
  <si>
    <t>Ceramic floor tiles; type CT-05</t>
  </si>
  <si>
    <t>Ceiling Finishes</t>
  </si>
  <si>
    <t>Allowance for painting</t>
  </si>
  <si>
    <t>Front of house</t>
  </si>
  <si>
    <t>Suspended ceiling</t>
  </si>
  <si>
    <t>Metal suspended ceiling; type DSC.05; polyester powder coating finish; 600mm x 600mm tiles</t>
  </si>
  <si>
    <t>Suspended acoustic panel ceiling; type DSC.06; walnut veneer finish</t>
  </si>
  <si>
    <t>Suspended metal mesh ceiling; type DSC.01</t>
  </si>
  <si>
    <t>Monolithic plasterboard ceiling with one layer of 12.5mm Gyproc regular plasterboard fixed on suspended ceiling frame work including suspension system (paint measured separately) - Type PB.01</t>
  </si>
  <si>
    <t>Moisture resistant gypsum ceiling with one layer of 12.5mm Gyproc moisture resistant  plasterboard fixed on suspended ceiling frame work including suspension system (paint measured separately) - Type PB.02</t>
  </si>
  <si>
    <t>Timber batten ceiling, type WD-04 with monolithic plasterboard ceiling type, type PB.01, to lift lobbies</t>
  </si>
  <si>
    <t>Paint; including background; to ceiling type PB.01</t>
  </si>
  <si>
    <t>Paint; including background; to ceiling type PB.02</t>
  </si>
  <si>
    <t>Bulkheads to ceiling finish PB01</t>
  </si>
  <si>
    <t>Bulkheads to ceiling finish PB02</t>
  </si>
  <si>
    <t>Soffit insulation to MEP rooms; K10; type SOF-l</t>
  </si>
  <si>
    <t>4.00</t>
  </si>
  <si>
    <t>FITTINGS FURNISHINGS AND EQUIPMENT</t>
  </si>
  <si>
    <t>Fixed FF&amp;E</t>
  </si>
  <si>
    <t>Corner guard; 1000mm long; black and yellow reflective finish type WP-01</t>
  </si>
  <si>
    <t>Galvanized bollard; 300mm dia x 1000mm high; type WP-02</t>
  </si>
  <si>
    <t>Vehicle crash barrier; WP-03</t>
  </si>
  <si>
    <t>Wheel stop; 1900mm long; type WP-04</t>
  </si>
  <si>
    <t>Rubber speed breaker; type WP-05</t>
  </si>
  <si>
    <t>Steel grating; 300mm wide</t>
  </si>
  <si>
    <t>Bike rack</t>
  </si>
  <si>
    <t>Black basalt stone to raised kerbs, type ST-03</t>
  </si>
  <si>
    <t>Kerbs in FP-07 finish</t>
  </si>
  <si>
    <t>Allowance for rubber wall guard; type WP-02A &amp; WP-06</t>
  </si>
  <si>
    <t>Allowance for vehicle crash rail; type WP-08</t>
  </si>
  <si>
    <t>Allowance for MEP protection guard rail, pipes on wall; type WP-10</t>
  </si>
  <si>
    <t>Allowance for MEP protection guard rail, light duty; type WP-11</t>
  </si>
  <si>
    <t>Allowance for MEP protection guard rail, free standing; type WP-12</t>
  </si>
  <si>
    <t>Allowance for MEP protection guard rail, pipe on column; type WP-13</t>
  </si>
  <si>
    <t>WC and Shower</t>
  </si>
  <si>
    <t>Vanity Mirrors, 2000mm length x 1000mm high</t>
  </si>
  <si>
    <t>Vanity Mirrors, 2300mm length x 1000mm high</t>
  </si>
  <si>
    <t>Vanity Countertop, 2000mm length x 450mm width</t>
  </si>
  <si>
    <t>Vanity Countertop, 2300mm length x 450mm width</t>
  </si>
  <si>
    <t>Lockers, 10 slots, 3700mm length, type SN.17/SN.18</t>
  </si>
  <si>
    <t>Lockers, 11 slots, 4000mm length, type SN.17/SN.18</t>
  </si>
  <si>
    <t>Lockers, 12 slots, 3920mm length, type SN.17/SN.18</t>
  </si>
  <si>
    <t>Lockers, 16 slots, 5110mm length, type SN.17/SN.18</t>
  </si>
  <si>
    <t>Security Office &amp; Driver's Room</t>
  </si>
  <si>
    <t>Pantry Countertop, 2472 x 600mm width</t>
  </si>
  <si>
    <t>Prayer Rooms</t>
  </si>
  <si>
    <t>Allowance for Mihrab</t>
  </si>
  <si>
    <t>Allowance for Shoe racks</t>
  </si>
  <si>
    <t>Allowance for Ablution seating, type FU.08</t>
  </si>
  <si>
    <t>Allowance for Offices and Meeting Room Fixed FF&amp;E</t>
  </si>
  <si>
    <t>Allowance for Driver's Room Fixed FF&amp;E</t>
  </si>
  <si>
    <t>Lift Lobbies</t>
  </si>
  <si>
    <t>Allowance for planters in ceramic finish (type CT-04) with integrated bench seat; to lift lobbies</t>
  </si>
  <si>
    <t>Loose FF&amp;E</t>
  </si>
  <si>
    <t>Offices and Meeting Room</t>
  </si>
  <si>
    <t>Office Table, 3300mm x 1030mm, type FU.10</t>
  </si>
  <si>
    <t>Office Table, 1650mm x 1030mm</t>
  </si>
  <si>
    <t>to follow size as per plan</t>
  </si>
  <si>
    <t>Office Chair, type FU.09</t>
  </si>
  <si>
    <t>Mobile Drawer Unit, type FU.13</t>
  </si>
  <si>
    <t>Meeting Table, 2400mm x 1200mm, type FU.14</t>
  </si>
  <si>
    <t>Meeting Chair, type FU.15</t>
  </si>
  <si>
    <t>Allowance for Chair in Office Seating Area and Side/Coffee Table, type FU.11 and FU.12</t>
  </si>
  <si>
    <t>Allowance for Custom Made Banquette Seating, type FU.18</t>
  </si>
  <si>
    <t>Allowance for Cleaner Rooms Loose FF&amp;E</t>
  </si>
  <si>
    <t>Driver's Room</t>
  </si>
  <si>
    <t>Kitchenette Table, 2400mm x 1200mm, type FU.16</t>
  </si>
  <si>
    <t>Kitchenette Stool, type FU.17</t>
  </si>
  <si>
    <t>Signs and notices</t>
  </si>
  <si>
    <t>Allowance for signages and notices / notice boards</t>
  </si>
  <si>
    <t>Allowance for LED advertising boards</t>
  </si>
  <si>
    <t>5.00</t>
  </si>
  <si>
    <t>SERVICES</t>
  </si>
  <si>
    <t>Sanitary installations</t>
  </si>
  <si>
    <t>Sanitary Ancillaries</t>
  </si>
  <si>
    <t>Sanitary accessories; including all necessary trims, fittings and accessories</t>
  </si>
  <si>
    <t>to Male / Female WC &amp; Shower</t>
  </si>
  <si>
    <t>tissue holder, type SA.01</t>
  </si>
  <si>
    <t>1 per toilet cubicle</t>
  </si>
  <si>
    <t>hand dryer</t>
  </si>
  <si>
    <t>1 per toilet restroom</t>
  </si>
  <si>
    <t>coat hook</t>
  </si>
  <si>
    <t>robe hook, type SA.02</t>
  </si>
  <si>
    <t>1 per shower cubicle</t>
  </si>
  <si>
    <t>paper towel dispenser</t>
  </si>
  <si>
    <t>waste bin</t>
  </si>
  <si>
    <t>soap dispenser</t>
  </si>
  <si>
    <t>to Disabled restrooms</t>
  </si>
  <si>
    <t>grab bar, type SA.03</t>
  </si>
  <si>
    <t>to Driver's room/Management Office's toilet</t>
  </si>
  <si>
    <t>to Ablution Room</t>
  </si>
  <si>
    <t>soap dispenser, type SA.04</t>
  </si>
  <si>
    <t>Sanitary Appliances</t>
  </si>
  <si>
    <t>Plumbing fixtures; including all necessary trims, fittings and accessories, WC's, WHB's, Bidets, taps and mixers</t>
  </si>
  <si>
    <t>wall hung WC</t>
  </si>
  <si>
    <t>disabled WC package at accessible cubicle</t>
  </si>
  <si>
    <t>cleaners sink</t>
  </si>
  <si>
    <t>cleaners sink mixer</t>
  </si>
  <si>
    <t>washbasin</t>
  </si>
  <si>
    <t>wash basin mixer</t>
  </si>
  <si>
    <t>single bowl sink kitchen sink</t>
  </si>
  <si>
    <t>kitchen sink mixer</t>
  </si>
  <si>
    <t>ablution spray</t>
  </si>
  <si>
    <t>Disposal installations</t>
  </si>
  <si>
    <t>Soil, Waste and Vent System</t>
  </si>
  <si>
    <t>HDPE BS EN 1519 underground pipework and fittings; including excavations, backfilling, drains, outlets, cleanouts, supports, fixings and all other ancillaries as required</t>
  </si>
  <si>
    <t>tie-in points to sewerage infrastructure network</t>
  </si>
  <si>
    <t>80mm diameter</t>
  </si>
  <si>
    <t>110mm diameter</t>
  </si>
  <si>
    <t>160mm diameter</t>
  </si>
  <si>
    <t>MuPVC Solvent weld BS EN 1329 above ground pipework and fittings; including drains, outlets, cleanouts, supports, fixings and all other ancillaries as required</t>
  </si>
  <si>
    <t>Parking drains</t>
  </si>
  <si>
    <t>Surface channel drain grating</t>
  </si>
  <si>
    <t>250W x 150D x 2700L mm</t>
  </si>
  <si>
    <t>250W x 150D x 3300L mm</t>
  </si>
  <si>
    <t>250W x 150D x 3600L mm</t>
  </si>
  <si>
    <t>250W x 150D x 3800L mm</t>
  </si>
  <si>
    <t>250W x 150D x 7000L mm</t>
  </si>
  <si>
    <t>Area drains</t>
  </si>
  <si>
    <t>Floor cleanouts</t>
  </si>
  <si>
    <t>Rodding eyes</t>
  </si>
  <si>
    <t>Vent cowls</t>
  </si>
  <si>
    <t>Wet type sewage pumps; including all inline ancillaries and assemblies, motor, motor control panel, emergency power electrical wires, conduits, controls; and all necessary supports, fixings  and accessories</t>
  </si>
  <si>
    <t>total flow rate 4 lps; pump head 3 bar; ref PH-SESP-B4-01/02 
(1 duty + 1 standby)</t>
  </si>
  <si>
    <t>set</t>
  </si>
  <si>
    <t>total flow rate 5 lps; pump head 3 bar; ref PH-SESP-B4-03/04 
(1 duty + 1 standby)</t>
  </si>
  <si>
    <t>Wet type car park pumps; including all inline ancillaries and assemblies, motor, motor control panel, emergency power electrical wires, conduits, controls; and all necessary supports, fixings  and accessories</t>
  </si>
  <si>
    <t>total flow rate 6.5 lps; pump head 3 bar; ref PH-CPSP-B4-01/02 
(1 duty + 1 standby)</t>
  </si>
  <si>
    <t>total flow rate 6.5 lps; pump head 3 bar; ref PH-CPSP-B4-03/04 
(1 duty + 1 standby)</t>
  </si>
  <si>
    <t>total flow rate 6.5 lps; pump head 3 bar; ref PH-CPSP-B4-05/06 
(1 duty + 1 standby)</t>
  </si>
  <si>
    <t>Petrol interceptor</t>
  </si>
  <si>
    <t>dimension 2500 x 1800 x 2500mm</t>
  </si>
  <si>
    <t>Sewage Sump pit</t>
  </si>
  <si>
    <t>dimension 2000 x 2000 x 2000mm</t>
  </si>
  <si>
    <t>dimension 600 x 600mm</t>
  </si>
  <si>
    <t>Car Park Sump pit</t>
  </si>
  <si>
    <t>dimension 2200 x 1800 x 3500 mm</t>
  </si>
  <si>
    <t>Valve chamber</t>
  </si>
  <si>
    <t>dimension 1000 x 1000  x 1000 mm</t>
  </si>
  <si>
    <t>Manhole</t>
  </si>
  <si>
    <t>as required; as shown in the drawings</t>
  </si>
  <si>
    <t>Pressure Break Manhole</t>
  </si>
  <si>
    <t>Rainwater System</t>
  </si>
  <si>
    <t>HDPE BS EN 1519 above ground / underground pipework and fittings; including supports, fixings, drains, outlets and all other ancillaries as required</t>
  </si>
  <si>
    <t>as required</t>
  </si>
  <si>
    <t>tie-in points to stormwater infrastructure network</t>
  </si>
  <si>
    <t>Condensate Drain System</t>
  </si>
  <si>
    <t>uPVC Solvent weld BS EN 1329 above ground pipework and fittings; including insulations, claddings, drains, outlets and all necessary ancillaries</t>
  </si>
  <si>
    <t>as required for all Fan Coil Units; as shown in the drawings</t>
  </si>
  <si>
    <t>50mm diameter</t>
  </si>
  <si>
    <t>50mm diameter stub out</t>
  </si>
  <si>
    <t>110mm diameter funnel floor drain</t>
  </si>
  <si>
    <t>110mm diameter rodding eye</t>
  </si>
  <si>
    <t>Water installations</t>
  </si>
  <si>
    <t>Cold Water Systems</t>
  </si>
  <si>
    <t>Polypropylene (PP-RP fibre reinforced) DIN 8077/8078 above ground pipework and fittings; including insulation, distribution valves, supports, fixings and all other ancillaries as required</t>
  </si>
  <si>
    <t>15mm diameter</t>
  </si>
  <si>
    <t>25mm diameter</t>
  </si>
  <si>
    <t>32mm diameter</t>
  </si>
  <si>
    <t>40mm diameter</t>
  </si>
  <si>
    <t>65mm diameter</t>
  </si>
  <si>
    <t>90mm diameter</t>
  </si>
  <si>
    <t>tie-in points to water infrastructure network including underground cold water pipe of 90mm diameter</t>
  </si>
  <si>
    <t>Cross-linked Polyethylene (PEX-A) pipework with push-fit and press-fit fittings to sanitary fixtures; including distribution valves, supports, fixings and all other ancillaries as required</t>
  </si>
  <si>
    <t>pipe connection to wall hung water closet</t>
  </si>
  <si>
    <t>pipe connection to disabled water closet</t>
  </si>
  <si>
    <t>pipe connection to cleaners sink</t>
  </si>
  <si>
    <t>pipe connection to wash basin</t>
  </si>
  <si>
    <t>pipe connection to kitchen sink</t>
  </si>
  <si>
    <t>pipe connection to ablution spray</t>
  </si>
  <si>
    <t>Cold water pipes ancillaries including valves, supports, fixings and all other ancillaries as required</t>
  </si>
  <si>
    <t>PRV assembly</t>
  </si>
  <si>
    <t>size as required</t>
  </si>
  <si>
    <t>Isolation valves</t>
  </si>
  <si>
    <t>Water meter assembly</t>
  </si>
  <si>
    <t>90mm diameter inside valve chamber</t>
  </si>
  <si>
    <t>Bib taps</t>
  </si>
  <si>
    <t>Hot Water Systems</t>
  </si>
  <si>
    <t>Polypropylene (PP-RP fibre reinforced) DIN 8077/8078 above ground pipework and fittings; insulations, claddings, valves, water meters; equipment and all necessary ancillaries</t>
  </si>
  <si>
    <t>Electric water heater; including all inline ancillaries and assemblies, motor, motor control panel, emergency power electrical wires, conduits, controls; and all necessary supports, fixings  and accessories</t>
  </si>
  <si>
    <t>capacity 30 liters; ref EWH-01</t>
  </si>
  <si>
    <t>capacity 80 liters; ref EWH-02</t>
  </si>
  <si>
    <t>capacity 100 liters; ref EWH-03</t>
  </si>
  <si>
    <t>Irrigation Water Systems</t>
  </si>
  <si>
    <t>Pipework and fittings; including underground pipes, excavations, pressurized pipes, insulations, valves and all other ancillaries as required</t>
  </si>
  <si>
    <t>tie-in points to irrigation infrastructure network</t>
  </si>
  <si>
    <t>Pumps; including all inline ancillaries and assemblies, motor, motor control panel, emergency power electrical wires, conduits, controls; and all necessary supports, fixings  and accessories</t>
  </si>
  <si>
    <t>Booster pump set; total flow rate 6 lps; pressure head 6 bar; ref PH-BP-B1-01/02 (1 duty + 1 standby)</t>
  </si>
  <si>
    <t>Copper-silver ionization unit; flow rate 6 lps, 3Phase, 400V, maximum working pressure 16 bar; ref PH-CSI-B1-01</t>
  </si>
  <si>
    <t>Raw water pump set; total flow rate 1.5 lps; pressure head 2 bar; ref PH-CP-B1-01/02 (1 duty + 1 standby)</t>
  </si>
  <si>
    <t>Transfer pump set; total flow rate 6 lps; pressure head 3 bar; ref PH-TP-B1-01/02 (1 duty + 1 standby)</t>
  </si>
  <si>
    <t>Irrigation pump set; capacity as required (1 duty + 1 standby)</t>
  </si>
  <si>
    <t>Multi-media filter; flow rate 6 lps; maximum working pressure 6 bar; ref PH-MMF-B1-01</t>
  </si>
  <si>
    <t>Particle filter; flow rate 4 lps; maximum working pressure 10 bar; ref PH-PF-B1-01</t>
  </si>
  <si>
    <t>For Future Provisions</t>
  </si>
  <si>
    <t>Booster pump set (1 duty + 1 standby); capacity as required</t>
  </si>
  <si>
    <t>Circulation pump set (1 duty + 1 standby); capacity as required</t>
  </si>
  <si>
    <t>Multi-media filter; capacity as required</t>
  </si>
  <si>
    <t>Transfer pump set (1 duty + 1 standby); capacity as required</t>
  </si>
  <si>
    <t>GRP tanks; complete with valves, drains, vents, overflows including all necessary accessories and pipework connections</t>
  </si>
  <si>
    <t>Raw water tank capacity 15m3; ref PH-TK-B1-01</t>
  </si>
  <si>
    <t>Filtered water tank capacity 15m3; ref PH-TK-B1-02</t>
  </si>
  <si>
    <t>Irrigation water tank; capacity 40m3</t>
  </si>
  <si>
    <t>GRP filtered water tank, 37.5m3 capacity</t>
  </si>
  <si>
    <t>GRP raw water tank, 37.5m3 capacity</t>
  </si>
  <si>
    <t>Heat source</t>
  </si>
  <si>
    <t>Space heating and air conditioning</t>
  </si>
  <si>
    <t>Refrigerant Piping System</t>
  </si>
  <si>
    <t>Pipework and fittings; including thermal insulations, claddings valves and all necessary ancillaries</t>
  </si>
  <si>
    <t>Air conditioning system</t>
  </si>
  <si>
    <t>Hot dipped galvanized steel rectangular ducts and fittings; confirming DW144 and SMACNA standards; including all necessary supports, fixings and accessories; all in accordance with the drawings and specifications</t>
  </si>
  <si>
    <t>supply air ducts connected to ducted type fan coil units; as required</t>
  </si>
  <si>
    <t>return air ducts connected to ducted type fan coil units; as required</t>
  </si>
  <si>
    <t>fresh air ducts</t>
  </si>
  <si>
    <t>Insulation to rectangular ducts; all in accordance with drawings and specifications</t>
  </si>
  <si>
    <t>includes acoustic lining</t>
  </si>
  <si>
    <t>Aluminum sheet cladding; all in accordance with drawings and specifications</t>
  </si>
  <si>
    <t>thickness as required</t>
  </si>
  <si>
    <t>Ductwork ancillaries; including dampers flexible connections, flanges; all necessary supports, fixings and accessories; all in accordance with the drawings and specifications</t>
  </si>
  <si>
    <t>Fire dampers</t>
  </si>
  <si>
    <t>size, 150 x 150mm</t>
  </si>
  <si>
    <t>size, 300 x 300mm</t>
  </si>
  <si>
    <t>size, 600 x 600mm</t>
  </si>
  <si>
    <t>Fresh air diffuser</t>
  </si>
  <si>
    <t>size, 600 x 300mm</t>
  </si>
  <si>
    <t>Fresh air louvre</t>
  </si>
  <si>
    <t>size, 800 x 550mm</t>
  </si>
  <si>
    <t>DX type indoor fan coil units; including motor, motor control panel, electrical/control wirings, conduit and all necessary insulation, thermostats, sensors, accessories and connections; all in accordance with the drawings and specifications</t>
  </si>
  <si>
    <t>Hi-wall type</t>
  </si>
  <si>
    <t>total cooling capacity 0.9kW</t>
  </si>
  <si>
    <t>total cooling capacity 1.2kW</t>
  </si>
  <si>
    <t>total cooling capacity 1.6kW</t>
  </si>
  <si>
    <t>total cooling capacity 1.7kW</t>
  </si>
  <si>
    <t>total cooling capacity 1.8kW</t>
  </si>
  <si>
    <t>total cooling capacity 2.1kW</t>
  </si>
  <si>
    <t>total cooling capacity 2.3kW</t>
  </si>
  <si>
    <t>total cooling capacity 2.4kW</t>
  </si>
  <si>
    <t>total cooling capacity 2.7kW</t>
  </si>
  <si>
    <t>total cooling capacity 3.0kW</t>
  </si>
  <si>
    <t>total cooling capacity 3.2kW</t>
  </si>
  <si>
    <t>total cooling capacity 3.3kW</t>
  </si>
  <si>
    <t>total cooling capacity 3.6kW</t>
  </si>
  <si>
    <t>total cooling capacity 3.9kW</t>
  </si>
  <si>
    <t>total cooling capacity 4.4kW</t>
  </si>
  <si>
    <t>total cooling capacity 5.4kW</t>
  </si>
  <si>
    <t>total cooling capacity 5.7kW</t>
  </si>
  <si>
    <t>total cooling capacity 6.6kW</t>
  </si>
  <si>
    <t>total cooling capacity 9.5kW</t>
  </si>
  <si>
    <t>total cooling capacity 10.0kW</t>
  </si>
  <si>
    <t>total cooling capacity 11.9kW</t>
  </si>
  <si>
    <t>total cooling capacity 12.6kW</t>
  </si>
  <si>
    <t>total cooling capacity 14.0kW</t>
  </si>
  <si>
    <t>total cooling capacity 14.4kW</t>
  </si>
  <si>
    <t>total cooling capacity 16.2kW</t>
  </si>
  <si>
    <t>total cooling capacity 30.8kW</t>
  </si>
  <si>
    <t>total cooling capacity 31.2kW</t>
  </si>
  <si>
    <t>ax</t>
  </si>
  <si>
    <t>total cooling capacity 33.6kW</t>
  </si>
  <si>
    <t>Ducted type</t>
  </si>
  <si>
    <t>ay</t>
  </si>
  <si>
    <t>total cooling capacity 0.6kW</t>
  </si>
  <si>
    <t>az</t>
  </si>
  <si>
    <t>total cooling capacity 0.8kW</t>
  </si>
  <si>
    <t>ba</t>
  </si>
  <si>
    <t>total cooling capacity 1.5kW</t>
  </si>
  <si>
    <t>bb</t>
  </si>
  <si>
    <t>bc</t>
  </si>
  <si>
    <t>bd</t>
  </si>
  <si>
    <t>be</t>
  </si>
  <si>
    <t>total cooling capacity 3.5kW</t>
  </si>
  <si>
    <t>bf</t>
  </si>
  <si>
    <t>total cooling capacity 3.8kW</t>
  </si>
  <si>
    <t>bg</t>
  </si>
  <si>
    <t>total cooling capacity 4.5kW</t>
  </si>
  <si>
    <t>bh</t>
  </si>
  <si>
    <t>total cooling capacity 4.7kW</t>
  </si>
  <si>
    <t>bj</t>
  </si>
  <si>
    <t>total cooling capacity 5.0kW</t>
  </si>
  <si>
    <t>bk</t>
  </si>
  <si>
    <t>total cooling capacity 5.2kW</t>
  </si>
  <si>
    <t>bl</t>
  </si>
  <si>
    <t>total cooling capacity 5.3kW</t>
  </si>
  <si>
    <t>bm</t>
  </si>
  <si>
    <t>total cooling capacity 6.5kW</t>
  </si>
  <si>
    <t>bn</t>
  </si>
  <si>
    <t>total cooling capacity 6.9kW</t>
  </si>
  <si>
    <t>bp</t>
  </si>
  <si>
    <t>total cooling capacity 7.1kW</t>
  </si>
  <si>
    <t>bq</t>
  </si>
  <si>
    <t>total cooling capacity 8.3kW</t>
  </si>
  <si>
    <t>br</t>
  </si>
  <si>
    <t>total cooling capacity 8.7kW</t>
  </si>
  <si>
    <t>bs</t>
  </si>
  <si>
    <t>total cooling capacity 8.9kW</t>
  </si>
  <si>
    <t>bt</t>
  </si>
  <si>
    <t>total cooling capacity 9.8kW</t>
  </si>
  <si>
    <t>bu</t>
  </si>
  <si>
    <t>total cooling capacity 10.6kW</t>
  </si>
  <si>
    <t>bv</t>
  </si>
  <si>
    <t>total cooling capacity 11.1kW</t>
  </si>
  <si>
    <t>bw</t>
  </si>
  <si>
    <t>bx</t>
  </si>
  <si>
    <t>total cooling capacity 13.5kW</t>
  </si>
  <si>
    <t>total cooling capacity 15.2kW</t>
  </si>
  <si>
    <t>bz</t>
  </si>
  <si>
    <t>total cooling capacity 19.5kW</t>
  </si>
  <si>
    <t>VRV outdoor units; including motor, motor control panel, electrical/control wirings, conduit and all necessary insulation, thermostats, sensors, accessories and connections</t>
  </si>
  <si>
    <t>ca</t>
  </si>
  <si>
    <t>total cooling capacity 30kW</t>
  </si>
  <si>
    <t>cb</t>
  </si>
  <si>
    <t>total cooling capacity 60kW</t>
  </si>
  <si>
    <t>cc</t>
  </si>
  <si>
    <t>total cooling capacity 80kW</t>
  </si>
  <si>
    <t>cd</t>
  </si>
  <si>
    <t>total cooling capacity 90kW</t>
  </si>
  <si>
    <t>ce</t>
  </si>
  <si>
    <t>total cooling capacity 105kW</t>
  </si>
  <si>
    <t>Fresh air handling units (FAHUs); variable speed drive direct expansion type; including motor, motor control panel, electrical/control wirings, conduit and all necessary insulation, thermostats, sensors, accessories and connections</t>
  </si>
  <si>
    <t>cf</t>
  </si>
  <si>
    <t>total cooling capacity 25.0 kW with thermal wheel and heat pipe; ref FAHU-P3-B01-01</t>
  </si>
  <si>
    <t>cg</t>
  </si>
  <si>
    <t>total cooling capacity 65.0 kW with thermal wheel and heat pipe; ref FAHU-P3-B01-02</t>
  </si>
  <si>
    <t>ch</t>
  </si>
  <si>
    <t>total cooling capacity 15.0 kW with HEX element and heat pipe; ref HRVU-P3-B01-01 &amp; 02</t>
  </si>
  <si>
    <t>Computer Room Air Conditioning indoor and outdoor unit (CRAC); including motor, motor control panel, electrical/control wirings, conduit and all necessary insulation, thermostats, sensors, accessories and connections</t>
  </si>
  <si>
    <t>cj</t>
  </si>
  <si>
    <t>maximum cooling capacity 15kW; ref CRAC-01 &amp; 02 (3 duty + 3 standby)</t>
  </si>
  <si>
    <t>Ventilation</t>
  </si>
  <si>
    <t>Mechanical Ventilation System</t>
  </si>
  <si>
    <t>exhaust air duct</t>
  </si>
  <si>
    <t>Hot dipped galvanized steel rectangular ducts and fittings; confirming DW144 and SMACNA standards; fire rated including all necessary supports, fixings and accessories; all in accordance with the drawings and specifications</t>
  </si>
  <si>
    <t>combustion air duct; thickness as required</t>
  </si>
  <si>
    <t>smoke extract duct; thickness as required</t>
  </si>
  <si>
    <t>make-up air duct; thickness as required</t>
  </si>
  <si>
    <t>Motorised dampers</t>
  </si>
  <si>
    <t>size, 500 x 250mm</t>
  </si>
  <si>
    <t>Exhaust diffusers</t>
  </si>
  <si>
    <t>Exhaust air louvre</t>
  </si>
  <si>
    <t>Car Park Exhaust air louvre with motorised smoke damper</t>
  </si>
  <si>
    <t>size, 15m2</t>
  </si>
  <si>
    <t>size, 56m2</t>
  </si>
  <si>
    <t>Car Park Make-up air louvre with motorised smoke damper</t>
  </si>
  <si>
    <t>Combustion air louvre</t>
  </si>
  <si>
    <t>size, 300 x 250mm</t>
  </si>
  <si>
    <t>Make-up air louvre</t>
  </si>
  <si>
    <t>Smoke extract louvre</t>
  </si>
  <si>
    <t xml:space="preserve">Carbon monoxide (CO) sensors; electrical/control wirings, conduits and all necessary accessories and connections; all with necessary fixings and support </t>
  </si>
  <si>
    <t>Jet fans; with dual speed starter including motor, motor control panel, electrical/control wirings, conduits and all necessary accessories and connections; all with necessary fixings and support</t>
  </si>
  <si>
    <t>air flow rate of 2.4 / 1.8 m3/s; ref JF-P3-B1-01 to 85</t>
  </si>
  <si>
    <t>air flow rate of 1.75 / 0.85 m3/s; ref JF-P3-B2-01 to 113</t>
  </si>
  <si>
    <t>air flow rate of 1.75 / 0.85 m3/s; ref JF-P3-B3-01 to 109</t>
  </si>
  <si>
    <t>air flow rate of 1.75 / 0.85 m3/s; ref JF-P3-B4-01 to 114</t>
  </si>
  <si>
    <t>Ventilation fans; including motor, motor control panel, electrical/control wirings, conduits and all necessary accessories and connections; all with necessary fixings and support</t>
  </si>
  <si>
    <t>Carpark exhaust fans</t>
  </si>
  <si>
    <t>air flow rate of 25,000 m3/s; ref. CPEF-P3-GF-01 to 30 
(24 duty + 6 standby) with VFD</t>
  </si>
  <si>
    <t>Carpark supply fans</t>
  </si>
  <si>
    <t>air flow rate of 21,000 m3/s; ref. CPSF-P3-GF-01 to 30
(24 duty + 6 standby) with VFD</t>
  </si>
  <si>
    <t>Fire pump room exhaust fan with DOL starter</t>
  </si>
  <si>
    <t>Combustion air fan; air flow rate 0.35 m3/s; ref CAF-P3-RF-01</t>
  </si>
  <si>
    <t>Smoke exhaust fan; air flow rate 0.65 m3/s; ref SEF-P3-RF-01</t>
  </si>
  <si>
    <t>Smoke make-up air fan; air flow rate 0.55 m3/s; ref SMF-P3-RF-01</t>
  </si>
  <si>
    <t>In-line centrifugal exhaust fans</t>
  </si>
  <si>
    <t>air flow rate 0.165 m3/s; ref EF-P3-RF-01</t>
  </si>
  <si>
    <t>air flow rate 0.800 m3/s; ref EF-P3-RF-02</t>
  </si>
  <si>
    <t>air flow rate 0.165 m3/s; ref EF-P3-RF-03</t>
  </si>
  <si>
    <t>Pressurization System</t>
  </si>
  <si>
    <t>Ductwork; including insulations, claddings, dampers, grilles, diffusers, sound attenuators and all necessary ancillaries</t>
  </si>
  <si>
    <t>general allowance</t>
  </si>
  <si>
    <t>ELECTRICAL INSTALLATIONS</t>
  </si>
  <si>
    <t>Medium Voltage Distribution</t>
  </si>
  <si>
    <t>Containments; including all necessary fittings, support, fixings and accessories</t>
  </si>
  <si>
    <t xml:space="preserve"> </t>
  </si>
  <si>
    <t>PVC</t>
  </si>
  <si>
    <t>PVC sleeves at below ground level dropped slab for SEC incomer/outgoing cables</t>
  </si>
  <si>
    <t>Cable ladder</t>
  </si>
  <si>
    <t>tie-in points to Feeder-03/Feeder 09</t>
  </si>
  <si>
    <t>Cables</t>
  </si>
  <si>
    <t>Approved MV cable; drawn into conduits (containment measured separately); including termination as required and all necessary fixings and accessories</t>
  </si>
  <si>
    <t>Transformer; including all necessary finishes, inter-connections, supports, fixings and accessories</t>
  </si>
  <si>
    <t>2000 kVA 13.8kV/400V transformer; ref. TX-LL-01 to 03</t>
  </si>
  <si>
    <t>Ring Main Unit</t>
  </si>
  <si>
    <t>Metered Ring Main Unit; including all necessary finishes, inter-connections, supports, fixings and accessories</t>
  </si>
  <si>
    <t>SEC Coordination</t>
  </si>
  <si>
    <t>Ring Main Unit Panel; including all necessary finishes, inter-connections, supports, fixings and accessories</t>
  </si>
  <si>
    <t>capacity as required</t>
  </si>
  <si>
    <t>Standby Power Generator System</t>
  </si>
  <si>
    <t>Approved standby generator cable; drawn into conduits (containment measured separately); including termination as required and all necessary fixings and accessories</t>
  </si>
  <si>
    <t>Generator Panel; including all necessary finishes, inter-connections, supports, fixings and accessories</t>
  </si>
  <si>
    <t>DG synchronization generator panel</t>
  </si>
  <si>
    <t>Enclosed Air Circuit Breaker (ACB); including all necessary finishes, inter-connections, supports, fixings and accessories</t>
  </si>
  <si>
    <t>2500A ACB Panel</t>
  </si>
  <si>
    <t>Generator; including all necessary finishes, inter-connections, supports, fixings and accessories</t>
  </si>
  <si>
    <t>1500 kVA diesel generator</t>
  </si>
  <si>
    <t>Low Voltage Distribution</t>
  </si>
  <si>
    <t>Approved LV cables; drawn into conduits (containment measured separately); including termination as required and all necessary fixings and accessories</t>
  </si>
  <si>
    <t>Containments</t>
  </si>
  <si>
    <t>Cable tray; including all necessary fittings, support, fixings and accessories</t>
  </si>
  <si>
    <t>Essential</t>
  </si>
  <si>
    <t>75mm width</t>
  </si>
  <si>
    <t>100mm width</t>
  </si>
  <si>
    <t>150mm width</t>
  </si>
  <si>
    <t>225mm width</t>
  </si>
  <si>
    <t>300mm width</t>
  </si>
  <si>
    <t>450mm width</t>
  </si>
  <si>
    <t>600mm width</t>
  </si>
  <si>
    <t>750mm width</t>
  </si>
  <si>
    <t>900mm width</t>
  </si>
  <si>
    <t>Non-Essential</t>
  </si>
  <si>
    <t>Main Distribution Board (MDB); including all necessary finishes, utility metering, air harmonic filter, inter-connections, supports, fixings and accessories</t>
  </si>
  <si>
    <t>3200A 4P 50kA ACB, 13 ways ref MDB-GF-01</t>
  </si>
  <si>
    <t>3200A 4P 50kA ACB, 15 ways ref MDB-GF-02</t>
  </si>
  <si>
    <t>3200A 4P 50kA ACB, 14 ways ref MDB-LL-03</t>
  </si>
  <si>
    <t>Emergency Main Distribution Board (EMDB); including all necessary finishes, utility metering, inter-connections, supports, fixings and accessories</t>
  </si>
  <si>
    <t>800A TP MCCB 10 ways ref EMDB-B1-01</t>
  </si>
  <si>
    <t>800A TP MCCB 9 ways ref EMDB-B1-02</t>
  </si>
  <si>
    <t>160A MCCB, 7 ways ref EMDB-B1-Z1-01</t>
  </si>
  <si>
    <t>EMDB-B1-Z2-01</t>
  </si>
  <si>
    <t>EMDB-B1-Z3-01</t>
  </si>
  <si>
    <t>EMDB-B1-Z4-01</t>
  </si>
  <si>
    <t>EMDB-B1-Z5-01</t>
  </si>
  <si>
    <t>160A MCCB, 7 ways ref EMDB-B2-Z6-01</t>
  </si>
  <si>
    <t>Sub-Main Distribution Board (SMDB); including all necessary finishes, utility metering, inter-connections, supports, fixings and accessories</t>
  </si>
  <si>
    <t>800A MCCB, 6 ways ref SMDB-B1-Z1-01</t>
  </si>
  <si>
    <t>SMDB-B1-Z2-01</t>
  </si>
  <si>
    <t>SMDB-B1-Z3-01</t>
  </si>
  <si>
    <t>SMDB-B1-Z4-01</t>
  </si>
  <si>
    <t>SMDB-B1-Z5-01</t>
  </si>
  <si>
    <t>200A MCCB, 5 ways ref SMDB-B2-Z6-01</t>
  </si>
  <si>
    <t>SMDB-01 (for EV Charger)</t>
  </si>
  <si>
    <t>SMDB-02 (for future EV Charger)</t>
  </si>
  <si>
    <t>Emergency Sub-Main Distribution Board (ESMDB); including all necessary finishes, utility metering, inter-connections, supports, fixings and accessories</t>
  </si>
  <si>
    <t>63A MCCB, 6 ways ref ESMDB-B1-Z1-01</t>
  </si>
  <si>
    <t>ESMDB-B1-Z2-01</t>
  </si>
  <si>
    <t>ESMDB-B1-Z3-01</t>
  </si>
  <si>
    <t>ESMDB-B1-Z4-01</t>
  </si>
  <si>
    <t>ESMDB-B1-Z5-01</t>
  </si>
  <si>
    <t>63A MCCB, 6 ways ref ESMDB-B2-Z6-01</t>
  </si>
  <si>
    <t>630A MCCB, 5 ways ref ESMDB (Server)</t>
  </si>
  <si>
    <t>ESMDB-B1-Z1-J-01</t>
  </si>
  <si>
    <t>ESMDB-B2-Z1-J-01</t>
  </si>
  <si>
    <t>ESMDB-B3-Z1-J-01</t>
  </si>
  <si>
    <t>ESMDB-B4-Z1-J-01</t>
  </si>
  <si>
    <t>ESMDB-B1-Z6-J-01</t>
  </si>
  <si>
    <t>ESMDB-B2-Z6-J-01</t>
  </si>
  <si>
    <t>ESMDB-B3-Z6-J-01</t>
  </si>
  <si>
    <t>ESMDB-B4-Z6-J-01</t>
  </si>
  <si>
    <t>400A MCCB, 9 ways ref USMDB-01</t>
  </si>
  <si>
    <t>Motor Control Center (MCC); including all necessary finishes, inter-connections, supports, fixings and accessories</t>
  </si>
  <si>
    <t>MCC-B1-01</t>
  </si>
  <si>
    <t>MCC-B1-02</t>
  </si>
  <si>
    <t>160A MCCB, 12 ways ref SPF-MCC</t>
  </si>
  <si>
    <t>Emergency Motor Control Center (EMCC); including all necessary finishes, inter-connections, supports, fixings and accessories</t>
  </si>
  <si>
    <t>300A MCCB, 8 ways ref EMCC-B1-01</t>
  </si>
  <si>
    <t>EMCC-B1-02</t>
  </si>
  <si>
    <t>300A MCCB, 8 ways ref EMCC-B1-03</t>
  </si>
  <si>
    <t>EMCC-B1-04</t>
  </si>
  <si>
    <t>EMCC-B1-05</t>
  </si>
  <si>
    <t>EMCC-B1-06</t>
  </si>
  <si>
    <t>by</t>
  </si>
  <si>
    <t>EMCC-B1-07</t>
  </si>
  <si>
    <t>300A MCCB, 6 ways ref EMCC-B1-08</t>
  </si>
  <si>
    <t>300A MCCB, 7 ways ref EMCC-B1-09</t>
  </si>
  <si>
    <t>EMCC-B2-01</t>
  </si>
  <si>
    <t>EMCC-B2-02</t>
  </si>
  <si>
    <t>Distribution Board (DB); including all necessary finishes, inter-connections, supports, fixings and accessories</t>
  </si>
  <si>
    <t>DB-B1-Z1-01</t>
  </si>
  <si>
    <t>DB-B2-Z1-01</t>
  </si>
  <si>
    <t>DB-B3-Z1-01</t>
  </si>
  <si>
    <t>DB-B4-Z1-01</t>
  </si>
  <si>
    <t>External signage</t>
  </si>
  <si>
    <t>800A MCCB, 15 ways ref Lift Panel</t>
  </si>
  <si>
    <t>Emergency Distribution Board (EDB); including all necessary finishes, inter-connections, supports, fixings and accessories</t>
  </si>
  <si>
    <t>ck</t>
  </si>
  <si>
    <t>EDB-B1-Z1-01</t>
  </si>
  <si>
    <t>cl</t>
  </si>
  <si>
    <t>EDB-B2-Z1-01</t>
  </si>
  <si>
    <t>cm</t>
  </si>
  <si>
    <t>EDB-B3-Z1-01</t>
  </si>
  <si>
    <t>cn</t>
  </si>
  <si>
    <t>EDB-B4-Z1-01</t>
  </si>
  <si>
    <t>cp</t>
  </si>
  <si>
    <t>UDB-GF-01</t>
  </si>
  <si>
    <t>cq</t>
  </si>
  <si>
    <t>UDB-GF-02</t>
  </si>
  <si>
    <t>cr</t>
  </si>
  <si>
    <t>UDB-B1-Z1-01</t>
  </si>
  <si>
    <t>cs</t>
  </si>
  <si>
    <t>UDB-B1-Z2-01</t>
  </si>
  <si>
    <t>ct</t>
  </si>
  <si>
    <t>UDB-B1-Z3-01</t>
  </si>
  <si>
    <t>cu</t>
  </si>
  <si>
    <t>UDB-B1-Z4-01</t>
  </si>
  <si>
    <t>Isolator; including all necessary finishes, inter-connections, supports, fixings and accessories</t>
  </si>
  <si>
    <t>cv</t>
  </si>
  <si>
    <t>20A SP</t>
  </si>
  <si>
    <t>cw</t>
  </si>
  <si>
    <t>20A TP</t>
  </si>
  <si>
    <t>cx</t>
  </si>
  <si>
    <t>20A TP weatherproof</t>
  </si>
  <si>
    <t>cy</t>
  </si>
  <si>
    <t>40A TP</t>
  </si>
  <si>
    <t>cz</t>
  </si>
  <si>
    <t>63A TP</t>
  </si>
  <si>
    <t>da</t>
  </si>
  <si>
    <t>63A TP FR</t>
  </si>
  <si>
    <t>db</t>
  </si>
  <si>
    <t>160A TP</t>
  </si>
  <si>
    <t>dc</t>
  </si>
  <si>
    <t>for jet fans</t>
  </si>
  <si>
    <t>dd</t>
  </si>
  <si>
    <t>TP isolator for FAHU</t>
  </si>
  <si>
    <t>Approved cables for Isolator; including all necessary finishes, inter-connections, supports, fixings and accessories</t>
  </si>
  <si>
    <t>de</t>
  </si>
  <si>
    <t>df</t>
  </si>
  <si>
    <t>dg</t>
  </si>
  <si>
    <t>dh</t>
  </si>
  <si>
    <t>dj</t>
  </si>
  <si>
    <t>dk</t>
  </si>
  <si>
    <t>dl</t>
  </si>
  <si>
    <t>16A FR for jet fans</t>
  </si>
  <si>
    <t>dm</t>
  </si>
  <si>
    <t>Power Factor Correction (PFC); including all necessary finishes, inter-connections, supports, fixings and accessories</t>
  </si>
  <si>
    <t>dn</t>
  </si>
  <si>
    <t>500kVAR</t>
  </si>
  <si>
    <t>Active Harmonic Filter (AHF); including all necessary finishes, inter-connections, supports, fixings and accessories</t>
  </si>
  <si>
    <t>dp</t>
  </si>
  <si>
    <t>rating as required</t>
  </si>
  <si>
    <t>Automatic Transfer Switch (ATS); including all necessary finishes, inter-connections, supports, fixings and accessories</t>
  </si>
  <si>
    <t>dq</t>
  </si>
  <si>
    <t>63A 4P</t>
  </si>
  <si>
    <t>dr</t>
  </si>
  <si>
    <t>300A 4P</t>
  </si>
  <si>
    <t>Uninterruptible Power Supply (UPS); including all necessary finishes, inter-connections, supports, fixings and accessories</t>
  </si>
  <si>
    <t>ds</t>
  </si>
  <si>
    <t>250kVA ref UPS-GF-01</t>
  </si>
  <si>
    <t>Small Power Installations</t>
  </si>
  <si>
    <t>Wiring in approved cables with conduits; including all necessary fittings, supports, fixings and accessories</t>
  </si>
  <si>
    <t>dt</t>
  </si>
  <si>
    <t>16A commando socket</t>
  </si>
  <si>
    <t>du</t>
  </si>
  <si>
    <t>13A un-switched fused connection unit</t>
  </si>
  <si>
    <t>dv</t>
  </si>
  <si>
    <t>13A single switched socket outlet</t>
  </si>
  <si>
    <t>dw</t>
  </si>
  <si>
    <t>20A or 30A double pole switch &amp; neon indicator</t>
  </si>
  <si>
    <t>dx</t>
  </si>
  <si>
    <t>3 phase socket outlet</t>
  </si>
  <si>
    <t>dy</t>
  </si>
  <si>
    <t>13 or 32 or 40A un-switched fused connection unit</t>
  </si>
  <si>
    <t>dz</t>
  </si>
  <si>
    <t>20A double pole switch</t>
  </si>
  <si>
    <t>ea</t>
  </si>
  <si>
    <t>13A twin switched socket outlet</t>
  </si>
  <si>
    <t>eb</t>
  </si>
  <si>
    <t>floor box with 2 nos SSO &amp; twin data outlet</t>
  </si>
  <si>
    <t>ec</t>
  </si>
  <si>
    <t>floor box with 1 no SSO &amp; 1 no data outlet</t>
  </si>
  <si>
    <t>ed</t>
  </si>
  <si>
    <t>13A single switched socket outlet weatherproof</t>
  </si>
  <si>
    <t>Field devices; including all necessary supports, fixings and accessories</t>
  </si>
  <si>
    <t>ee</t>
  </si>
  <si>
    <t>ef</t>
  </si>
  <si>
    <t>eg</t>
  </si>
  <si>
    <t>eh</t>
  </si>
  <si>
    <t>ej</t>
  </si>
  <si>
    <t>ek</t>
  </si>
  <si>
    <t>el</t>
  </si>
  <si>
    <t>em</t>
  </si>
  <si>
    <t>en</t>
  </si>
  <si>
    <t>ep</t>
  </si>
  <si>
    <t>eq</t>
  </si>
  <si>
    <t>Normal Lighting Installations</t>
  </si>
  <si>
    <t>er</t>
  </si>
  <si>
    <t>lighting points</t>
  </si>
  <si>
    <t>Light fittings; including lamps, all necessary supports, fixings and accessories</t>
  </si>
  <si>
    <t>es</t>
  </si>
  <si>
    <t>type L1</t>
  </si>
  <si>
    <t>et</t>
  </si>
  <si>
    <t>type L2</t>
  </si>
  <si>
    <t>eu</t>
  </si>
  <si>
    <t>type R1</t>
  </si>
  <si>
    <t>ev</t>
  </si>
  <si>
    <t>type R2</t>
  </si>
  <si>
    <t>ew</t>
  </si>
  <si>
    <t>type W1</t>
  </si>
  <si>
    <t>ex</t>
  </si>
  <si>
    <t>lift shaft lights</t>
  </si>
  <si>
    <t>Lighting Control and Switching Installations</t>
  </si>
  <si>
    <t>ey</t>
  </si>
  <si>
    <t>20A one way switch</t>
  </si>
  <si>
    <t>ez</t>
  </si>
  <si>
    <t>20A two way switch</t>
  </si>
  <si>
    <t>fa</t>
  </si>
  <si>
    <t>presence detector</t>
  </si>
  <si>
    <t>fb</t>
  </si>
  <si>
    <t>override switch</t>
  </si>
  <si>
    <t>fc</t>
  </si>
  <si>
    <t>wall mounted motion sensor</t>
  </si>
  <si>
    <t>fd</t>
  </si>
  <si>
    <t>fe</t>
  </si>
  <si>
    <t>fg</t>
  </si>
  <si>
    <t>fh</t>
  </si>
  <si>
    <t>fj</t>
  </si>
  <si>
    <t>Equipment; including all necessary finishes, inter-connections, supports, fixings and accessories</t>
  </si>
  <si>
    <t>fk</t>
  </si>
  <si>
    <t>Lighting control panel</t>
  </si>
  <si>
    <t>Emergency and Exit Lighting Installations</t>
  </si>
  <si>
    <t>fl</t>
  </si>
  <si>
    <t>emergency / exti lighting points</t>
  </si>
  <si>
    <t>fm</t>
  </si>
  <si>
    <t>surface mounted LED linear lighting</t>
  </si>
  <si>
    <t>fn</t>
  </si>
  <si>
    <t>recessed mounted LED linear lighting</t>
  </si>
  <si>
    <t>fp</t>
  </si>
  <si>
    <t>single sided LED exit lighting type EX1</t>
  </si>
  <si>
    <t>fq</t>
  </si>
  <si>
    <t>single sided LED lighting type EX4</t>
  </si>
  <si>
    <t>fr</t>
  </si>
  <si>
    <t>single sided LED directional exit lighting Type EX5</t>
  </si>
  <si>
    <t>fs</t>
  </si>
  <si>
    <t>single sided LED directional exit lighting Type EX6</t>
  </si>
  <si>
    <t>ft</t>
  </si>
  <si>
    <t>Central Battery Panel ref CBS-B2-Z1-01</t>
  </si>
  <si>
    <t>fu</t>
  </si>
  <si>
    <t>Central Battery Panel ref CBS-B2-Z2-01</t>
  </si>
  <si>
    <t>fv</t>
  </si>
  <si>
    <t>Central Battery Panel ref CBS-B2-Z3-01</t>
  </si>
  <si>
    <t>fw</t>
  </si>
  <si>
    <t>Central Battery Panel ref CBS-B2-Z4-01</t>
  </si>
  <si>
    <t>fx</t>
  </si>
  <si>
    <t>Central Battery Panel ref CBS-B2-Z5-01</t>
  </si>
  <si>
    <t>fy</t>
  </si>
  <si>
    <t>Central Battery Panel ref CBS-B2-Z6-01</t>
  </si>
  <si>
    <t>Earthing Systems</t>
  </si>
  <si>
    <t>Earthing cable; drawn into conduits (containment measured separately); including termination as required and all necessary fixings and accessories</t>
  </si>
  <si>
    <t>fz</t>
  </si>
  <si>
    <t>earth pit</t>
  </si>
  <si>
    <t>ga</t>
  </si>
  <si>
    <t>earthing rod without inspection pit</t>
  </si>
  <si>
    <t>gb</t>
  </si>
  <si>
    <t>earth bar</t>
  </si>
  <si>
    <t>gc</t>
  </si>
  <si>
    <t>earthing connection to transformers</t>
  </si>
  <si>
    <t>gd</t>
  </si>
  <si>
    <t>earthing connection to generator sets</t>
  </si>
  <si>
    <t>ge</t>
  </si>
  <si>
    <t>earthing connection to LV switchgears</t>
  </si>
  <si>
    <t>gf</t>
  </si>
  <si>
    <t>earthing connection to FAHU</t>
  </si>
  <si>
    <t>gg</t>
  </si>
  <si>
    <t>earthing connection to pumps</t>
  </si>
  <si>
    <t>gh</t>
  </si>
  <si>
    <t>DC clean earth bar less than 5ohms</t>
  </si>
  <si>
    <t>gj</t>
  </si>
  <si>
    <t>AC clean earth bar less than 5ohms</t>
  </si>
  <si>
    <t>gk</t>
  </si>
  <si>
    <t>copper air terminal</t>
  </si>
  <si>
    <t>Lightning Protection Systems</t>
  </si>
  <si>
    <t>General allowance; including all cables, conduit/containment, terminations, earth bar, earth pit, fixings, fittings to equipment as required complete</t>
  </si>
  <si>
    <t>gl</t>
  </si>
  <si>
    <t>down conductor</t>
  </si>
  <si>
    <t>gm</t>
  </si>
  <si>
    <t>25 x 3mm PVC covered tape</t>
  </si>
  <si>
    <t>Fuel installations</t>
  </si>
  <si>
    <t>Diesel Fuel System</t>
  </si>
  <si>
    <t>general allowance pipework and fittings; including valves, detectors, equipment, diesel fuel day tank, fuel oil ventilation and all necessary ancillaries</t>
  </si>
  <si>
    <t>Lift and conveyor installations</t>
  </si>
  <si>
    <t>Lifts; including all necessary car finishes and railings, supports, connections, fixings and accessories</t>
  </si>
  <si>
    <t>passenger/firefighting lifts; machine room less; 1600kg capacity; 1mps; serving B4 to GF; total travel height of 16.25m; ref. PLN-01 to 03</t>
  </si>
  <si>
    <t>passenger/firefighting lifts; machine room less; 1600kg capacity; 1mps; serving B4 to GF; total travel height of 16.25m; ref. PLS-01 to 02</t>
  </si>
  <si>
    <t>passenger/firefighting lifts; machine room less; 1600kg capacity; 1mps; serving B4 to GF; total travel height of 16.25m; ref. PLE-01 to 03</t>
  </si>
  <si>
    <t>passenger/firefighting lifts; machine room less; 1600kg capacity; 1mps; serving B4 to GF; total travel height of 16.25m; ref. PLW-01 to 03</t>
  </si>
  <si>
    <t>Escalator; self-contained including all necessary truss, tracks, step drive unit, steps, step chains, comb plates, handrails, drive machine, controller, balustrade, landing, supports, connections, fixings and accessories</t>
  </si>
  <si>
    <t>escalator serving B1 to GF; 5300mm rise, 35 degree inclination, 0.5m/s speed, with glass balustrade, black rubber handrail; ref ESC-01</t>
  </si>
  <si>
    <t>Fire and lightning protection</t>
  </si>
  <si>
    <t>Sprinkler and Wet Standpipe Systems</t>
  </si>
  <si>
    <t>general allowance for pipework and fittings for automatic sprinkler system; including valves, sprinkler heads and all necessary ancillaries and supports, connections, fixings and accessories</t>
  </si>
  <si>
    <t>80mm diameter - riser pipe</t>
  </si>
  <si>
    <t>100mm diameter - riser pipe</t>
  </si>
  <si>
    <t>150mm diameter - riser pipe</t>
  </si>
  <si>
    <t>50mm diameter circulation pipe</t>
  </si>
  <si>
    <t>50mm diameter drain pipe</t>
  </si>
  <si>
    <t>100mm diameter overflow pipe</t>
  </si>
  <si>
    <t>150mm diameter test line return pipe</t>
  </si>
  <si>
    <t>200mm diameter relief pipe</t>
  </si>
  <si>
    <t>200mm diameter suction header pipe</t>
  </si>
  <si>
    <t>Zone floor control valve assembly</t>
  </si>
  <si>
    <t>150mm diameter</t>
  </si>
  <si>
    <t>Alarm check valve assembly</t>
  </si>
  <si>
    <t>4-way breeching inlet</t>
  </si>
  <si>
    <t>Landing valves with caps and chains</t>
  </si>
  <si>
    <t>Air release valves</t>
  </si>
  <si>
    <t>Valves, drains, vents, overflows to fire water tank including all necessary accessories and pipework connections</t>
  </si>
  <si>
    <t>as required for fire water tank 1</t>
  </si>
  <si>
    <t>as required for fire water tank 2</t>
  </si>
  <si>
    <t>float valve</t>
  </si>
  <si>
    <t>electric driven fire pump; capable of handling 1000 gpm at 12 bar</t>
  </si>
  <si>
    <t>diesel driven fire pump; capable of handling 1000 gpm at 12 bar</t>
  </si>
  <si>
    <t>jockey pump; capable of handling 10 gpm at 12 bar</t>
  </si>
  <si>
    <t>circulation pump; capacity 80gpm at 1.5 bar (1 duty + 1 standby)</t>
  </si>
  <si>
    <t>Butterfly valves</t>
  </si>
  <si>
    <t>Gate valves</t>
  </si>
  <si>
    <t>200mm diameter</t>
  </si>
  <si>
    <t>Check valves</t>
  </si>
  <si>
    <t>Clean Agent System</t>
  </si>
  <si>
    <t>Pipework and fittings; including nozzles, valves, cylinders with actuator, controls, control panel, electrical/control wirings and conduits, all necessary ancillaries fixings and accessories</t>
  </si>
  <si>
    <t>at B1, serving electrical room (A=27m2; V=143m3)</t>
  </si>
  <si>
    <t>at B1, serving electrical room (A=26m2; V=138m3)</t>
  </si>
  <si>
    <t>at B1, serving electrical room (A=19m2; V=100m3)</t>
  </si>
  <si>
    <t>at B1, serving electrical room (A=15m2; V=78m3)</t>
  </si>
  <si>
    <t>at B1, serving IDF room (A=7m2; V=38m3)</t>
  </si>
  <si>
    <t>at B1, serving IDF room (A=16.87m2; V=89.41m3)</t>
  </si>
  <si>
    <t>at B1, serving IDF room (A=8m2; V=45m3)</t>
  </si>
  <si>
    <t>at B1, serving IDF room (A=11m2; V=56m3)</t>
  </si>
  <si>
    <t>at B1, serving MCC room (A=34m2; V=181m3)</t>
  </si>
  <si>
    <t>at B1, serving MCC room (A=41m2; V=217m3)</t>
  </si>
  <si>
    <t>at B1, serving security control room (A=20m2; V=106m3)</t>
  </si>
  <si>
    <t>at B1, serving security equipment room (A=27m2; V=145m3)</t>
  </si>
  <si>
    <t>at B1, serving server room (A=18m2; V=95m3)</t>
  </si>
  <si>
    <t>at B1, serving tetra room (A=25m2; V=133m3)</t>
  </si>
  <si>
    <t>at B1, serving UPS room (A=18m2; V=95m3)</t>
  </si>
  <si>
    <t>at B1, serving GSM room (A=10m2; V=54m3)</t>
  </si>
  <si>
    <t>at B1, serving LV room (A=112m2; V=593m3)</t>
  </si>
  <si>
    <t>at B1, serving LV room (A=54m2; V=286m3)</t>
  </si>
  <si>
    <t>at B1, serving main telecom room (A=20m2; V=103m3)</t>
  </si>
  <si>
    <t>at B1, serving equipment room (A=10.74m2; V=56.92m3)</t>
  </si>
  <si>
    <t>at B2, serving electrical room (A=26m2; V=96m3)</t>
  </si>
  <si>
    <t>at B2, serving electrical room (A=27m2; V=100m3)</t>
  </si>
  <si>
    <t>at B2, serving electrical room (A=17m2; V=61m3)</t>
  </si>
  <si>
    <t>at B2, serving electrical room (A=14m2; V=50m3)</t>
  </si>
  <si>
    <t>at B2, serving electrical room (A=11m2; V=39m3)</t>
  </si>
  <si>
    <t>at B2, serving electrical room (A=14m2; V=54m3)</t>
  </si>
  <si>
    <t>at B2, serving electrical room (A=15m2; V=55m3)</t>
  </si>
  <si>
    <t>at B2, serving GSM room (A=16m2; V=58m3)</t>
  </si>
  <si>
    <t>at B2, serving GSM room (A=7m2; V=24m3)</t>
  </si>
  <si>
    <t>at B2, serving IDF room (A=7m2; V=27m3)</t>
  </si>
  <si>
    <t>at B2, serving IDF room (A=9m2; V=34m3)</t>
  </si>
  <si>
    <t>at B2, serving IDF room (A=18m2; V=67m3)</t>
  </si>
  <si>
    <t>at B2, serving IDF room (A=10m2; V=38m3)</t>
  </si>
  <si>
    <t>at B2, serving MCC room (A=81m2; V=299m3)</t>
  </si>
  <si>
    <t>at B3, serving electrical room (A=14m2; V=54m3)</t>
  </si>
  <si>
    <t>at B3, serving electrical room (A=11m2; V=39m3)</t>
  </si>
  <si>
    <t>at B3, serving electrical room (A=14m2; V=50m3)</t>
  </si>
  <si>
    <t>at B3, serving electrical room (A=27m2; V=100m3)</t>
  </si>
  <si>
    <t>at B3, serving electrical room (A=15m2; V=55m3)</t>
  </si>
  <si>
    <t>at B3, serving electrical room (A=26m2; V=95m3)</t>
  </si>
  <si>
    <t>at B3, serving electrical room (A=16m2; V=61m3)</t>
  </si>
  <si>
    <t>at B3, serving GSM room (A=10m2; V=38m3)</t>
  </si>
  <si>
    <t>at B3, serving GSM room (A=12m2; V=43m3)</t>
  </si>
  <si>
    <t>at B3, serving IDF room (A=6m2; V=23m3)</t>
  </si>
  <si>
    <t>at B3, serving IDF room (A=9m2; V=34m3)</t>
  </si>
  <si>
    <t>at B3, serving IDF room (A=18m2; V=67m3)</t>
  </si>
  <si>
    <t>at B4, serving electrical room (A=26m2; V=92m3)</t>
  </si>
  <si>
    <t>at B4, serving electrical room (A=11m2; V=38m3)</t>
  </si>
  <si>
    <t>at B4, serving electrical room (A=15m2; V=54m3)</t>
  </si>
  <si>
    <t>at B4, serving electrical room (A=19m2; V=68m3)</t>
  </si>
  <si>
    <t>at B4, serving electrical room (A=16m2; V=58m3)</t>
  </si>
  <si>
    <t>at B4, serving electrical room (A=14m2; V=50m3)</t>
  </si>
  <si>
    <t>at B4, serving electrical room (A=15m2; V=52m3)</t>
  </si>
  <si>
    <t>at B4, serving GSM room (A=10m2; V=36m3)</t>
  </si>
  <si>
    <t>at B4, serving IDF room (A=18m2; V=64m3)</t>
  </si>
  <si>
    <t>at L00, serving FCC room (A=18m2; V=64m3)</t>
  </si>
  <si>
    <t>Foam System</t>
  </si>
  <si>
    <t>at GF, serving generator room (capacity as required)</t>
  </si>
  <si>
    <t>Fire Extinguishers</t>
  </si>
  <si>
    <t>6kg dry powder ABC type fire extinguisher</t>
  </si>
  <si>
    <t>6 liters wet chemical Class K type fire extinguisher</t>
  </si>
  <si>
    <t>5kg CO2 type fire extinguisher</t>
  </si>
  <si>
    <t>Fire Hose Cabinets</t>
  </si>
  <si>
    <t xml:space="preserve">COMMUNICATION, SECURITY AND CONTROL SYSTEMS </t>
  </si>
  <si>
    <t>tie in points to ICT infrastructure network</t>
  </si>
  <si>
    <t>tie in points to security infrastructure network</t>
  </si>
  <si>
    <t>tie in points to telecom infrastructure network</t>
  </si>
  <si>
    <t>STC Coordination</t>
  </si>
  <si>
    <t>ELV Containment; including all necessary fittings, support, fixings and accessories</t>
  </si>
  <si>
    <t>Cable tray</t>
  </si>
  <si>
    <t>100mm cable tray for fire alarm system</t>
  </si>
  <si>
    <t>200mm cable tray for fire alarm system</t>
  </si>
  <si>
    <t>150mm cable tray for ICT system</t>
  </si>
  <si>
    <t>150mm cable tray for GSM system</t>
  </si>
  <si>
    <t>Communication System</t>
  </si>
  <si>
    <t>42U ICT rack</t>
  </si>
  <si>
    <t>42U AV rack</t>
  </si>
  <si>
    <t>42U SEC rack</t>
  </si>
  <si>
    <t>42U FDH rack</t>
  </si>
  <si>
    <t>Equipment</t>
  </si>
  <si>
    <t>general allowance for telecommunication system equipment; e.g. workstation, racks, cabinets, active components, passive components, programming and license; including all necessary finishes, inter-connections, supports, fixings and accessories</t>
  </si>
  <si>
    <t>Approved cables; drawn into conduits (containment measured separately); including interfacing to other system, termination as required and all necessary fixings and accessories</t>
  </si>
  <si>
    <t>fibre optic and CAT6a cables as required</t>
  </si>
  <si>
    <t>Data and Voice System</t>
  </si>
  <si>
    <t>wall mounted dual data outlet points</t>
  </si>
  <si>
    <t>wall mounted dual data outlet</t>
  </si>
  <si>
    <t>WiFi Access System</t>
  </si>
  <si>
    <t>ceiling mounted WIFI point</t>
  </si>
  <si>
    <t>ceiling mounted WIFI point weatherproof</t>
  </si>
  <si>
    <t>ceiling mounted WIFI</t>
  </si>
  <si>
    <t>ceiling mounted WIFI weatherproof</t>
  </si>
  <si>
    <t>GSM Installation</t>
  </si>
  <si>
    <t>general allowance for GSM provision installation; including conduit and devices; including all necessary supports, fixings and accessories</t>
  </si>
  <si>
    <t>Access Control System</t>
  </si>
  <si>
    <t>magnetic door contacts</t>
  </si>
  <si>
    <t>electric mortise lock</t>
  </si>
  <si>
    <t xml:space="preserve">card reader </t>
  </si>
  <si>
    <t>call assistance with strobe</t>
  </si>
  <si>
    <t>access control panel points as required</t>
  </si>
  <si>
    <t>access control panel as required</t>
  </si>
  <si>
    <t>Fire Detection and Alarm System</t>
  </si>
  <si>
    <t>smoke detector</t>
  </si>
  <si>
    <t>interface module</t>
  </si>
  <si>
    <t>manual call point</t>
  </si>
  <si>
    <t>manual call point weatherproof</t>
  </si>
  <si>
    <t>heat detector</t>
  </si>
  <si>
    <t>fireman's telephone jack</t>
  </si>
  <si>
    <t>Main Fire Alarm Control Panel ref FACP-GF-01</t>
  </si>
  <si>
    <t>Main Fire Alarm Control Panel ref FACP-B2-01</t>
  </si>
  <si>
    <t>Main Fire Alarm Control Panel ref FACP-B4-01</t>
  </si>
  <si>
    <t>Void detectors as required</t>
  </si>
  <si>
    <t>Interface units for motorized fire dampers as required</t>
  </si>
  <si>
    <t>Interface units for zone control valves as required</t>
  </si>
  <si>
    <t>Public Address/Voice Evacuation System</t>
  </si>
  <si>
    <t>ceiling mounted VA speaker</t>
  </si>
  <si>
    <t>wall mounted voice evac speaker</t>
  </si>
  <si>
    <t>wall mounted VA speaker with strobe</t>
  </si>
  <si>
    <t>horn evacuation speaker with strobe</t>
  </si>
  <si>
    <t>Main Voice Alarm Panel ref VA-GF-01</t>
  </si>
  <si>
    <t>Main Voice Alarm Panel ref VA-B2-01</t>
  </si>
  <si>
    <t>Main Voice Alarm Panel ref VA-B4-01</t>
  </si>
  <si>
    <t>Disabled Toilet Alarm System</t>
  </si>
  <si>
    <t>disabled person alarm pull cord</t>
  </si>
  <si>
    <t>disabled person alarm reset button</t>
  </si>
  <si>
    <t>disabled person over head indicator light and tone generator</t>
  </si>
  <si>
    <t>Disabled Person Alarm Control Panel ref DACP</t>
  </si>
  <si>
    <t>Background Music System</t>
  </si>
  <si>
    <t>ceiling speaker</t>
  </si>
  <si>
    <t>BGM headend equipment located at Basement 1 Server Room including workstation</t>
  </si>
  <si>
    <t>Specialist installations</t>
  </si>
  <si>
    <t>Building Management System</t>
  </si>
  <si>
    <t>general allowance for building management system; complete with equipment, softwares, wiring and devices</t>
  </si>
  <si>
    <t>Smart Waste Management System</t>
  </si>
  <si>
    <t>general allowance; for smart waste system, equipped with smart bins and sensors enabling informed decision making on recycling and promoting efficiency</t>
  </si>
  <si>
    <t>Water Leakage System</t>
  </si>
  <si>
    <t>general allowance for water leakage system in Security equipment room</t>
  </si>
  <si>
    <t>Builder’s work in connection with services</t>
  </si>
  <si>
    <t>8.00</t>
  </si>
  <si>
    <t>EXTERNAL WORKS</t>
  </si>
  <si>
    <t>Site Preparation Works</t>
  </si>
  <si>
    <t>Site clearance which shall include removing vegetation, undergrowth, bushes, hedges, trees or the like</t>
  </si>
  <si>
    <t>Roads paths and pavings</t>
  </si>
  <si>
    <t>Resin flooring, M12 and paint finishing M60; type FP-01; traffic deck coating, light grey 222; to parking</t>
  </si>
  <si>
    <t>allowance for the roads, path and pavings</t>
  </si>
  <si>
    <t>Underground service route</t>
  </si>
  <si>
    <t>allowance for underground service route</t>
  </si>
  <si>
    <t>Planting</t>
  </si>
  <si>
    <t>Allowance for planting</t>
  </si>
  <si>
    <t>Site/street furniture &amp; equipment</t>
  </si>
  <si>
    <t>Allowance for signages (directional signs including reflective traffic signs)</t>
  </si>
  <si>
    <t>External Drainage</t>
  </si>
  <si>
    <t>Stormwater  Network</t>
  </si>
  <si>
    <t>general allowance;  Pipework and fittings; including valves, outlets, gullies, manholes and all necessary ancillaries to External area (Landscape area Carpark Building)</t>
  </si>
  <si>
    <t>Sewerage Network</t>
  </si>
  <si>
    <t>External services</t>
  </si>
  <si>
    <t>general allowance; utility connectivity to water tie in connection</t>
  </si>
  <si>
    <t>general allowance; utility connectivity to sewerage tie in connection</t>
  </si>
  <si>
    <t>general allowance; utility connectivity to irrigation tie in connection</t>
  </si>
  <si>
    <t>general allowance; utility connectivity to stormwater tie in connection</t>
  </si>
  <si>
    <t>Contractor's Adjustments</t>
  </si>
  <si>
    <t>Additional Items</t>
  </si>
  <si>
    <t>The Contractor shall list here and price any items shown on the Drawings, mentioned in the Specification or required for the satisfactory completion of the works, but not mentioned herein. Any such items not listed below shall be deemed to be included</t>
  </si>
  <si>
    <t>AMOUNT CARRIED TO SUMMARY</t>
  </si>
  <si>
    <t>DEFINED PROVISIONAL SUMS (including programme and preliminaries)</t>
  </si>
  <si>
    <t>Allowance for signage and branding</t>
  </si>
  <si>
    <t> </t>
  </si>
  <si>
    <t>SEC Room equipment</t>
  </si>
  <si>
    <t>45 Nos. 20 kW electric vehicle charger</t>
  </si>
  <si>
    <t>15 Nos. 15 kW electric vehicle charger</t>
  </si>
  <si>
    <t>Future structural provisions and surface treatment</t>
  </si>
  <si>
    <t>Qudra-Tech systems</t>
  </si>
  <si>
    <t>fixed dome camera - 101 nr</t>
  </si>
  <si>
    <t>dome wdr fixed camera - 4 nr</t>
  </si>
  <si>
    <t>lift dome camera - 11 nr</t>
  </si>
  <si>
    <t>ANPR camera - 4 nr</t>
  </si>
  <si>
    <t>ANPR camera weatherproof - 174 nr</t>
  </si>
  <si>
    <t>Control room ; including panels,equipments, control cables and associated works</t>
  </si>
  <si>
    <t>12 No. CGIs/Renders
 2 Aerial CGIs
 Material boards</t>
  </si>
  <si>
    <t xml:space="preserve">Animation Flythrough or Walkthrough of 30 seconds </t>
  </si>
  <si>
    <t>Provision for SEC Connection Costs</t>
  </si>
  <si>
    <t>Provision for SEC Asset Connection Installation</t>
  </si>
  <si>
    <t>Provision for Telcoms Connection Costs</t>
  </si>
  <si>
    <t>Traffic Management and advisory consultancy</t>
  </si>
  <si>
    <t>Enhanced computer equipment</t>
  </si>
  <si>
    <t>Software licences</t>
  </si>
  <si>
    <t>BILL NO 4</t>
  </si>
  <si>
    <t>DAYWORK</t>
  </si>
  <si>
    <t>DAYWORKS</t>
  </si>
  <si>
    <t>Item No</t>
  </si>
  <si>
    <t>Description</t>
  </si>
  <si>
    <t>Unit</t>
  </si>
  <si>
    <t>Rate</t>
  </si>
  <si>
    <t xml:space="preserve">GENERALLY </t>
  </si>
  <si>
    <t xml:space="preserve">Payment </t>
  </si>
  <si>
    <t xml:space="preserve">The Contractor may be required to execute certain work due to the nature of the project </t>
  </si>
  <si>
    <t>which the method of valuation will be on a daywork basis.</t>
  </si>
  <si>
    <t xml:space="preserve">The Contractor is to maintain an accurate record of time spent and materials and plant used </t>
  </si>
  <si>
    <t xml:space="preserve">for each separate instruction given.Daywork sheets are to be numbered and should describe </t>
  </si>
  <si>
    <t xml:space="preserve">fully instructions to which they refer and they are to be summarized,priced and submitted to </t>
  </si>
  <si>
    <t>the Engineer each week.</t>
  </si>
  <si>
    <t>Daywork will be administered strictly in accordance with the Conditions of Contract.</t>
  </si>
  <si>
    <t>The Contractor will be paid for Daywork carried out during the course of the contract</t>
  </si>
  <si>
    <t>while other operations are in progress at the rates set down in this schedule. Profit and</t>
  </si>
  <si>
    <t>overheads are not to be included in the actual rates but stated as percentage addition in</t>
  </si>
  <si>
    <t>the item provided for same at the end of the labour, Material and Plant Sections of this</t>
  </si>
  <si>
    <t>Schedule of Rates. The percentage addition should not only be for "Profit and</t>
  </si>
  <si>
    <t>Overheads" but also for specific procurement for Daywork requirements.</t>
  </si>
  <si>
    <t>The basic rates to be inserted in the Daywork Schedules shall be the rates which the</t>
  </si>
  <si>
    <t>contractor has used in determining his Unit Rates inserted in all Sections of the Bill of</t>
  </si>
  <si>
    <t>Quantities.</t>
  </si>
  <si>
    <t>Time engaged in the actual works only will be allowed. In the event of labour or plant</t>
  </si>
  <si>
    <t>having to be brought to site especially for the item of Daywork then a reasonable</t>
  </si>
  <si>
    <t>allowance may be made for travelling time, but the allowance for travelling time is to be</t>
  </si>
  <si>
    <t>agreed before the Daywork item is executed.</t>
  </si>
  <si>
    <t>No work carried out on a Daywork basis will be measured unless, before starting work,</t>
  </si>
  <si>
    <t>the Contractor has obtained the written approval of the Engineer.</t>
  </si>
  <si>
    <t xml:space="preserve">LABOUR </t>
  </si>
  <si>
    <t>Rates</t>
  </si>
  <si>
    <t>The rates inserted by the Tenderer for the following trades shall be deemed to cover</t>
  </si>
  <si>
    <t>salaries or wages, supervision, attendances, overheads, profit on labour, timekeeping,</t>
  </si>
  <si>
    <t>insurance, holidays with pay, travelling allowance, the use and maintenance of all small</t>
  </si>
  <si>
    <t>tools, appliances and plant not provided for under "Plant" and for all establishment charges,</t>
  </si>
  <si>
    <t>bonus payments and profits, and further to include for the use of all temporary works,</t>
  </si>
  <si>
    <t xml:space="preserve">staging, scaffolding, etc., erected for work other than Daywork </t>
  </si>
  <si>
    <t>A</t>
  </si>
  <si>
    <t>Steel erector</t>
  </si>
  <si>
    <t>Hr</t>
  </si>
  <si>
    <t>Carpenter</t>
  </si>
  <si>
    <t>Bricklayer / Stone Mason / Concrete finisher</t>
  </si>
  <si>
    <t>Plasterer/Painter</t>
  </si>
  <si>
    <t>Screeder</t>
  </si>
  <si>
    <t>F</t>
  </si>
  <si>
    <t>Joiner</t>
  </si>
  <si>
    <t>Fitter</t>
  </si>
  <si>
    <t>Bar bender</t>
  </si>
  <si>
    <t>Welder</t>
  </si>
  <si>
    <t>Semi-skilled labourer</t>
  </si>
  <si>
    <t>labourer / helper</t>
  </si>
  <si>
    <t xml:space="preserve">Driver: Heavy Duty </t>
  </si>
  <si>
    <t>Driver: Light Duty</t>
  </si>
  <si>
    <t xml:space="preserve">Plant operator: Heavy </t>
  </si>
  <si>
    <t xml:space="preserve">Plant operator: Light </t>
  </si>
  <si>
    <t>Plumber</t>
  </si>
  <si>
    <t>Commissioning Engineer</t>
  </si>
  <si>
    <t>Plumbers Mate</t>
  </si>
  <si>
    <t>Electrician</t>
  </si>
  <si>
    <t>Electricians Mate</t>
  </si>
  <si>
    <t>LABOUR CONT'D</t>
  </si>
  <si>
    <t>Drainage Layer</t>
  </si>
  <si>
    <t>Ceiling Fixer</t>
  </si>
  <si>
    <t>Scaffolder</t>
  </si>
  <si>
    <t>General Foreman</t>
  </si>
  <si>
    <t>Ganger / Charge-hand</t>
  </si>
  <si>
    <t>Addition for Profit and Overheads</t>
  </si>
  <si>
    <t>%</t>
  </si>
  <si>
    <t xml:space="preserve">The Contractor should insert below any other labour which may be required with the appropriate rate </t>
  </si>
  <si>
    <t xml:space="preserve">PLANT </t>
  </si>
  <si>
    <t>Plant rates shall include for drivers, attendants, operators, banksmen, etc., cost of</t>
  </si>
  <si>
    <t>mobilization and demobilization, cost of maintaining in proper working order, attendances</t>
  </si>
  <si>
    <t>in starting up and shutting down, overheads, profit on plant, refuelling and all fuel power, oils</t>
  </si>
  <si>
    <t xml:space="preserve">and grease, etc., and ancillary items including consumable spare parts </t>
  </si>
  <si>
    <t>Only time engaged in actual work will be allowed. Maintenance down time or travelling to /</t>
  </si>
  <si>
    <t xml:space="preserve">from the site shall be excluded. The rates shall also include allowance for standing time </t>
  </si>
  <si>
    <t>Mobile tower crane</t>
  </si>
  <si>
    <t>Tracked 360 degree hydraulic excavator with unit weight less than 20 tonne</t>
  </si>
  <si>
    <t>Tracked 360 degree hydraulic excavator with unit weight equal or greater than 20 tonne</t>
  </si>
  <si>
    <t>Wheeled offset excavator with backhoe and shovel (JCB) type</t>
  </si>
  <si>
    <t>Pneumatic hammer (40kg)</t>
  </si>
  <si>
    <t>Portable compressor, hosed and breaker to 10m3 / m capacity</t>
  </si>
  <si>
    <t>Excavator, 0.5m3 capacity</t>
  </si>
  <si>
    <t>Concrete transit tipper truck with capacity of 6m3</t>
  </si>
  <si>
    <t>Tipper truck with a capacity less than 15 tonne</t>
  </si>
  <si>
    <t>Tipper truck with a capacity of 15 tonne or more</t>
  </si>
  <si>
    <t>Low sided truck with a capacity less than 6 tonne</t>
  </si>
  <si>
    <t>Low sided truck with a capacity of 6 tonne or more</t>
  </si>
  <si>
    <t>Pick-up truck with a capacity up to 3 tonne</t>
  </si>
  <si>
    <t>Low sided truck with a capacity of 6 tonne or more with lifting arm</t>
  </si>
  <si>
    <t>Four wheel drive pick-up truck or station wagon</t>
  </si>
  <si>
    <t>Mobile concrete mixer 0.5m3</t>
  </si>
  <si>
    <t>Mobile concrete mixer 5m3</t>
  </si>
  <si>
    <t>Four wheel drive dumper 1m3</t>
  </si>
  <si>
    <t>Mobile generator and welding set 25kVA or larger complete with all accessories</t>
  </si>
  <si>
    <t>PLANT CONT'D</t>
  </si>
  <si>
    <t>Lorry mounted crane up to 25 tonne capacity</t>
  </si>
  <si>
    <t>Concrete pump, pumping capacity 50m3 per hour. 42m boom length</t>
  </si>
  <si>
    <t>Mobile Generator 250kVA</t>
  </si>
  <si>
    <t>3.50HP vibrator for 2" head poker unit</t>
  </si>
  <si>
    <t>Tandem roller 8 / 10 tonnes</t>
  </si>
  <si>
    <t xml:space="preserve">Water bowser 5,000 litres (excluding water) </t>
  </si>
  <si>
    <t>Trench Wacker plate</t>
  </si>
  <si>
    <t>Trench shoring equipment</t>
  </si>
  <si>
    <t>3" portable pump and hoses</t>
  </si>
  <si>
    <t>6" portable pump and hoses</t>
  </si>
  <si>
    <t>Bulldozer up to 100H.P.</t>
  </si>
  <si>
    <t>Bulldozer from 100 to 200H.P.</t>
  </si>
  <si>
    <t>Bulldozer over 200H.P.</t>
  </si>
  <si>
    <t>Grader up to 140H.P.</t>
  </si>
  <si>
    <t>Grader over 140H.P.</t>
  </si>
  <si>
    <t>Motor scraper up to 10m3</t>
  </si>
  <si>
    <t>Motor scraper over 10m3</t>
  </si>
  <si>
    <t>Crawler loader with bucket capacity less than 2m3</t>
  </si>
  <si>
    <t>Crawler loader with bucket capacity of 2m3 or more</t>
  </si>
  <si>
    <t>Wheeled loader with bucket capacity less than 2m3</t>
  </si>
  <si>
    <t>Self propelled vibrating roller 10 tonne</t>
  </si>
  <si>
    <t>Self propelled vibrating trench roller 10 tonne</t>
  </si>
  <si>
    <t xml:space="preserve">Pneumatic roller over 10 tons </t>
  </si>
  <si>
    <t>Fork lift, capacity &lt; 5t</t>
  </si>
  <si>
    <t>Wheeled offset excavator with backhoe and shovel (JCB type)</t>
  </si>
  <si>
    <t>B</t>
  </si>
  <si>
    <t xml:space="preserve">Water browser with pump and spray bar (capacity 5000 gal) (excluding water) </t>
  </si>
  <si>
    <t>Mobile floodlight set with generator</t>
  </si>
  <si>
    <t>Gas cutting set with all accessories</t>
  </si>
  <si>
    <t>Diesel driven 2" vibrating poker unit</t>
  </si>
  <si>
    <t>Dewatering pump with a 200m long hose of 150mm diameter</t>
  </si>
  <si>
    <t>Piling rig for bored piles and all required equipment</t>
  </si>
  <si>
    <t>Week</t>
  </si>
  <si>
    <t>Vibratory hammer / extractor hydraulic cent. Force-16 tonne</t>
  </si>
  <si>
    <t>Vibratory hammer / extractor hydraulic cent. Force-59 tonne</t>
  </si>
  <si>
    <t>Vibratory hammer / extractor hydraulic cent. Force-200 tonne</t>
  </si>
  <si>
    <t xml:space="preserve">The Contractor should insert below any other plant or equipment which may be required with the appropriate rate </t>
  </si>
  <si>
    <t xml:space="preserve">MATERIALS </t>
  </si>
  <si>
    <t xml:space="preserve">Rate shall include materials delivered to site </t>
  </si>
  <si>
    <t>60mm precast block paviours</t>
  </si>
  <si>
    <t>M2</t>
  </si>
  <si>
    <t>80mm precast block paviours</t>
  </si>
  <si>
    <t>150 x 305mm precast kerbs</t>
  </si>
  <si>
    <t>M</t>
  </si>
  <si>
    <t>125 x 250mm precast kerbs</t>
  </si>
  <si>
    <t>50 x 250mm precast kerbs</t>
  </si>
  <si>
    <t>Ordinary Portland cement</t>
  </si>
  <si>
    <t>Ton</t>
  </si>
  <si>
    <t>Sulphate resisting cement</t>
  </si>
  <si>
    <t>Building sand</t>
  </si>
  <si>
    <t>M3</t>
  </si>
  <si>
    <t>Coarse aggregate (dry)</t>
  </si>
  <si>
    <t>Fine aggregate (dry)</t>
  </si>
  <si>
    <t>Concrete C16/20</t>
  </si>
  <si>
    <t>Concrete C20/25</t>
  </si>
  <si>
    <t>Concrete C25/30</t>
  </si>
  <si>
    <t>Concrete C28/35</t>
  </si>
  <si>
    <t>Concrete C30/37</t>
  </si>
  <si>
    <t>Concrete C32/40</t>
  </si>
  <si>
    <t>Concrete C60</t>
  </si>
  <si>
    <t>High yield steel reinforcement-all sizes</t>
  </si>
  <si>
    <t>A142 fabric reinforcement to BS4483</t>
  </si>
  <si>
    <t>A393 fabric reinforcement to BS4483</t>
  </si>
  <si>
    <t>10mm thick, fibre board joint filler</t>
  </si>
  <si>
    <t>25mm thick, fibre board joint filler</t>
  </si>
  <si>
    <t>MATERIALS CONT'D</t>
  </si>
  <si>
    <t>Polysulphide sealant</t>
  </si>
  <si>
    <t>100mm thick, thermalite blocks</t>
  </si>
  <si>
    <t>100nr</t>
  </si>
  <si>
    <t>150mm thick, thermalite blocks</t>
  </si>
  <si>
    <t>250mm thick, thermalite blocks</t>
  </si>
  <si>
    <t>100mm thick, precast concrete blocks</t>
  </si>
  <si>
    <t>150mm thick, precast concrete blocks</t>
  </si>
  <si>
    <t>200mm thick, precast concrete blocks</t>
  </si>
  <si>
    <t>250mm thick, precast concrete blocks</t>
  </si>
  <si>
    <t>1000 gauge polyethylene sheet</t>
  </si>
  <si>
    <t xml:space="preserve">Fresh Water (10,000 litres) </t>
  </si>
  <si>
    <t>Sum</t>
  </si>
  <si>
    <t xml:space="preserve">Sea Water (10,000 litres) </t>
  </si>
  <si>
    <t>Granular material for pipe bedding</t>
  </si>
  <si>
    <t>GI conduit 15mm diameter</t>
  </si>
  <si>
    <t>Ditto 20mm diameter</t>
  </si>
  <si>
    <t>Ditto 25mm diameter</t>
  </si>
  <si>
    <t>Ditto 32mm diameter</t>
  </si>
  <si>
    <t>Ditto 40mm diameter</t>
  </si>
  <si>
    <t>Ditto 50mm diameter</t>
  </si>
  <si>
    <t>PVC conduit 20mm diameter</t>
  </si>
  <si>
    <t>PVC conduit 50mm diameter</t>
  </si>
  <si>
    <t>Ditto 65mm diameter</t>
  </si>
  <si>
    <t>Ditto 75mm diameter</t>
  </si>
  <si>
    <t>Ditto 100mm diameter</t>
  </si>
  <si>
    <t>Ditto 150mm diameter</t>
  </si>
  <si>
    <t>Ditto 200mm diameter</t>
  </si>
  <si>
    <t xml:space="preserve">Pull box </t>
  </si>
  <si>
    <t>50 x 100mm</t>
  </si>
  <si>
    <t>Nr</t>
  </si>
  <si>
    <t>100 x 100mm</t>
  </si>
  <si>
    <t>150 x 150mm</t>
  </si>
  <si>
    <t>200 x 200mm</t>
  </si>
  <si>
    <t>300 x 300mm</t>
  </si>
  <si>
    <t>400 x 400mm</t>
  </si>
  <si>
    <t>500 x 500mm</t>
  </si>
  <si>
    <t xml:space="preserve">Fire rated cables FP200 </t>
  </si>
  <si>
    <t>1.5mm2 2 core</t>
  </si>
  <si>
    <t>2.5mm2 2 core</t>
  </si>
  <si>
    <t>1.5mm2 3 core</t>
  </si>
  <si>
    <t>2.5mm2 3 core</t>
  </si>
  <si>
    <t>1.5mm2 4 core</t>
  </si>
  <si>
    <t>2.5mm2 4 core</t>
  </si>
  <si>
    <t xml:space="preserve">Cables </t>
  </si>
  <si>
    <t>4mm2 single core XLPE/SWA/PVC/Cu cable</t>
  </si>
  <si>
    <t>6mm2 single core XLPE/SWA/PVC/Cu cable</t>
  </si>
  <si>
    <t>C</t>
  </si>
  <si>
    <t>10mm2 single core XLPE/SWA/PVC/Cu cable</t>
  </si>
  <si>
    <t>D</t>
  </si>
  <si>
    <t>16mm2 single core XLPE/SWA/PVC/Cu cable</t>
  </si>
  <si>
    <t>E</t>
  </si>
  <si>
    <t>25mm2 single core XLPE/SWA/PVC/Cu cable</t>
  </si>
  <si>
    <t>35mm2 single core XLPE/SWA/PVC/Cu cable</t>
  </si>
  <si>
    <t>G</t>
  </si>
  <si>
    <t>50mm2 single core XLPE/SWA/PVC/Cu cable</t>
  </si>
  <si>
    <t>H</t>
  </si>
  <si>
    <t>70mm2 single core XLPE/SWA/PVC/Cu cable</t>
  </si>
  <si>
    <t>J</t>
  </si>
  <si>
    <t>95mm2 single core XLPE/SWA/PVC/Cu cable</t>
  </si>
  <si>
    <t>K</t>
  </si>
  <si>
    <t>120mm2 single core XLPE/SWA/PVC/Cu cable</t>
  </si>
  <si>
    <t>L</t>
  </si>
  <si>
    <t>150mm2 single core XLPE/SWA/PVC/Cu cable</t>
  </si>
  <si>
    <t>185mm2 single core XLPE/SWA/PVC/Cu cable</t>
  </si>
  <si>
    <t>N</t>
  </si>
  <si>
    <t>240mm2 single core XLPE/SWA/PVC/Cu cable</t>
  </si>
  <si>
    <t>P</t>
  </si>
  <si>
    <t>300mm2 single core XLPE/SWA/PVC/Cu cable</t>
  </si>
  <si>
    <t>Q</t>
  </si>
  <si>
    <t>630mm2 single core XLPE/SWA/PVC/Cu cable</t>
  </si>
  <si>
    <t>R</t>
  </si>
  <si>
    <t>4mm2 single core XLPE-ECC cable</t>
  </si>
  <si>
    <t>S</t>
  </si>
  <si>
    <t>6mm2 single core XLPE-ECC cable</t>
  </si>
  <si>
    <t>T</t>
  </si>
  <si>
    <t>10mm2 single core XLPE-ECC cable</t>
  </si>
  <si>
    <t>U</t>
  </si>
  <si>
    <t>16mm2 single core XLPE-ECC cable</t>
  </si>
  <si>
    <t>V</t>
  </si>
  <si>
    <t>25mm2 single core XLPE-ECC cable</t>
  </si>
  <si>
    <t>W</t>
  </si>
  <si>
    <t>35mm2 single core XLPE-ECC cable</t>
  </si>
  <si>
    <t>X</t>
  </si>
  <si>
    <t>50mm2 single core XLPE-ECC cable</t>
  </si>
  <si>
    <t>Y</t>
  </si>
  <si>
    <t>70mm2 single core XLPE-ECC cable</t>
  </si>
  <si>
    <t>95mm2 single core XLPE-ECC cable</t>
  </si>
  <si>
    <t>120mm2 single core XLPE-ECC cable</t>
  </si>
  <si>
    <t>150mm2 single core XLPE-ECC cable</t>
  </si>
  <si>
    <t>185mm2 single core XLPE-ECC cable</t>
  </si>
  <si>
    <t>240mm2 single core XLPE-ECC cable</t>
  </si>
  <si>
    <t>300mm2 single core XLPE-ECC cable</t>
  </si>
  <si>
    <t>630mm2 single core XLPE-ECC cable</t>
  </si>
  <si>
    <t>630mm2 single core XLPE-ECC fire rated cable</t>
  </si>
  <si>
    <t>2 core single mode fibre cable</t>
  </si>
  <si>
    <t>2 core multi mode fibre cable</t>
  </si>
  <si>
    <t>4 core multi mode fibre cable</t>
  </si>
  <si>
    <t>10 pairs cat3 cable</t>
  </si>
  <si>
    <t>25 pairs cat3 cable</t>
  </si>
  <si>
    <t>50 pairs cat3 cable</t>
  </si>
  <si>
    <t>100 pairs cat3 cable</t>
  </si>
  <si>
    <t xml:space="preserve">Flexible duct </t>
  </si>
  <si>
    <t>100mm diameter</t>
  </si>
  <si>
    <t>250mm diameter</t>
  </si>
  <si>
    <t>300mm diameter</t>
  </si>
  <si>
    <t>Pre-fabricated duct</t>
  </si>
  <si>
    <t>MATERIALS</t>
  </si>
  <si>
    <t>The Contractor should insert below any other materials which may be required with the appropriate rate</t>
  </si>
  <si>
    <t>BILL NO 1</t>
  </si>
  <si>
    <t>GENERAL REQUIREMENTS</t>
  </si>
  <si>
    <t>Quantity</t>
  </si>
  <si>
    <t>Amount</t>
  </si>
  <si>
    <t xml:space="preserve">01 00 00 GENERAL REQUIREMENTS </t>
  </si>
  <si>
    <t>GENERALLY</t>
  </si>
  <si>
    <t>The Tenderer should note that the General Requirements section of the Bill of Quantities shall be strictly administered in accordance with the Conditions of Contract. Any obligations stated herein, which, in the opinion of the Engineer are not performed, either in full or in part shall be the subject of an instruction given by the Employer in accordance with the Conditions of Contract. The valuation of such variation(s) shall be determined in accordance with the Conditions of Contract.</t>
  </si>
  <si>
    <t>The Contractor is requested to check the number of pages in all Tender Documents and make sure that nothing is missing. In case of any missing pages or parts of documents, the Contractor shall notify the Employer's Representative in writing during the tendering period for rectification. No claim shall be entertained in the event of the Contractor's failure to do so.</t>
  </si>
  <si>
    <t>The Contractor shall allow for the provision for all the Works described in the Employer's General Requirements, except where these are expressly stated as undertaken by others in this document or in other documents forming part of the Tender.</t>
  </si>
  <si>
    <t>The Contractor is responsible for seeking clarification from the Employer's Representative in any matter that appears to be ambiguous. The Employer's Representative's opinion as to the intent of the Tender requirements will be given and shall be adhered to by the Contractor. The provision by the Employer's Representative of such clarifications shall not entitle the Contractor to any additional costs, or an extensions of time, to the Tender.</t>
  </si>
  <si>
    <t>Pricing of General Requirements</t>
  </si>
  <si>
    <t>These General Requirements are applicable to the whole of the Works. If the Contractor wishes to price any of the items contained herein then each such item, clause or sub clause must be individually priced. Where any item, clause or sub clause of the General Requirements has not been priced, it will be deemed that the value of such item, clause or sub clause is included in the rates for measured items elsewhere in the Bills of Quantities</t>
  </si>
  <si>
    <t>Completeness of Bid</t>
  </si>
  <si>
    <t xml:space="preserve">The Contractor's price is deemed to be a lump sum price and to include for everything necessary to complete all of the Contractor's obligations under the Contract </t>
  </si>
  <si>
    <t>These Bills of Quantities are included to assist the Contractor in the preparation of his price.</t>
  </si>
  <si>
    <t>The Contractor is entirely responsible for checking the completeness of the Bills and the accuracy of the quantities (other than those quantities marked as provisional). No claim for additional payment will be entertained because of any error contained within the Bills of Quantities.</t>
  </si>
  <si>
    <t>Carried to Collection</t>
  </si>
  <si>
    <t>SAR</t>
  </si>
  <si>
    <t>Tender Offer Form</t>
  </si>
  <si>
    <t>The Contractor shall describe and list below and price herein any obligation contained in the Tender Offer Form and Appendices for which he has not allowed elsewhere and wishes to price separately.</t>
  </si>
  <si>
    <t xml:space="preserve">Item </t>
  </si>
  <si>
    <t>Instructions to Tenderers</t>
  </si>
  <si>
    <t>The Contractor shall describe and list below and price herein any obligations contained in the Instructions to Tenderers for which he has not allowed elsewhere and wishes to price separately.</t>
  </si>
  <si>
    <t>Form of Agreement</t>
  </si>
  <si>
    <t>The Contractor shall describe and list below and price herein any obligations contained in the Form of Agreement for which he has not allowed elsewhere and wishes to price separately.</t>
  </si>
  <si>
    <t>Conditions of Contract</t>
  </si>
  <si>
    <t>The Contractor shall describe and list below and price herein any obligations contained in Conditions of Contract for which he has not allowed elsewhere and wishes to price separately</t>
  </si>
  <si>
    <t>Head office overheads contribution</t>
  </si>
  <si>
    <t>Profit margin</t>
  </si>
  <si>
    <t>Attendances</t>
  </si>
  <si>
    <t>Preambles</t>
  </si>
  <si>
    <t>The Contractor shall describe and list below and price herein any obligations contained in the preambles for which he has not allowed elsewhere and wishes to price separately</t>
  </si>
  <si>
    <t>Drawings</t>
  </si>
  <si>
    <t>The Contractor shall describe and list below and price herein any obligations contained in Drawings for which he has not allowed elsewhere and wishes to price separately</t>
  </si>
  <si>
    <t>Specifications</t>
  </si>
  <si>
    <t>The Contractor shall describe and list hereunder the price herein of any obligation contained in the General Section of the Specifications or elsewhere in the Specifications or in any other document for which he has not allowed elsewhere and wishes to price separately. All costs and expenses are not entered hereinafter will be deemed to be included in the prices inserted in the Tender Documents.</t>
  </si>
  <si>
    <t>Design</t>
  </si>
  <si>
    <t>The Contractor shall prepare Schematic Design in accordance with Scope of Services</t>
  </si>
  <si>
    <t>The Contractor shall prepare Detailed Design in accordance with Scope of Services</t>
  </si>
  <si>
    <t>Scope of Work</t>
  </si>
  <si>
    <t>The Contractor shall describe and list below and price herein any obligations contained in Scope of Work for which he has not allowed elsewhere and wishes to price separately</t>
  </si>
  <si>
    <t>General Obligations</t>
  </si>
  <si>
    <t>The Contractor shall be responsible for coordinating all Builder's Work Drawings and Working Drawings including subcontractors, statutory undertakings, contractors or others employed directly in connection with the works so that each may be installed in such a manner as to ensure proper performance and adequate fixing of the structure and to avoid conflicts in the positioning of the various ducts, cables, other items of service installations and other like items</t>
  </si>
  <si>
    <t xml:space="preserve">The Contractor shall employ a  full-time Coordinator for the Works. Such coordinator shall be experienced in administration and supervision of civil and building construction, including mechanical and electrical work. </t>
  </si>
  <si>
    <t>The Contractor shall cooperate fully with Employer so work may be carried out smoothly, without interfering with or delaying work under this Contract or work by Employer.  Coordinate the Work of this Contract with work performed by Employer</t>
  </si>
  <si>
    <t>The Contractor shall cooperate fully and coordinate with separate contracts and programme the Works so that work on those contracts may be carried out efficiently and effectively, without interfering with or delaying work under this Contract</t>
  </si>
  <si>
    <t>Mobilization and Demobilization</t>
  </si>
  <si>
    <t>Mobilization costs upon possession of the Site</t>
  </si>
  <si>
    <t>Demobilization from the Site upon completion of the Works</t>
  </si>
  <si>
    <t>Plant, Cranage and Tools</t>
  </si>
  <si>
    <t>The Contractor is to include for all mechanical and non-mechanical plant, equipment, cranage, tools and vehicles required for the expeditious carrying out of the Works in accordance with the contract documents and list below and price any mechanical and non-mechanical plant, equipment, cranage, tools and vehicles for which he has not allowed elsewhere and wishes to price separately</t>
  </si>
  <si>
    <t>Safety Equipment</t>
  </si>
  <si>
    <t>The Contractor shall also provide protective clothing and safety equipment for his own and Subcontractor's workmen, including but not limited to site boots, high visibility vests, helmets, eye goggles, face masks, ear protectors. the Contractor shall immediately replace at his own cost all items or equipment that become defective for the required duties</t>
  </si>
  <si>
    <t>Temporary Roads</t>
  </si>
  <si>
    <t>The Contractor shall prepare and maintain such temporary roads as may be necessary from the site to the nearest highway and also within the site. The roads shall be positioned in accordance with the Engineer’s instructions and shall be kept free for access at all times</t>
  </si>
  <si>
    <t>The Contractor is responsible for the design, construction, maintenance and removal of all temporary works. The Contractor is to submit to the Engineer his proposals for all temporary works for approval. The Engineer’s approval will no way relieve the Contractor of his responsibility for the safety of the works, operatives, adjoining property, structure or services and compliance with appropriate regulations and Codes of Practice</t>
  </si>
  <si>
    <t>The Engineer’s requirements in respect of roads, car parks, paving's, or the like, are for the anticipated traffic that will use the finished areas. If the Contractor decides to use such areas either in their complete or partially complete state, and if, in the opinion of the Engineer, as a result of such usage the construction has been affected to make the finished surfaces unsuitable for their intended final function, the work required in re-instating and bringing to standard is to be performed at the Contractor’s expense</t>
  </si>
  <si>
    <t>The Contractor is to observe and allow for all requirements, obligations, with regard to traffic regulations, including safety, control and any temporary diversion of traffic, including the loading and unloading of or waiting of vehicles on public highways and the Contract Sum is deemed to include for the strict compliance therewith</t>
  </si>
  <si>
    <t>The Contractor is responsible for secondary haul roads (two-way traffic) as necessary.</t>
  </si>
  <si>
    <t>Accommodation Works</t>
  </si>
  <si>
    <t>The Contractor will be responsible for making all necessary arrangements with owners and occupiers for carrying out accommodation works, including, where necessary, access onto or across private land</t>
  </si>
  <si>
    <t>Work Site, Setting Out and Cross Section</t>
  </si>
  <si>
    <t>The Contractor is responsible for all the setting out of line and levels of the Works and shall employ adequate qualified staff to carry this out. Where survey markers have been established by the Engineer, the Contractor shall check the accuracy of their position and level and shall immediately notify the Engineer of any discrepancies. Before commencing work on any section of the Works, the Contractor, jointly with the Engineer, shall level survey the original ground surface and shall prepare plans and cross-sections accordingly. The Contractor shall record details of all grid lines, existing ground levels, setting-out stations, bench marks and profiles on the site setting-out drawing; retain on the Site throughout the duration of the Contract and hand to the Engineer's Representative on completion</t>
  </si>
  <si>
    <t>Existing Services and Service Diversions</t>
  </si>
  <si>
    <t>The Contractor shall ascertain the whereabouts of all existing services and public utilities such as electrical cables, telephone lines, sewers, water supply lines, gas lines, pipes, wires, fences, on the site, both above and below ground. Services and other utilities may exist in certain locations not indicated on drawings. Completeness or accuracy of information given on the drawings are not guaranteed. It is the responsibility of the Contractor to ascertain their whereabouts from the concerned authorities before commencing any works on site. The Contractor shall also obtain any re-routing requirements from the concerned authorities and shall be responsible to carry out such works accordingly to the satisfaction of the authorities and the Engineer</t>
  </si>
  <si>
    <t>Where diversions of services are not required in connection with the permanent works, the Contractor shall protect, uphold, maintain and keep the same in working order in their existing locations and shall restore them to their original condition on completion to the satisfaction of the Engineer</t>
  </si>
  <si>
    <t>Contractor’s Working area</t>
  </si>
  <si>
    <t>Any area used by the Contractor, as a working area within which he must confine such operations and temporary buildings as may be required to complete the works. Throughout the period of construction of the works, the Contractor shall maintain the whole area of his operations in a clean tidy and safe conditions by arranging his materials. Debris shall be systematically cleared off the working areas as it accumulates and if not removed directly from the site shall be deposited at the collection points allocated by the Engineer pending remove from the site. This clause in no way invalidates the contractor's obligation under clauses the Conditions of the Contract</t>
  </si>
  <si>
    <t>The Contractor shall be held responsible for any nuisance caused by his workmen on ground surrounding the site and adjoining buildings, and must make good all such damage and settle any claims for compensation at his own expense</t>
  </si>
  <si>
    <t>Other Temporary Services and Utilities Costs</t>
  </si>
  <si>
    <t>The Contractor shall provide and maintain water, electricity, power, telephone, Internet, Sewer and firefighting appliances required for the works  and temporary works including that required by the sub contractors. Pay all charges and bear all costs for the necessary temporary installation including pipe work, pumps, water tankers, storage tanks, generating equipment, and remove on completion and make good all work disturbed</t>
  </si>
  <si>
    <t>Labour Camps</t>
  </si>
  <si>
    <t>A labour camp is not permitted on site. The Contractor shall provide a watchman and security staff 24/7.</t>
  </si>
  <si>
    <t>Assistance and instruments for Engineer’s representative</t>
  </si>
  <si>
    <t>The Contractor shall provide at all times for the duration of the contract, all such chainmen, staff and survey instruments as may be required for the proper construction of, and completion of the works</t>
  </si>
  <si>
    <t>Site Administration supervision and security</t>
  </si>
  <si>
    <t>The Contractor is to allow in his tender for all site administration and supervision costs including all necessary security arrangements, and the safety of the public and adjoining property and shall be liable for any claims arising from loss or damage suffered</t>
  </si>
  <si>
    <t>Inclusion is to be made for all necessary watchmen, all lighting required for safeguarding the works, and plant and for making good and reinstating after any damage or theft for P3 Carpark Project Site</t>
  </si>
  <si>
    <t>The Contractor is to allow for training program to their staff.</t>
  </si>
  <si>
    <t>Project Signboard reference to 080821-DG-Construction Site presentation strategy and Specification 015813 Section 1.1 and 3.0</t>
  </si>
  <si>
    <t>Fabrication, installation, lighting and maintenance of Project Signboard for Car Park P3 Project Site</t>
  </si>
  <si>
    <t>Traffic and Directional Signage</t>
  </si>
  <si>
    <t>Provide signage as required as per MOT and DGDA Specifications</t>
  </si>
  <si>
    <t>Weatherproof lock-up sheds, workshops and stores for the storage and protection of materials, tools and plant</t>
  </si>
  <si>
    <t xml:space="preserve">Temporary Offices and Facilities </t>
  </si>
  <si>
    <t>Refer to Site Offices Requirement Rev 06.</t>
  </si>
  <si>
    <t>Maintenance including alter, move and adapt as necessary (Contract Duration)</t>
  </si>
  <si>
    <t>1300m2 of client/consultant site offices to be constructed on site. Refer to indicative site layout refer to NCD Site Offices Requiremenets.</t>
  </si>
  <si>
    <t>The Contractor is to provide, in positions to be approved by the Engineer, maintain, move from time to time as may be required, disinfect and eventually move from site the following temporary accommodation</t>
  </si>
  <si>
    <t>All accommodation required for welfare facilities including adequate shelter from inclement weather, accommodation for the storage and drying of clothes, taking of meals and sanitary and washing facilities for all people employed on the site, ablutions, first aid facilities, fire fighting equipment and drinking water facilities, including all necessary service connections</t>
  </si>
  <si>
    <t>Construction of Employer Temporary Offices including delivery, utility connections, foundations and removal</t>
  </si>
  <si>
    <t>All necessary fully furnished offices for the use of his site staff and the site staff of all subcontractors</t>
  </si>
  <si>
    <t>Construction of Engineers Temporary Offices including delivery, utility connections, foundations and removal.</t>
  </si>
  <si>
    <t>O</t>
  </si>
  <si>
    <t>Vehicle and Parking</t>
  </si>
  <si>
    <t>Covered  parking  spaces  and  open  parking  for  use  of client and consultants. Parking shades to be installed, repaired and maintained.</t>
  </si>
  <si>
    <t>4x4 Vehicles and drivers to include insurance, maintenance and repair 
(12 months) – Nissan Pathfinder or equivalent (to be agreed with client).</t>
  </si>
  <si>
    <t>Daily cleaning of parking area</t>
  </si>
  <si>
    <t>Landscaping</t>
  </si>
  <si>
    <t>Landscaping and maintenance of Client and Consultants Site Office Accommodation and Parking Area</t>
  </si>
  <si>
    <t xml:space="preserve">Temporary telephone and internet connection </t>
  </si>
  <si>
    <t>The Contractor is to provide telephones and internet connections  on separate outside lines for his own use, subcontractor's use and the engineer. He is to allow in his tender for the costs of installation, hire, all charges, consumables and removal.  5G Internet connection (Contract Duration) for Employer Offices and Engineer Offices</t>
  </si>
  <si>
    <t>The Contractor shall provide and maintain computer, laser printer, UPS, Software, and computer workstation and furniture for the use of Employer/ Engineer as required by the specifications</t>
  </si>
  <si>
    <t>Coffee/tea boys for the accommodation/site offices prescribed above (Contract Duration)</t>
  </si>
  <si>
    <t>Cleaner employee; cleaner availability during the whole period of building construction</t>
  </si>
  <si>
    <t>Note</t>
  </si>
  <si>
    <t>General</t>
  </si>
  <si>
    <t xml:space="preserve">Maintenance of office and equipment, includes but not limited to office stationeries, coffee/tea room consumables and toilets for male and female
</t>
  </si>
  <si>
    <t>Labour and Materials</t>
  </si>
  <si>
    <t>The Contractor shall provide such labour, materials and transport as the Engineer's representative may require to assist him in carrying out tests and checks on materials and workmanship and setting out and measurement of works</t>
  </si>
  <si>
    <t>Tests</t>
  </si>
  <si>
    <t>The Contractor shall allow for all tests required by the specification to be carried out including providing all necessary materials and sample</t>
  </si>
  <si>
    <t>The Contractor shall also allow for all requirements, obligations, with regard to all tests that are to be carried out by an approved independent Municipality accredited laboratory</t>
  </si>
  <si>
    <t>The Contractor shall allow for the testing of materials as required by the Specifications and other tests as may be deemed reasonable by the Engineer; tests shall be carried out at the Contractor's expense</t>
  </si>
  <si>
    <t>Surveying Equipment</t>
  </si>
  <si>
    <t>The Contractor shall allow for providing surveying equipment</t>
  </si>
  <si>
    <t>Advertising Rights</t>
  </si>
  <si>
    <t>The Contractor is to allow the Employer the sole right to attach advertisement to any temporary fencing, boarding, screens or the like to erect separate advertising boards, if so required</t>
  </si>
  <si>
    <t>The Contractor or any agents or servants in his employ shall not give any information concerning Works for publication in the press or on radio, television or cinema screen or elsewhere without the written approval of the Employer</t>
  </si>
  <si>
    <t>No advertisement within the site shall be erected by the Contractor or any sub contractor without written approval of the Employer. Should any advertisement be erected within the site without such prior approval the Engineer may instruct the Contractor to remove it forthwith. Should such an instruction fail to be carried out within 24 hours, the Engineer may remove the advertisement and charge the cost to the Contractor</t>
  </si>
  <si>
    <t>All advertisements within the site shall be removed within one month of the date of Certificate of Substantial completion of the Works, unless the Employer agrees in writing for any advertisement to remain for a further period</t>
  </si>
  <si>
    <t>Records</t>
  </si>
  <si>
    <t>During the progress of the Works, the Contractor shall keep at this own cost, records of all details and dimensions of the works as constructed and shall at any time submit such records to the Engineer as he may require</t>
  </si>
  <si>
    <t>In addition to those records which are specifically required by the Specification to be kept (e.g. test cubes of concrete, air temperature) a site record shall be kept of the completion dates of the various works in each trade, with particular reference to work which requires time for drying out, such as solid backgrounds which receive insitu screeds and finishing's, including the completion time of the individual layers of each application. The Contractor shall arrange for the original to be signed by the Engineer each calendar month, and for a copy to be issued to the Engineer at site meetings. The Contractor's claims in relation to the extensions of time may not be entertained in the event that those records are not kept up to date</t>
  </si>
  <si>
    <t>The Contractor shall keep records of dates of commencement and completion of all trades, fix by fix, including dates of each concrete pour, in a manner and layout acceptable to the Engineer. A copy of these records shall be made freely available to the Engineer at any time, upon request</t>
  </si>
  <si>
    <t>The Contractor will prepare and submit weekly and monthly progress reports to be issued in advance of weekly or monthly progress  meetings in accordance with the Conditions of Contract</t>
  </si>
  <si>
    <t>Protection</t>
  </si>
  <si>
    <t>Adequate protection against any form of damage or deterioration shall be provided for all sections of the Works. This shall include protective tapes, casings, guard rails and the like which shall be provided, if necessary. Particular care shall be taken to mask self finished surfaces during the application of adjacent insitu work, and windows and doors during the application of sprayed finishes. In pursuance of his obligations under the Conditions of Contract, the contractor shall, whenever required or directed by the Engineer, cover up and protect the works from the weather and from damage by his own or other workmen performing subsequent operations</t>
  </si>
  <si>
    <t>The Contractor shall provide all necessary dust sheets, barriers and guard rails and clear away the same on completion</t>
  </si>
  <si>
    <t>The Contractor shall take all reasonable and proper steps for the protection of all places on or about the works which may be dangerous to his workmen or any other persons or to traffic. The Contractor shall provide and maintain signs, red warning lamps and barricades as necessary in such places</t>
  </si>
  <si>
    <t xml:space="preserve">Dust Suppression </t>
  </si>
  <si>
    <t>Provide and maintain Dust Suppression ( Water Spraying, Dust control chemical, etc…)</t>
  </si>
  <si>
    <t>Noise Control</t>
  </si>
  <si>
    <t>Provide, install and maintain noise barriers where required</t>
  </si>
  <si>
    <t>Protection and upkeep of site and adjacent areas and properties</t>
  </si>
  <si>
    <t>The Contractor shall take all necessary precautions to protect buildings, fences, roads, passages, culverts and other apparatus, if found, and he shall not demolish or remove any of these works except according to specific instructions by the Engineer</t>
  </si>
  <si>
    <t xml:space="preserve">Temporary gates/barriers </t>
  </si>
  <si>
    <t xml:space="preserve">Contractor to cost full construction of the barriers with lighting. Which ever is deemed more cost effective, this could be either temporary fences, hoarding or similar . </t>
  </si>
  <si>
    <t xml:space="preserve">Contractor to cost entrance gate to the asset as per the specifications. </t>
  </si>
  <si>
    <t>Chain link fence and gates where required.</t>
  </si>
  <si>
    <t>Cleaning of the works</t>
  </si>
  <si>
    <t>Immediately prior to the handing over of the works, the Contractor shall thoroughly clean all buildings and landscaped areas, wash down windows and generally clean the works ready for occupation, all to the approval of the Engineer</t>
  </si>
  <si>
    <t>Pest Control</t>
  </si>
  <si>
    <t>Contractor shall maintain pest control in key areas of work, around and in site accommodation</t>
  </si>
  <si>
    <t>Programme of Works</t>
  </si>
  <si>
    <t>The Contractor shall submit to the Engineer for approval a Critical Path Programme, in Primavera P6 format in both hard and electronic format, and other supporting documentation of the works within the time stipulated in the Conditions of Contract together with details of equipment, procedures and method of work which the Contractor intends to utilise and to follow. At weekly intervals, update schedule to reflect actual construction progress and activities. Issue schedule before each regularly scheduled progress meeting.</t>
  </si>
  <si>
    <t>Progress Photographs</t>
  </si>
  <si>
    <t>The Contractor shall arrange for monthly record colour photographs and videotape/DVD including time-lapse video-livestreaming internet capability, surveillance cameras with recording for Works as directed and specified by the Engineer. Refer to DGDA specification 013234</t>
  </si>
  <si>
    <t>Aerial Monthly Photographs five (5) per month including obtaining all required permits.</t>
  </si>
  <si>
    <t>Quality of Materials and Supply</t>
  </si>
  <si>
    <t>The Contractor shall ensure that all materials used in the Works shall be new and of the best quality, as specified</t>
  </si>
  <si>
    <t>Method Statement</t>
  </si>
  <si>
    <t>The Contractor shall compile and submit a detailed schedule of method statements</t>
  </si>
  <si>
    <t>Scaffolding</t>
  </si>
  <si>
    <t>The Contractor shall provide, erect, maintain, dismantle and clear away at completion proper and adequate scaffolding</t>
  </si>
  <si>
    <t>Security</t>
  </si>
  <si>
    <t>The Contractor shall allow for protecting the Site and Works from unauthorized entry</t>
  </si>
  <si>
    <t>The Contractor shall provide uniformed security guards</t>
  </si>
  <si>
    <t>The Contractor shall provide and maintain a photographic security pass system for the project site and offices</t>
  </si>
  <si>
    <t>The Contractor shall provide and maintain a mobile communication system for use on site in accordance with the local statutory regulations</t>
  </si>
  <si>
    <t>The Contractor shall provide and maintain Security Cabin(s).</t>
  </si>
  <si>
    <t>CCTV Cameras</t>
  </si>
  <si>
    <t>Fire Protection</t>
  </si>
  <si>
    <t>Adequate precaution shall be taken against fire throughout all the Contractor’s and Sub-contractor’s operations, as specified</t>
  </si>
  <si>
    <t>The Contractor shall provide adequate fire fighting appliances on site to the approval of the Engineer</t>
  </si>
  <si>
    <t>Safety, Health and Welfare of work people</t>
  </si>
  <si>
    <t>The Contractor is to allow in his tender for providing for the safety, health and welfare of all work people, including  subcontractors, suppliers and other persons working on or visiting the site.</t>
  </si>
  <si>
    <t>Tidying and Clearing the Site</t>
  </si>
  <si>
    <t>The Contractor shall maintain the site in a clean and orderly condition free from accumulation of waste materials and rubbish during the entire construction period to the satisfaction of the Engineer and dispose of material lawfully.</t>
  </si>
  <si>
    <t>Wheel Wash</t>
  </si>
  <si>
    <t>Provide, install and maintain Wheel Wash at project entrances or where required</t>
  </si>
  <si>
    <t>On completion the entire site within the Right of Way are to be cleared of all construction materials and temporary buildings, to the satisfaction of the Engineer</t>
  </si>
  <si>
    <t>Soil Investigation &amp; Site Surveying</t>
  </si>
  <si>
    <t>Any information given about soils investigations carried out is for the Contractor’s assistance only. It is the Contractor’s responsibility to check and confirm the existing ground conditions and in particular the likelihood of encountering water and/or cavities during the course of Excavation. It is the contractor's responsibility to do site surveys and investigations; identify locations of existing services/utilities to avoid any damage occurring due to the contractor's execution of works.</t>
  </si>
  <si>
    <t>Reports</t>
  </si>
  <si>
    <t>The Contractor shall supply all reports as required</t>
  </si>
  <si>
    <t>Ground Risk</t>
  </si>
  <si>
    <t>Contractor to accept full ground risk and provide cost for of any abornals below ground due to obstructions, high water table, voids within grounds.</t>
  </si>
  <si>
    <t>Performance</t>
  </si>
  <si>
    <t>The Contractor shall list here other items not included above but necessary for the complete and satisfactory completion of this section of the Works. Such items shall be deemed to be included unless specifically listed here</t>
  </si>
  <si>
    <t>Progress Meetings</t>
  </si>
  <si>
    <t>Weekly or fortnightly intervals progress and co-ordination meetings shall be held throughout the duration of the contract.</t>
  </si>
  <si>
    <t>Guarantees and Warranties</t>
  </si>
  <si>
    <t>The Contractor shall provide all guarantees and warranties and handover to the Engineer on completion, as per the contract documents and specifications</t>
  </si>
  <si>
    <t>Insurances</t>
  </si>
  <si>
    <t>The Contractor shall allow for the following insurances in accordance with the requirements of the Contract:</t>
  </si>
  <si>
    <t>Contractors All Risk Insurance as per limits set out in contract documents</t>
  </si>
  <si>
    <t>Third Party Liability Insurance as per limits set out in contract documents</t>
  </si>
  <si>
    <t>Medical Insurance as per limits set out in contract documents</t>
  </si>
  <si>
    <t>Plant &amp; equipment insurance as per limits set out in contract documents</t>
  </si>
  <si>
    <t>Workmen's compensation insurance as per limits set out in contract documents</t>
  </si>
  <si>
    <t>Motor vehicle insurance and passenger liability  insurance as per limits set out in contract documents</t>
  </si>
  <si>
    <t>Employer's liability insurance as per limits set out in contract documents</t>
  </si>
  <si>
    <t>PII for Contractor design items as per limits set out in contract documents</t>
  </si>
  <si>
    <t>Any other insurance that the Contractor considers is required as per limits set out in contract documents</t>
  </si>
  <si>
    <t>Bonds</t>
  </si>
  <si>
    <t>The Contractor shall allow for the provision of the Tender Bond in accordance with the requirements of the Contract.</t>
  </si>
  <si>
    <t>The Contractor shall allow for the provision of the Performance security in accordance with the requirements of the Contract.</t>
  </si>
  <si>
    <t>The Contractor shall allow for the provision of the Advance payment bond  in accordance with the requirements of the Contract.</t>
  </si>
  <si>
    <t>COLLECTION</t>
  </si>
  <si>
    <t>Page No</t>
  </si>
  <si>
    <t>Total Brought Forward from Page No.</t>
  </si>
  <si>
    <t>General Preliminaries</t>
  </si>
  <si>
    <t>Carried Forward to Final Summary</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</si>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</sst>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_-;\-* #,##0.00_-;_-* &quot;-&quot;??_-;_-@_-"/>
    <numFmt numFmtId="165" formatCode="[$-409]mmmm\ d\,\ yyyy;@"/>
    <numFmt numFmtId="166" formatCode="_-* #,##0_-;\-* #,##0_-;_-* &quot;-&quot;??_-;_-@_-"/>
    <numFmt numFmtId="167" formatCode="#,##0.000"/>
    <numFmt numFmtId="168" formatCode="_-* #,##0.000_-;\-* #,##0.000_-;_-* &quot;-&quot;???_-;_-@_-"/>
  </numFmts>
  <fonts count="42" x14ac:knownFonts="1">
    <font>
      <sz val="11"/>
      <color theme="1"/>
      <name val="Calibri"/>
      <family val="2"/>
      <scheme val="minor"/>
    </font>
    <font>
      <sz val="11"/>
      <color theme="1"/>
      <name val="Calibri"/>
      <family val="2"/>
      <scheme val="minor"/>
    </font>
    <font>
      <b/>
      <sz val="10"/>
      <name val="Arial"/>
      <family val="2"/>
    </font>
    <font>
      <sz val="10"/>
      <name val="Times New Roman"/>
      <family val="1"/>
    </font>
    <font>
      <b/>
      <u/>
      <sz val="11"/>
      <name val="Arial"/>
      <family val="2"/>
    </font>
    <font>
      <sz val="10"/>
      <name val="Arial"/>
      <family val="2"/>
    </font>
    <font>
      <sz val="11"/>
      <name val="Arial"/>
      <family val="2"/>
    </font>
    <font>
      <b/>
      <u/>
      <sz val="12"/>
      <name val="Arial"/>
      <family val="2"/>
    </font>
    <font>
      <u/>
      <sz val="12"/>
      <name val="Arial"/>
      <family val="2"/>
    </font>
    <font>
      <sz val="12"/>
      <name val="Arial"/>
      <family val="2"/>
    </font>
    <font>
      <b/>
      <sz val="11"/>
      <name val="Arial"/>
      <family val="2"/>
    </font>
    <font>
      <u/>
      <sz val="11"/>
      <name val="Arial"/>
      <family val="2"/>
    </font>
    <font>
      <sz val="11"/>
      <name val="Calibri"/>
      <family val="2"/>
      <scheme val="minor"/>
    </font>
    <font>
      <b/>
      <u/>
      <sz val="10"/>
      <name val="Arial Narrow"/>
      <family val="2"/>
    </font>
    <font>
      <sz val="11"/>
      <name val="Arial Narrow"/>
      <family val="2"/>
    </font>
    <font>
      <sz val="10"/>
      <color theme="1"/>
      <name val="Arial Narrow"/>
      <family val="2"/>
    </font>
    <font>
      <b/>
      <u/>
      <sz val="11"/>
      <name val="Arial Narrow"/>
      <family val="2"/>
    </font>
    <font>
      <u/>
      <sz val="11"/>
      <color theme="1"/>
      <name val="Arial Narrow"/>
      <family val="2"/>
    </font>
    <font>
      <b/>
      <sz val="11"/>
      <color theme="1"/>
      <name val="Arial Narrow"/>
      <family val="2"/>
    </font>
    <font>
      <b/>
      <sz val="11"/>
      <name val="Arial Narrow"/>
      <family val="2"/>
    </font>
    <font>
      <sz val="11"/>
      <color indexed="8"/>
      <name val="Calibri"/>
      <family val="2"/>
    </font>
    <font>
      <sz val="10"/>
      <color theme="1"/>
      <name val="Arial"/>
      <family val="2"/>
    </font>
    <font>
      <sz val="11"/>
      <color theme="1"/>
      <name val="Arial Narrow"/>
      <family val="2"/>
    </font>
    <font>
      <sz val="11"/>
      <color rgb="FF000000"/>
      <name val="Arial Narrow"/>
      <family val="2"/>
    </font>
    <font>
      <sz val="10"/>
      <color rgb="FF000000"/>
      <name val="Arial Narrow"/>
      <family val="2"/>
    </font>
    <font>
      <b/>
      <sz val="10"/>
      <name val="Arial Narrow"/>
      <family val="2"/>
    </font>
    <font>
      <sz val="10"/>
      <name val="Arial Narrow"/>
      <family val="2"/>
    </font>
    <font>
      <b/>
      <u/>
      <sz val="16"/>
      <name val="Arial Narrow"/>
      <family val="2"/>
    </font>
    <font>
      <b/>
      <sz val="10"/>
      <color theme="4" tint="-0.249977111117893"/>
      <name val="Arial Narrow"/>
      <family val="2"/>
    </font>
    <font>
      <b/>
      <sz val="10"/>
      <color theme="1"/>
      <name val="Arial Narrow"/>
      <family val="2"/>
    </font>
    <font>
      <b/>
      <u/>
      <sz val="12"/>
      <name val="Arial Narrow"/>
      <family val="2"/>
    </font>
    <font>
      <u/>
      <sz val="10"/>
      <name val="Arial Narrow"/>
      <family val="2"/>
    </font>
    <font>
      <sz val="11"/>
      <color theme="1"/>
      <name val="Arial"/>
      <family val="2"/>
    </font>
    <font>
      <b/>
      <u/>
      <sz val="16"/>
      <name val="Arial"/>
      <family val="2"/>
    </font>
    <font>
      <b/>
      <sz val="10"/>
      <color indexed="8"/>
      <name val="Arial"/>
      <family val="2"/>
    </font>
    <font>
      <b/>
      <sz val="11"/>
      <color indexed="8"/>
      <name val="Arial"/>
      <family val="2"/>
    </font>
    <font>
      <b/>
      <u/>
      <sz val="10"/>
      <name val="Arial"/>
      <family val="2"/>
    </font>
    <font>
      <u/>
      <sz val="10"/>
      <name val="Arial"/>
      <family val="2"/>
    </font>
    <font>
      <sz val="10"/>
      <color rgb="FF00B050"/>
      <name val="Arial"/>
      <family val="2"/>
    </font>
    <font>
      <sz val="10"/>
      <color rgb="FFFF0000"/>
      <name val="Arial"/>
      <family val="2"/>
    </font>
    <font>
      <sz val="11"/>
      <color rgb="FFFF0000"/>
      <name val="Arial"/>
      <family val="2"/>
    </font>
    <font>
      <strike/>
      <sz val="11"/>
      <color theme="1"/>
      <name val="Arial"/>
      <family val="2"/>
    </font>
  </fonts>
  <fills count="8">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rgb="FFD9D9D9"/>
        <bgColor indexed="64"/>
      </patternFill>
    </fill>
    <fill>
      <patternFill patternType="solid">
        <fgColor rgb="FFFFFFFF"/>
        <bgColor rgb="FF000000"/>
      </patternFill>
    </fill>
    <fill>
      <patternFill patternType="solid">
        <fgColor theme="0" tint="-0.14999847407452621"/>
        <bgColor rgb="FF000000"/>
      </patternFill>
    </fill>
  </fills>
  <borders count="22">
    <border>
      <left/>
      <right/>
      <top/>
      <bottom/>
      <diagonal/>
    </border>
    <border>
      <left style="thin">
        <color indexed="64"/>
      </left>
      <right style="thin">
        <color indexed="64"/>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indexed="64"/>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auto="1"/>
      </left>
      <right style="double">
        <color auto="1"/>
      </right>
      <top/>
      <bottom/>
      <diagonal/>
    </border>
    <border>
      <left style="double">
        <color auto="1"/>
      </left>
      <right style="thin">
        <color auto="1"/>
      </right>
      <top/>
      <bottom/>
      <diagonal/>
    </border>
    <border>
      <left style="double">
        <color auto="1"/>
      </left>
      <right style="thin">
        <color auto="1"/>
      </right>
      <top style="thin">
        <color auto="1"/>
      </top>
      <bottom/>
      <diagonal/>
    </border>
    <border>
      <left style="double">
        <color indexed="64"/>
      </left>
      <right style="thin">
        <color indexed="64"/>
      </right>
      <top/>
      <bottom style="thin">
        <color indexed="64"/>
      </bottom>
      <diagonal/>
    </border>
    <border>
      <left style="thin">
        <color indexed="64"/>
      </left>
      <right style="double">
        <color indexed="64"/>
      </right>
      <top style="thin">
        <color auto="1"/>
      </top>
      <bottom/>
      <diagonal/>
    </border>
    <border>
      <left style="thin">
        <color indexed="64"/>
      </left>
      <right style="double">
        <color auto="1"/>
      </right>
      <top/>
      <bottom style="thin">
        <color auto="1"/>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0" fontId="5" fillId="0" borderId="0"/>
    <xf numFmtId="164" fontId="5" fillId="0" borderId="0" applyFont="0" applyFill="0" applyBorder="0" applyAlignment="0" applyProtection="0"/>
    <xf numFmtId="43" fontId="1" fillId="0" borderId="0" applyFont="0" applyFill="0" applyBorder="0" applyAlignment="0" applyProtection="0"/>
    <xf numFmtId="0" fontId="5" fillId="0" borderId="0"/>
    <xf numFmtId="164" fontId="1" fillId="0" borderId="0" applyFont="0" applyFill="0" applyBorder="0" applyAlignment="0" applyProtection="0"/>
    <xf numFmtId="43" fontId="20" fillId="0" borderId="0" applyFont="0" applyFill="0" applyBorder="0" applyAlignment="0" applyProtection="0"/>
    <xf numFmtId="164" fontId="1" fillId="0" borderId="0" applyFont="0" applyFill="0" applyBorder="0" applyAlignment="0" applyProtection="0"/>
    <xf numFmtId="0" fontId="1" fillId="0" borderId="0"/>
  </cellStyleXfs>
  <cellXfs count="540">
    <xf numFmtId="0" fontId="0" fillId="0" borderId="0" xfId="0"/>
    <xf numFmtId="0" fontId="2" fillId="0" borderId="0" xfId="0" applyFont="1" applyAlignment="1">
      <alignment horizontal="left" vertical="center"/>
    </xf>
    <xf numFmtId="3" fontId="6" fillId="0" borderId="0" xfId="4" applyNumberFormat="1" applyFont="1" applyAlignment="1">
      <alignment horizontal="right" vertical="top"/>
    </xf>
    <xf numFmtId="0" fontId="6" fillId="0" borderId="0" xfId="4" applyFont="1" applyAlignment="1">
      <alignment horizontal="center" vertical="top"/>
    </xf>
    <xf numFmtId="4" fontId="6" fillId="0" borderId="0" xfId="1" applyNumberFormat="1" applyFont="1" applyFill="1" applyAlignment="1" applyProtection="1">
      <alignment vertical="top"/>
    </xf>
    <xf numFmtId="0" fontId="6" fillId="0" borderId="0" xfId="4" applyFont="1" applyAlignment="1">
      <alignment vertical="top"/>
    </xf>
    <xf numFmtId="43" fontId="6" fillId="0" borderId="0" xfId="1" applyFont="1" applyFill="1" applyAlignment="1" applyProtection="1">
      <alignment horizontal="right" vertical="top"/>
    </xf>
    <xf numFmtId="40" fontId="6" fillId="0" borderId="0" xfId="1" applyNumberFormat="1" applyFont="1" applyFill="1" applyAlignment="1" applyProtection="1">
      <alignment vertical="top"/>
    </xf>
    <xf numFmtId="43" fontId="6" fillId="0" borderId="0" xfId="1" applyFont="1" applyAlignment="1" applyProtection="1">
      <alignment vertical="top"/>
    </xf>
    <xf numFmtId="165" fontId="2" fillId="0" borderId="0" xfId="3" applyNumberFormat="1" applyFont="1" applyAlignment="1">
      <alignment horizontal="left" vertical="center"/>
    </xf>
    <xf numFmtId="0" fontId="6" fillId="0" borderId="3" xfId="0" applyFont="1" applyBorder="1" applyAlignment="1">
      <alignment vertical="top" wrapText="1"/>
    </xf>
    <xf numFmtId="0" fontId="6" fillId="0" borderId="3" xfId="0" applyFont="1" applyBorder="1" applyAlignment="1">
      <alignment horizontal="right" vertical="top" wrapText="1"/>
    </xf>
    <xf numFmtId="0" fontId="6" fillId="0" borderId="3" xfId="0" applyFont="1" applyBorder="1" applyAlignment="1">
      <alignment horizontal="center" vertical="top" wrapText="1"/>
    </xf>
    <xf numFmtId="43" fontId="6" fillId="0" borderId="3" xfId="1" applyFont="1" applyFill="1" applyBorder="1" applyAlignment="1" applyProtection="1">
      <alignment horizontal="right" vertical="top" wrapText="1"/>
    </xf>
    <xf numFmtId="4" fontId="6" fillId="0" borderId="3" xfId="1" applyNumberFormat="1" applyFont="1" applyFill="1" applyBorder="1" applyAlignment="1" applyProtection="1">
      <alignment horizontal="right" vertical="top"/>
    </xf>
    <xf numFmtId="40" fontId="6" fillId="0" borderId="3" xfId="1" applyNumberFormat="1" applyFont="1" applyFill="1" applyBorder="1" applyAlignment="1" applyProtection="1">
      <alignment horizontal="right" vertical="top"/>
    </xf>
    <xf numFmtId="3" fontId="6" fillId="0" borderId="3" xfId="4" applyNumberFormat="1" applyFont="1" applyBorder="1" applyAlignment="1">
      <alignment horizontal="right" vertical="top"/>
    </xf>
    <xf numFmtId="0" fontId="6" fillId="0" borderId="3" xfId="4" applyFont="1" applyBorder="1" applyAlignment="1">
      <alignment horizontal="center" vertical="top"/>
    </xf>
    <xf numFmtId="166" fontId="6" fillId="0" borderId="3" xfId="1" applyNumberFormat="1" applyFont="1" applyFill="1" applyBorder="1" applyAlignment="1" applyProtection="1">
      <alignment horizontal="right" vertical="top"/>
    </xf>
    <xf numFmtId="0" fontId="6" fillId="0" borderId="3" xfId="0" applyFont="1" applyBorder="1" applyAlignment="1">
      <alignment horizontal="center" vertical="top"/>
    </xf>
    <xf numFmtId="43" fontId="6" fillId="0" borderId="3" xfId="1" applyFont="1" applyFill="1" applyBorder="1" applyAlignment="1" applyProtection="1">
      <alignment horizontal="right" vertical="top"/>
    </xf>
    <xf numFmtId="166" fontId="6" fillId="0" borderId="3" xfId="1" applyNumberFormat="1" applyFont="1" applyFill="1" applyBorder="1" applyAlignment="1" applyProtection="1">
      <alignment vertical="top"/>
    </xf>
    <xf numFmtId="43" fontId="6" fillId="0" borderId="0" xfId="1" applyFont="1" applyFill="1" applyAlignment="1" applyProtection="1">
      <alignment vertical="top"/>
    </xf>
    <xf numFmtId="0" fontId="6" fillId="3" borderId="0" xfId="4" applyFont="1" applyFill="1" applyAlignment="1">
      <alignment vertical="top"/>
    </xf>
    <xf numFmtId="43" fontId="6" fillId="0" borderId="3" xfId="1" applyFont="1" applyFill="1" applyBorder="1" applyAlignment="1" applyProtection="1">
      <alignment vertical="top"/>
    </xf>
    <xf numFmtId="0" fontId="6" fillId="0" borderId="9" xfId="4" applyFont="1" applyBorder="1" applyAlignment="1">
      <alignment horizontal="center" vertical="top"/>
    </xf>
    <xf numFmtId="166" fontId="6" fillId="0" borderId="9" xfId="1" applyNumberFormat="1" applyFont="1" applyFill="1" applyBorder="1" applyAlignment="1" applyProtection="1">
      <alignment vertical="top"/>
    </xf>
    <xf numFmtId="0" fontId="6" fillId="0" borderId="9" xfId="0" applyFont="1" applyBorder="1" applyAlignment="1">
      <alignment horizontal="center" vertical="top"/>
    </xf>
    <xf numFmtId="43" fontId="6" fillId="0" borderId="9" xfId="1" applyFont="1" applyFill="1" applyBorder="1" applyAlignment="1" applyProtection="1">
      <alignment horizontal="right" vertical="top"/>
    </xf>
    <xf numFmtId="4" fontId="6" fillId="0" borderId="9" xfId="1" applyNumberFormat="1" applyFont="1" applyFill="1" applyBorder="1" applyAlignment="1" applyProtection="1">
      <alignment horizontal="right" vertical="top"/>
    </xf>
    <xf numFmtId="0" fontId="12" fillId="0" borderId="3" xfId="0" applyFont="1" applyBorder="1" applyAlignment="1">
      <alignment horizontal="center" vertical="top"/>
    </xf>
    <xf numFmtId="166" fontId="6" fillId="0" borderId="9" xfId="1" applyNumberFormat="1" applyFont="1" applyFill="1" applyBorder="1" applyAlignment="1" applyProtection="1">
      <alignment horizontal="right" vertical="top"/>
    </xf>
    <xf numFmtId="40" fontId="6" fillId="0" borderId="9" xfId="1" applyNumberFormat="1" applyFont="1" applyFill="1" applyBorder="1" applyAlignment="1" applyProtection="1">
      <alignment horizontal="right" vertical="top"/>
    </xf>
    <xf numFmtId="43" fontId="10" fillId="0" borderId="0" xfId="1" applyFont="1" applyFill="1" applyAlignment="1" applyProtection="1">
      <alignment vertical="top"/>
    </xf>
    <xf numFmtId="0" fontId="10" fillId="0" borderId="0" xfId="4" applyFont="1" applyAlignment="1">
      <alignment vertical="top"/>
    </xf>
    <xf numFmtId="43" fontId="6" fillId="0" borderId="0" xfId="4" applyNumberFormat="1" applyFont="1" applyAlignment="1">
      <alignment vertical="top"/>
    </xf>
    <xf numFmtId="4" fontId="6" fillId="0" borderId="3" xfId="4" applyNumberFormat="1" applyFont="1" applyBorder="1" applyAlignment="1">
      <alignment horizontal="right" vertical="top"/>
    </xf>
    <xf numFmtId="3" fontId="6" fillId="0" borderId="9" xfId="4" applyNumberFormat="1" applyFont="1" applyBorder="1" applyAlignment="1">
      <alignment horizontal="right" vertical="top"/>
    </xf>
    <xf numFmtId="0" fontId="6" fillId="0" borderId="3" xfId="0" applyFont="1" applyBorder="1" applyAlignment="1">
      <alignment vertical="top"/>
    </xf>
    <xf numFmtId="43" fontId="6" fillId="0" borderId="0" xfId="1" applyFont="1" applyFill="1" applyBorder="1" applyAlignment="1" applyProtection="1">
      <alignment vertical="top"/>
    </xf>
    <xf numFmtId="0" fontId="6" fillId="0" borderId="3" xfId="4" applyFont="1" applyBorder="1" applyAlignment="1">
      <alignment horizontal="center" vertical="center"/>
    </xf>
    <xf numFmtId="40" fontId="6" fillId="0" borderId="3" xfId="1" applyNumberFormat="1" applyFont="1" applyBorder="1" applyAlignment="1" applyProtection="1">
      <alignment horizontal="right" vertical="top" wrapText="1"/>
    </xf>
    <xf numFmtId="0" fontId="6" fillId="0" borderId="9" xfId="0" applyFont="1" applyBorder="1" applyAlignment="1">
      <alignment vertical="top" wrapText="1"/>
    </xf>
    <xf numFmtId="0" fontId="6" fillId="0" borderId="9" xfId="0" applyFont="1" applyBorder="1" applyAlignment="1">
      <alignment horizontal="center" vertical="top" wrapText="1"/>
    </xf>
    <xf numFmtId="0" fontId="6" fillId="0" borderId="9" xfId="0" applyFont="1" applyBorder="1" applyAlignment="1">
      <alignment horizontal="right" vertical="top" wrapText="1"/>
    </xf>
    <xf numFmtId="40" fontId="6" fillId="0" borderId="9" xfId="1" applyNumberFormat="1" applyFont="1" applyBorder="1" applyAlignment="1" applyProtection="1">
      <alignment horizontal="right" vertical="top" wrapText="1"/>
    </xf>
    <xf numFmtId="3" fontId="6" fillId="0" borderId="3" xfId="4" applyNumberFormat="1" applyFont="1" applyBorder="1" applyAlignment="1">
      <alignment horizontal="right" vertical="top" wrapText="1"/>
    </xf>
    <xf numFmtId="43" fontId="6" fillId="0" borderId="0" xfId="1" applyFont="1" applyFill="1" applyAlignment="1" applyProtection="1">
      <alignment vertical="top" wrapText="1"/>
    </xf>
    <xf numFmtId="0" fontId="6" fillId="0" borderId="0" xfId="4" applyFont="1" applyAlignment="1">
      <alignment vertical="top" wrapText="1"/>
    </xf>
    <xf numFmtId="166" fontId="6" fillId="0" borderId="3" xfId="6" applyNumberFormat="1" applyFont="1" applyFill="1" applyBorder="1" applyAlignment="1" applyProtection="1">
      <alignment horizontal="right" vertical="top"/>
    </xf>
    <xf numFmtId="4" fontId="6" fillId="0" borderId="3" xfId="1" applyNumberFormat="1" applyFont="1" applyBorder="1" applyAlignment="1" applyProtection="1">
      <alignment horizontal="right" vertical="top"/>
    </xf>
    <xf numFmtId="40" fontId="6" fillId="0" borderId="3" xfId="1" applyNumberFormat="1" applyFont="1" applyBorder="1" applyAlignment="1" applyProtection="1">
      <alignment horizontal="right" vertical="top"/>
    </xf>
    <xf numFmtId="3" fontId="6" fillId="0" borderId="3" xfId="0" applyNumberFormat="1" applyFont="1" applyBorder="1" applyAlignment="1">
      <alignment vertical="top"/>
    </xf>
    <xf numFmtId="43" fontId="6" fillId="0" borderId="3" xfId="1" applyFont="1" applyBorder="1" applyAlignment="1" applyProtection="1">
      <alignment horizontal="right" vertical="top"/>
    </xf>
    <xf numFmtId="0" fontId="6" fillId="0" borderId="0" xfId="4" applyFont="1" applyAlignment="1">
      <alignment vertical="center"/>
    </xf>
    <xf numFmtId="43" fontId="6" fillId="0" borderId="0" xfId="1" applyFont="1" applyFill="1" applyAlignment="1" applyProtection="1">
      <alignment vertical="center"/>
    </xf>
    <xf numFmtId="0" fontId="10" fillId="0" borderId="3" xfId="4" applyFont="1" applyBorder="1" applyAlignment="1">
      <alignment horizontal="center" vertical="top"/>
    </xf>
    <xf numFmtId="3" fontId="10" fillId="0" borderId="3" xfId="4" applyNumberFormat="1" applyFont="1" applyBorder="1" applyAlignment="1">
      <alignment horizontal="right" vertical="top"/>
    </xf>
    <xf numFmtId="3" fontId="6" fillId="2" borderId="9" xfId="4" applyNumberFormat="1" applyFont="1" applyFill="1" applyBorder="1" applyAlignment="1">
      <alignment horizontal="right" vertical="center"/>
    </xf>
    <xf numFmtId="0" fontId="6" fillId="2" borderId="9" xfId="4" applyFont="1" applyFill="1" applyBorder="1" applyAlignment="1">
      <alignment horizontal="center" vertical="center"/>
    </xf>
    <xf numFmtId="43" fontId="10" fillId="2" borderId="2" xfId="1" applyFont="1" applyFill="1" applyBorder="1" applyAlignment="1" applyProtection="1">
      <alignment horizontal="right" vertical="center"/>
    </xf>
    <xf numFmtId="43" fontId="10" fillId="2" borderId="9" xfId="1" applyFont="1" applyFill="1" applyBorder="1" applyAlignment="1" applyProtection="1">
      <alignment horizontal="right" vertical="center"/>
    </xf>
    <xf numFmtId="43" fontId="6" fillId="0" borderId="0" xfId="1" applyFont="1" applyAlignment="1" applyProtection="1">
      <alignment vertical="center"/>
    </xf>
    <xf numFmtId="9" fontId="6" fillId="0" borderId="5" xfId="2" applyFont="1" applyBorder="1" applyAlignment="1" applyProtection="1">
      <alignment horizontal="right" vertical="top"/>
    </xf>
    <xf numFmtId="164" fontId="6" fillId="0" borderId="5" xfId="5" applyFont="1" applyBorder="1" applyAlignment="1" applyProtection="1">
      <alignment horizontal="center" vertical="top"/>
    </xf>
    <xf numFmtId="4" fontId="6" fillId="0" borderId="5" xfId="1" applyNumberFormat="1" applyFont="1" applyBorder="1" applyAlignment="1" applyProtection="1">
      <alignment horizontal="right" vertical="center"/>
    </xf>
    <xf numFmtId="43" fontId="6" fillId="0" borderId="5" xfId="1" applyFont="1" applyBorder="1" applyAlignment="1" applyProtection="1">
      <alignment horizontal="right" vertical="center"/>
    </xf>
    <xf numFmtId="40" fontId="6" fillId="0" borderId="5" xfId="1" applyNumberFormat="1" applyFont="1" applyBorder="1" applyAlignment="1" applyProtection="1">
      <alignment horizontal="right" vertical="center"/>
    </xf>
    <xf numFmtId="9" fontId="6" fillId="0" borderId="0" xfId="2" applyFont="1" applyBorder="1" applyAlignment="1" applyProtection="1">
      <alignment horizontal="right" vertical="top"/>
    </xf>
    <xf numFmtId="164" fontId="6" fillId="0" borderId="0" xfId="5" applyFont="1" applyBorder="1" applyAlignment="1" applyProtection="1">
      <alignment horizontal="center" vertical="top"/>
    </xf>
    <xf numFmtId="4" fontId="6" fillId="0" borderId="0" xfId="1" applyNumberFormat="1" applyFont="1" applyBorder="1" applyAlignment="1" applyProtection="1">
      <alignment horizontal="right" vertical="center"/>
    </xf>
    <xf numFmtId="43" fontId="6" fillId="0" borderId="0" xfId="1" applyFont="1" applyBorder="1" applyAlignment="1" applyProtection="1">
      <alignment horizontal="right" vertical="center"/>
    </xf>
    <xf numFmtId="40" fontId="6" fillId="0" borderId="0" xfId="1" applyNumberFormat="1" applyFont="1" applyBorder="1" applyAlignment="1" applyProtection="1">
      <alignment horizontal="right" vertical="center"/>
    </xf>
    <xf numFmtId="0" fontId="6" fillId="0" borderId="0" xfId="4" applyFont="1" applyAlignment="1">
      <alignment horizontal="center"/>
    </xf>
    <xf numFmtId="0" fontId="6" fillId="0" borderId="0" xfId="4" applyFont="1"/>
    <xf numFmtId="0" fontId="6" fillId="0" borderId="0" xfId="4" applyFont="1" applyAlignment="1">
      <alignment horizontal="right"/>
    </xf>
    <xf numFmtId="164" fontId="6" fillId="0" borderId="0" xfId="5" applyFont="1" applyFill="1" applyBorder="1" applyAlignment="1" applyProtection="1">
      <alignment horizontal="center"/>
    </xf>
    <xf numFmtId="4" fontId="6" fillId="0" borderId="0" xfId="1" applyNumberFormat="1" applyFont="1" applyFill="1" applyBorder="1" applyAlignment="1" applyProtection="1"/>
    <xf numFmtId="43" fontId="6" fillId="0" borderId="0" xfId="1" applyFont="1" applyFill="1" applyBorder="1" applyAlignment="1" applyProtection="1">
      <alignment horizontal="right"/>
    </xf>
    <xf numFmtId="40" fontId="6" fillId="0" borderId="0" xfId="1" applyNumberFormat="1" applyFont="1" applyFill="1" applyBorder="1" applyAlignment="1" applyProtection="1"/>
    <xf numFmtId="43" fontId="6" fillId="0" borderId="0" xfId="1" applyFont="1" applyProtection="1"/>
    <xf numFmtId="3" fontId="6" fillId="0" borderId="0" xfId="4" applyNumberFormat="1" applyFont="1" applyAlignment="1">
      <alignment horizontal="right"/>
    </xf>
    <xf numFmtId="4" fontId="6" fillId="0" borderId="0" xfId="1" applyNumberFormat="1" applyFont="1" applyFill="1" applyAlignment="1" applyProtection="1"/>
    <xf numFmtId="43" fontId="6" fillId="0" borderId="0" xfId="1" applyFont="1" applyFill="1" applyAlignment="1" applyProtection="1">
      <alignment horizontal="right"/>
    </xf>
    <xf numFmtId="40" fontId="6" fillId="0" borderId="0" xfId="1" applyNumberFormat="1" applyFont="1" applyFill="1" applyAlignment="1" applyProtection="1"/>
    <xf numFmtId="49" fontId="13" fillId="4" borderId="0" xfId="3" applyNumberFormat="1" applyFont="1" applyFill="1" applyAlignment="1">
      <alignment horizontal="left"/>
    </xf>
    <xf numFmtId="3" fontId="14" fillId="4" borderId="0" xfId="7" applyNumberFormat="1" applyFont="1" applyFill="1" applyAlignment="1">
      <alignment horizontal="right" vertical="top"/>
    </xf>
    <xf numFmtId="0" fontId="14" fillId="4" borderId="0" xfId="7" applyFont="1" applyFill="1" applyAlignment="1">
      <alignment horizontal="center" vertical="top"/>
    </xf>
    <xf numFmtId="3" fontId="14" fillId="4" borderId="0" xfId="8" applyNumberFormat="1" applyFont="1" applyFill="1" applyAlignment="1" applyProtection="1">
      <alignment horizontal="right" vertical="top"/>
    </xf>
    <xf numFmtId="3" fontId="14" fillId="4" borderId="0" xfId="8" applyNumberFormat="1" applyFont="1" applyFill="1" applyAlignment="1" applyProtection="1">
      <alignment vertical="top"/>
    </xf>
    <xf numFmtId="0" fontId="14" fillId="4" borderId="0" xfId="7" applyFont="1" applyFill="1" applyAlignment="1">
      <alignment horizontal="left" vertical="top"/>
    </xf>
    <xf numFmtId="0" fontId="14" fillId="4" borderId="0" xfId="7" applyFont="1" applyFill="1" applyAlignment="1">
      <alignment vertical="top"/>
    </xf>
    <xf numFmtId="0" fontId="15" fillId="4" borderId="0" xfId="0" applyFont="1" applyFill="1"/>
    <xf numFmtId="49" fontId="17" fillId="4" borderId="0" xfId="3" applyNumberFormat="1" applyFont="1" applyFill="1" applyAlignment="1">
      <alignment horizontal="left"/>
    </xf>
    <xf numFmtId="0" fontId="14" fillId="4" borderId="0" xfId="7" applyFont="1" applyFill="1" applyAlignment="1">
      <alignment horizontal="right" vertical="top"/>
    </xf>
    <xf numFmtId="0" fontId="21" fillId="0" borderId="0" xfId="0" applyFont="1" applyAlignment="1">
      <alignment vertical="center"/>
    </xf>
    <xf numFmtId="0" fontId="14" fillId="4" borderId="7" xfId="0" applyFont="1" applyFill="1" applyBorder="1" applyAlignment="1">
      <alignment vertical="top" wrapText="1"/>
    </xf>
    <xf numFmtId="0" fontId="22" fillId="4" borderId="1" xfId="0" applyFont="1" applyFill="1" applyBorder="1" applyAlignment="1">
      <alignment vertical="top" wrapText="1"/>
    </xf>
    <xf numFmtId="0" fontId="13" fillId="0" borderId="1" xfId="0" applyFont="1" applyBorder="1" applyAlignment="1">
      <alignment vertical="top" wrapText="1"/>
    </xf>
    <xf numFmtId="0" fontId="0" fillId="0" borderId="1" xfId="0" applyBorder="1" applyProtection="1">
      <protection locked="0"/>
    </xf>
    <xf numFmtId="166" fontId="14" fillId="4" borderId="1" xfId="8" applyNumberFormat="1" applyFont="1" applyFill="1" applyBorder="1" applyAlignment="1" applyProtection="1">
      <alignment horizontal="right" vertical="top"/>
      <protection locked="0"/>
    </xf>
    <xf numFmtId="0" fontId="14" fillId="4" borderId="1" xfId="0" applyFont="1" applyFill="1" applyBorder="1" applyAlignment="1" applyProtection="1">
      <alignment horizontal="left" vertical="top" wrapText="1"/>
      <protection locked="0"/>
    </xf>
    <xf numFmtId="0" fontId="22" fillId="4" borderId="3" xfId="0" applyFont="1" applyFill="1" applyBorder="1" applyAlignment="1">
      <alignment vertical="top" wrapText="1"/>
    </xf>
    <xf numFmtId="0" fontId="14" fillId="4" borderId="3" xfId="7" applyFont="1" applyFill="1" applyBorder="1" applyAlignment="1">
      <alignment vertical="top" wrapText="1"/>
    </xf>
    <xf numFmtId="166" fontId="14" fillId="4" borderId="3" xfId="8" applyNumberFormat="1" applyFont="1" applyFill="1" applyBorder="1" applyAlignment="1" applyProtection="1">
      <alignment horizontal="right" vertical="center"/>
      <protection locked="0"/>
    </xf>
    <xf numFmtId="0" fontId="14" fillId="4" borderId="3" xfId="0" applyFont="1" applyFill="1" applyBorder="1" applyAlignment="1" applyProtection="1">
      <alignment horizontal="center" vertical="center"/>
      <protection locked="0"/>
    </xf>
    <xf numFmtId="4" fontId="14" fillId="4" borderId="3" xfId="8" applyNumberFormat="1" applyFont="1" applyFill="1" applyBorder="1" applyAlignment="1" applyProtection="1">
      <alignment horizontal="right" vertical="top"/>
      <protection locked="0"/>
    </xf>
    <xf numFmtId="164" fontId="14" fillId="4" borderId="3" xfId="8" applyFont="1" applyFill="1" applyBorder="1" applyAlignment="1" applyProtection="1">
      <alignment horizontal="right" vertical="top"/>
      <protection locked="0"/>
    </xf>
    <xf numFmtId="0" fontId="14" fillId="4" borderId="3" xfId="0" applyFont="1" applyFill="1" applyBorder="1" applyAlignment="1" applyProtection="1">
      <alignment horizontal="left" vertical="top" wrapText="1"/>
      <protection locked="0"/>
    </xf>
    <xf numFmtId="0" fontId="23" fillId="6" borderId="3" xfId="0" applyFont="1" applyFill="1" applyBorder="1" applyAlignment="1">
      <alignment horizontal="center" vertical="top" wrapText="1"/>
    </xf>
    <xf numFmtId="0" fontId="14" fillId="6" borderId="0" xfId="0" applyFont="1" applyFill="1" applyAlignment="1">
      <alignment vertical="top" wrapText="1"/>
    </xf>
    <xf numFmtId="0" fontId="14" fillId="6" borderId="3" xfId="0" applyFont="1" applyFill="1" applyBorder="1" applyAlignment="1" applyProtection="1">
      <alignment vertical="top"/>
      <protection locked="0"/>
    </xf>
    <xf numFmtId="0" fontId="14" fillId="6" borderId="8" xfId="0" applyFont="1" applyFill="1" applyBorder="1" applyAlignment="1" applyProtection="1">
      <alignment horizontal="center" vertical="top"/>
      <protection locked="0"/>
    </xf>
    <xf numFmtId="3" fontId="14" fillId="0" borderId="8" xfId="0" applyNumberFormat="1" applyFont="1" applyBorder="1" applyAlignment="1" applyProtection="1">
      <alignment vertical="top"/>
      <protection locked="0"/>
    </xf>
    <xf numFmtId="166" fontId="14" fillId="4" borderId="3" xfId="8" applyNumberFormat="1" applyFont="1" applyFill="1" applyBorder="1" applyAlignment="1" applyProtection="1">
      <alignment horizontal="right" vertical="top"/>
      <protection locked="0"/>
    </xf>
    <xf numFmtId="0" fontId="14" fillId="4" borderId="3" xfId="7" applyFont="1" applyFill="1" applyBorder="1" applyAlignment="1" applyProtection="1">
      <alignment horizontal="left" wrapText="1"/>
      <protection locked="0"/>
    </xf>
    <xf numFmtId="0" fontId="14" fillId="4" borderId="7" xfId="7" applyFont="1" applyFill="1" applyBorder="1" applyAlignment="1">
      <alignment wrapText="1"/>
    </xf>
    <xf numFmtId="0" fontId="14" fillId="6" borderId="8" xfId="0" applyFont="1" applyFill="1" applyBorder="1" applyAlignment="1" applyProtection="1">
      <alignment vertical="top"/>
      <protection locked="0"/>
    </xf>
    <xf numFmtId="0" fontId="14" fillId="4" borderId="0" xfId="7" applyFont="1" applyFill="1" applyAlignment="1">
      <alignment wrapText="1"/>
    </xf>
    <xf numFmtId="0" fontId="23" fillId="6" borderId="3" xfId="0" applyFont="1" applyFill="1" applyBorder="1" applyAlignment="1">
      <alignment horizontal="center" vertical="top"/>
    </xf>
    <xf numFmtId="3" fontId="14" fillId="6" borderId="8" xfId="0" applyNumberFormat="1" applyFont="1" applyFill="1" applyBorder="1" applyAlignment="1" applyProtection="1">
      <alignment vertical="top"/>
      <protection locked="0"/>
    </xf>
    <xf numFmtId="0" fontId="14" fillId="0" borderId="0" xfId="0" applyFont="1" applyAlignment="1">
      <alignment vertical="top" wrapText="1"/>
    </xf>
    <xf numFmtId="0" fontId="14" fillId="0" borderId="3" xfId="0" applyFont="1" applyBorder="1" applyAlignment="1" applyProtection="1">
      <alignment vertical="top"/>
      <protection locked="0"/>
    </xf>
    <xf numFmtId="0" fontId="14" fillId="0" borderId="8" xfId="0" applyFont="1" applyBorder="1" applyAlignment="1" applyProtection="1">
      <alignment horizontal="center" vertical="top"/>
      <protection locked="0"/>
    </xf>
    <xf numFmtId="3" fontId="23" fillId="0" borderId="8" xfId="0" applyNumberFormat="1" applyFont="1" applyBorder="1" applyAlignment="1" applyProtection="1">
      <alignment vertical="top"/>
      <protection locked="0"/>
    </xf>
    <xf numFmtId="0" fontId="24" fillId="6" borderId="3" xfId="0" applyFont="1" applyFill="1" applyBorder="1" applyAlignment="1" applyProtection="1">
      <alignment vertical="top"/>
      <protection locked="0"/>
    </xf>
    <xf numFmtId="0" fontId="24" fillId="6" borderId="8" xfId="0" applyFont="1" applyFill="1" applyBorder="1" applyAlignment="1" applyProtection="1">
      <alignment horizontal="center" vertical="top"/>
      <protection locked="0"/>
    </xf>
    <xf numFmtId="0" fontId="23" fillId="6" borderId="8" xfId="0" applyFont="1" applyFill="1" applyBorder="1" applyAlignment="1" applyProtection="1">
      <alignment vertical="top"/>
      <protection locked="0"/>
    </xf>
    <xf numFmtId="0" fontId="14" fillId="7" borderId="0" xfId="0" applyFont="1" applyFill="1" applyAlignment="1">
      <alignment vertical="top" wrapText="1"/>
    </xf>
    <xf numFmtId="0" fontId="14" fillId="6" borderId="0" xfId="0" applyFont="1" applyFill="1" applyAlignment="1" applyProtection="1">
      <alignment vertical="top"/>
      <protection locked="0"/>
    </xf>
    <xf numFmtId="0" fontId="14" fillId="4" borderId="0" xfId="7" applyFont="1" applyFill="1"/>
    <xf numFmtId="43" fontId="15" fillId="4" borderId="0" xfId="0" applyNumberFormat="1" applyFont="1" applyFill="1"/>
    <xf numFmtId="166" fontId="14" fillId="4" borderId="3" xfId="8" applyNumberFormat="1" applyFont="1" applyFill="1" applyBorder="1" applyAlignment="1" applyProtection="1">
      <alignment horizontal="right"/>
      <protection locked="0"/>
    </xf>
    <xf numFmtId="0" fontId="15" fillId="5" borderId="13" xfId="0" applyFont="1" applyFill="1" applyBorder="1" applyAlignment="1">
      <alignment horizontal="center"/>
    </xf>
    <xf numFmtId="0" fontId="10" fillId="5" borderId="14" xfId="4" applyFont="1" applyFill="1" applyBorder="1" applyAlignment="1">
      <alignment horizontal="right" vertical="center"/>
    </xf>
    <xf numFmtId="0" fontId="15" fillId="5" borderId="13" xfId="0" applyFont="1" applyFill="1" applyBorder="1" applyProtection="1">
      <protection locked="0"/>
    </xf>
    <xf numFmtId="0" fontId="15" fillId="5" borderId="15" xfId="0" applyFont="1" applyFill="1" applyBorder="1" applyProtection="1">
      <protection locked="0"/>
    </xf>
    <xf numFmtId="166" fontId="19" fillId="5" borderId="13" xfId="8" applyNumberFormat="1" applyFont="1" applyFill="1" applyBorder="1" applyAlignment="1" applyProtection="1">
      <alignment horizontal="right" vertical="center"/>
      <protection locked="0"/>
    </xf>
    <xf numFmtId="0" fontId="14" fillId="5" borderId="13" xfId="7" applyFont="1" applyFill="1" applyBorder="1" applyAlignment="1" applyProtection="1">
      <alignment horizontal="left" wrapText="1"/>
      <protection locked="0"/>
    </xf>
    <xf numFmtId="0" fontId="25" fillId="0" borderId="0" xfId="0" applyFont="1" applyAlignment="1">
      <alignment horizontal="left" vertical="center" wrapText="1"/>
    </xf>
    <xf numFmtId="3" fontId="26" fillId="0" borderId="0" xfId="0" applyNumberFormat="1" applyFont="1" applyAlignment="1">
      <alignment horizontal="right" indent="1"/>
    </xf>
    <xf numFmtId="0" fontId="26" fillId="0" borderId="0" xfId="0" applyFont="1" applyAlignment="1">
      <alignment horizontal="center"/>
    </xf>
    <xf numFmtId="167" fontId="25" fillId="0" borderId="0" xfId="10" applyNumberFormat="1" applyFont="1" applyFill="1" applyBorder="1" applyProtection="1"/>
    <xf numFmtId="0" fontId="15" fillId="0" borderId="0" xfId="0" applyFont="1"/>
    <xf numFmtId="167" fontId="26" fillId="0" borderId="0" xfId="10" applyNumberFormat="1" applyFont="1" applyFill="1" applyBorder="1" applyProtection="1"/>
    <xf numFmtId="0" fontId="25" fillId="0" borderId="0" xfId="0" applyFont="1" applyAlignment="1">
      <alignment vertical="center" wrapText="1"/>
    </xf>
    <xf numFmtId="0" fontId="25" fillId="0" borderId="0" xfId="0" applyFont="1" applyAlignment="1">
      <alignment horizontal="left" vertical="top"/>
    </xf>
    <xf numFmtId="3" fontId="26" fillId="0" borderId="11" xfId="0" applyNumberFormat="1" applyFont="1" applyBorder="1" applyAlignment="1">
      <alignment horizontal="left" indent="1"/>
    </xf>
    <xf numFmtId="167" fontId="26" fillId="0" borderId="11" xfId="10" applyNumberFormat="1" applyFont="1" applyFill="1" applyBorder="1" applyProtection="1"/>
    <xf numFmtId="0" fontId="26" fillId="4" borderId="4" xfId="0" applyFont="1" applyFill="1" applyBorder="1" applyAlignment="1">
      <alignment horizontal="center"/>
    </xf>
    <xf numFmtId="0" fontId="26" fillId="4" borderId="5" xfId="0" applyFont="1" applyFill="1" applyBorder="1"/>
    <xf numFmtId="3" fontId="26" fillId="4" borderId="5" xfId="0" applyNumberFormat="1" applyFont="1" applyFill="1" applyBorder="1" applyAlignment="1">
      <alignment horizontal="right" indent="1"/>
    </xf>
    <xf numFmtId="0" fontId="26" fillId="4" borderId="5" xfId="0" applyFont="1" applyFill="1" applyBorder="1" applyAlignment="1">
      <alignment horizontal="center"/>
    </xf>
    <xf numFmtId="43" fontId="26" fillId="4" borderId="6" xfId="6" applyFont="1" applyFill="1" applyBorder="1" applyProtection="1"/>
    <xf numFmtId="0" fontId="26" fillId="4" borderId="7" xfId="0" applyFont="1" applyFill="1" applyBorder="1" applyAlignment="1">
      <alignment horizontal="center"/>
    </xf>
    <xf numFmtId="0" fontId="26" fillId="4" borderId="0" xfId="0" applyFont="1" applyFill="1"/>
    <xf numFmtId="3" fontId="26" fillId="4" borderId="0" xfId="0" applyNumberFormat="1" applyFont="1" applyFill="1" applyAlignment="1">
      <alignment horizontal="right" indent="1"/>
    </xf>
    <xf numFmtId="0" fontId="26" fillId="4" borderId="0" xfId="0" applyFont="1" applyFill="1" applyAlignment="1">
      <alignment horizontal="center"/>
    </xf>
    <xf numFmtId="43" fontId="26" fillId="4" borderId="8" xfId="6" applyFont="1" applyFill="1" applyBorder="1" applyProtection="1"/>
    <xf numFmtId="0" fontId="13" fillId="4" borderId="0" xfId="0" applyFont="1" applyFill="1"/>
    <xf numFmtId="0" fontId="27" fillId="4" borderId="0" xfId="0" applyFont="1" applyFill="1" applyAlignment="1">
      <alignment horizontal="center"/>
    </xf>
    <xf numFmtId="0" fontId="26" fillId="4" borderId="10" xfId="0" applyFont="1" applyFill="1" applyBorder="1" applyAlignment="1">
      <alignment horizontal="center"/>
    </xf>
    <xf numFmtId="0" fontId="26" fillId="4" borderId="11" xfId="0" applyFont="1" applyFill="1" applyBorder="1"/>
    <xf numFmtId="3" fontId="26" fillId="4" borderId="11" xfId="0" applyNumberFormat="1" applyFont="1" applyFill="1" applyBorder="1" applyAlignment="1">
      <alignment horizontal="right" indent="1"/>
    </xf>
    <xf numFmtId="0" fontId="26" fillId="4" borderId="11" xfId="0" applyFont="1" applyFill="1" applyBorder="1" applyAlignment="1">
      <alignment horizontal="center"/>
    </xf>
    <xf numFmtId="43" fontId="26" fillId="4" borderId="12" xfId="6" applyFont="1" applyFill="1" applyBorder="1" applyProtection="1"/>
    <xf numFmtId="0" fontId="25" fillId="0" borderId="2" xfId="0" applyFont="1" applyBorder="1" applyAlignment="1">
      <alignment horizontal="center" vertical="center" wrapText="1"/>
    </xf>
    <xf numFmtId="0" fontId="25" fillId="0" borderId="2" xfId="0" applyFont="1" applyBorder="1" applyAlignment="1">
      <alignment horizontal="left" vertical="center" wrapText="1"/>
    </xf>
    <xf numFmtId="166" fontId="25" fillId="0" borderId="2" xfId="0" applyNumberFormat="1" applyFont="1" applyBorder="1" applyAlignment="1">
      <alignment horizontal="center" vertical="center" wrapText="1"/>
    </xf>
    <xf numFmtId="43" fontId="25" fillId="0" borderId="2" xfId="6" applyFont="1" applyFill="1" applyBorder="1" applyAlignment="1" applyProtection="1">
      <alignment horizontal="center" vertical="center" wrapText="1"/>
    </xf>
    <xf numFmtId="164" fontId="25" fillId="0" borderId="0" xfId="6" applyNumberFormat="1" applyFont="1" applyFill="1" applyBorder="1" applyAlignment="1" applyProtection="1">
      <alignment horizontal="center" vertical="center" wrapText="1"/>
    </xf>
    <xf numFmtId="0" fontId="28" fillId="0" borderId="0" xfId="0" applyFont="1" applyAlignment="1">
      <alignment horizontal="center" vertical="center"/>
    </xf>
    <xf numFmtId="0" fontId="29" fillId="0" borderId="0" xfId="0" applyFont="1" applyAlignment="1">
      <alignment vertical="center"/>
    </xf>
    <xf numFmtId="0" fontId="26" fillId="0" borderId="3" xfId="0" applyFont="1" applyBorder="1" applyAlignment="1">
      <alignment horizontal="center"/>
    </xf>
    <xf numFmtId="0" fontId="30" fillId="0" borderId="3" xfId="0" applyFont="1" applyBorder="1"/>
    <xf numFmtId="0" fontId="26" fillId="0" borderId="3" xfId="0" applyFont="1" applyBorder="1"/>
    <xf numFmtId="0" fontId="16" fillId="0" borderId="3" xfId="0" applyFont="1" applyBorder="1"/>
    <xf numFmtId="0" fontId="13" fillId="0" borderId="3" xfId="0" applyFont="1" applyBorder="1"/>
    <xf numFmtId="0" fontId="26" fillId="0" borderId="2" xfId="0" applyFont="1" applyBorder="1" applyAlignment="1">
      <alignment horizontal="center"/>
    </xf>
    <xf numFmtId="0" fontId="26" fillId="0" borderId="2" xfId="0" applyFont="1" applyBorder="1"/>
    <xf numFmtId="0" fontId="31" fillId="0" borderId="3" xfId="0" applyFont="1" applyBorder="1"/>
    <xf numFmtId="0" fontId="31" fillId="0" borderId="3" xfId="0" applyFont="1" applyBorder="1" applyAlignment="1">
      <alignment horizontal="left" vertical="top"/>
    </xf>
    <xf numFmtId="0" fontId="26" fillId="0" borderId="3" xfId="0" applyFont="1" applyBorder="1" applyAlignment="1">
      <alignment horizontal="center" vertical="top"/>
    </xf>
    <xf numFmtId="166" fontId="26" fillId="0" borderId="3" xfId="0" applyNumberFormat="1" applyFont="1" applyBorder="1" applyAlignment="1">
      <alignment horizontal="right"/>
    </xf>
    <xf numFmtId="0" fontId="26" fillId="0" borderId="3" xfId="0" applyFont="1" applyBorder="1" applyAlignment="1">
      <alignment horizontal="left"/>
    </xf>
    <xf numFmtId="0" fontId="25" fillId="0" borderId="3" xfId="0" applyFont="1" applyBorder="1"/>
    <xf numFmtId="0" fontId="26" fillId="0" borderId="3" xfId="0" applyFont="1" applyBorder="1" applyAlignment="1">
      <alignment horizontal="right"/>
    </xf>
    <xf numFmtId="0" fontId="31" fillId="0" borderId="3" xfId="0" applyFont="1" applyBorder="1" applyAlignment="1">
      <alignment wrapText="1"/>
    </xf>
    <xf numFmtId="0" fontId="26" fillId="0" borderId="9" xfId="0" applyFont="1" applyBorder="1" applyAlignment="1">
      <alignment horizontal="center"/>
    </xf>
    <xf numFmtId="0" fontId="26" fillId="0" borderId="9" xfId="0" applyFont="1" applyBorder="1"/>
    <xf numFmtId="164" fontId="26" fillId="0" borderId="3" xfId="10" applyFont="1" applyFill="1" applyBorder="1" applyProtection="1"/>
    <xf numFmtId="0" fontId="15" fillId="0" borderId="8" xfId="0" applyFont="1" applyBorder="1" applyAlignment="1">
      <alignment vertical="center"/>
    </xf>
    <xf numFmtId="43" fontId="15" fillId="0" borderId="0" xfId="0" applyNumberFormat="1" applyFont="1"/>
    <xf numFmtId="164" fontId="26" fillId="0" borderId="3" xfId="10" applyFont="1" applyBorder="1" applyProtection="1"/>
    <xf numFmtId="0" fontId="26" fillId="0" borderId="5" xfId="0" applyFont="1" applyBorder="1" applyAlignment="1">
      <alignment horizontal="center"/>
    </xf>
    <xf numFmtId="0" fontId="26" fillId="0" borderId="5" xfId="0" applyFont="1" applyBorder="1"/>
    <xf numFmtId="0" fontId="26" fillId="0" borderId="0" xfId="0" applyFont="1" applyAlignment="1">
      <alignment horizontal="left"/>
    </xf>
    <xf numFmtId="0" fontId="26" fillId="0" borderId="0" xfId="0" applyFont="1"/>
    <xf numFmtId="0" fontId="2" fillId="0" borderId="0" xfId="0" applyFont="1" applyAlignment="1">
      <alignment horizontal="left" vertical="top" wrapText="1"/>
    </xf>
    <xf numFmtId="0" fontId="21" fillId="0" borderId="0" xfId="0" applyFont="1" applyAlignment="1">
      <alignment horizontal="center" vertical="top"/>
    </xf>
    <xf numFmtId="0" fontId="21" fillId="0" borderId="0" xfId="0" applyFont="1" applyAlignment="1">
      <alignment horizontal="right" vertical="top"/>
    </xf>
    <xf numFmtId="0" fontId="32" fillId="0" borderId="0" xfId="0" applyFont="1" applyAlignment="1">
      <alignment vertical="center"/>
    </xf>
    <xf numFmtId="0" fontId="2" fillId="0" borderId="0" xfId="0" applyFont="1" applyAlignment="1">
      <alignment vertical="top" wrapText="1"/>
    </xf>
    <xf numFmtId="0" fontId="5" fillId="4" borderId="4" xfId="0" applyFont="1" applyFill="1" applyBorder="1" applyAlignment="1">
      <alignment horizontal="center" vertical="top"/>
    </xf>
    <xf numFmtId="0" fontId="5" fillId="0" borderId="5" xfId="0" applyFont="1" applyBorder="1" applyAlignment="1">
      <alignment vertical="top"/>
    </xf>
    <xf numFmtId="0" fontId="5" fillId="4" borderId="5" xfId="0" applyFont="1" applyFill="1" applyBorder="1" applyAlignment="1">
      <alignment horizontal="center" vertical="top"/>
    </xf>
    <xf numFmtId="164" fontId="5" fillId="4" borderId="5" xfId="8" applyFont="1" applyFill="1" applyBorder="1" applyAlignment="1" applyProtection="1">
      <alignment horizontal="right" vertical="top"/>
    </xf>
    <xf numFmtId="164" fontId="5" fillId="4" borderId="6" xfId="8" applyFont="1" applyFill="1" applyBorder="1" applyAlignment="1" applyProtection="1">
      <alignment horizontal="right" vertical="top"/>
    </xf>
    <xf numFmtId="0" fontId="5" fillId="4" borderId="7" xfId="0" applyFont="1" applyFill="1" applyBorder="1" applyAlignment="1">
      <alignment horizontal="center" vertical="top"/>
    </xf>
    <xf numFmtId="0" fontId="5" fillId="0" borderId="0" xfId="0" applyFont="1" applyAlignment="1">
      <alignment vertical="top"/>
    </xf>
    <xf numFmtId="0" fontId="5" fillId="4" borderId="0" xfId="0" applyFont="1" applyFill="1" applyAlignment="1">
      <alignment horizontal="center" vertical="top"/>
    </xf>
    <xf numFmtId="164" fontId="5" fillId="4" borderId="0" xfId="8" applyFont="1" applyFill="1" applyBorder="1" applyAlignment="1" applyProtection="1">
      <alignment horizontal="right" vertical="top"/>
    </xf>
    <xf numFmtId="164" fontId="5" fillId="4" borderId="8" xfId="8" applyFont="1" applyFill="1" applyBorder="1" applyAlignment="1" applyProtection="1">
      <alignment horizontal="right" vertical="top"/>
    </xf>
    <xf numFmtId="0" fontId="33" fillId="0" borderId="0" xfId="0" applyFont="1" applyAlignment="1">
      <alignment vertical="top"/>
    </xf>
    <xf numFmtId="0" fontId="7" fillId="0" borderId="0" xfId="0" applyFont="1" applyAlignment="1">
      <alignment vertical="top"/>
    </xf>
    <xf numFmtId="0" fontId="5" fillId="4" borderId="10" xfId="0" applyFont="1" applyFill="1" applyBorder="1" applyAlignment="1">
      <alignment horizontal="center" vertical="top"/>
    </xf>
    <xf numFmtId="0" fontId="5" fillId="0" borderId="11" xfId="0" applyFont="1" applyBorder="1" applyAlignment="1">
      <alignment vertical="top"/>
    </xf>
    <xf numFmtId="0" fontId="5" fillId="4" borderId="11" xfId="0" applyFont="1" applyFill="1" applyBorder="1" applyAlignment="1">
      <alignment horizontal="center" vertical="top"/>
    </xf>
    <xf numFmtId="164" fontId="5" fillId="4" borderId="11" xfId="8" applyFont="1" applyFill="1" applyBorder="1" applyAlignment="1" applyProtection="1">
      <alignment horizontal="right" vertical="top"/>
    </xf>
    <xf numFmtId="164" fontId="5" fillId="4" borderId="12" xfId="8" applyFont="1" applyFill="1" applyBorder="1" applyAlignment="1" applyProtection="1">
      <alignment horizontal="right" vertical="top"/>
    </xf>
    <xf numFmtId="49" fontId="34" fillId="2" borderId="2" xfId="3" applyNumberFormat="1" applyFont="1" applyFill="1" applyBorder="1" applyAlignment="1">
      <alignment horizontal="center" vertical="center" wrapText="1"/>
    </xf>
    <xf numFmtId="49" fontId="35" fillId="2" borderId="2" xfId="3" applyNumberFormat="1" applyFont="1" applyFill="1" applyBorder="1" applyAlignment="1">
      <alignment horizontal="center" vertical="center" wrapText="1"/>
    </xf>
    <xf numFmtId="49" fontId="35" fillId="2" borderId="2" xfId="3" applyNumberFormat="1" applyFont="1" applyFill="1" applyBorder="1" applyAlignment="1" applyProtection="1">
      <alignment horizontal="center" vertical="center" wrapText="1"/>
      <protection locked="0"/>
    </xf>
    <xf numFmtId="0" fontId="21" fillId="0" borderId="3" xfId="0" applyFont="1" applyBorder="1" applyAlignment="1">
      <alignment vertical="top"/>
    </xf>
    <xf numFmtId="0" fontId="5" fillId="0" borderId="3" xfId="0" applyFont="1" applyBorder="1" applyAlignment="1">
      <alignment horizontal="left" vertical="top"/>
    </xf>
    <xf numFmtId="0" fontId="5" fillId="0" borderId="3" xfId="0" applyFont="1" applyBorder="1" applyAlignment="1" applyProtection="1">
      <alignment horizontal="center" vertical="top"/>
      <protection locked="0"/>
    </xf>
    <xf numFmtId="0" fontId="5" fillId="0" borderId="3" xfId="0" applyFont="1" applyBorder="1" applyAlignment="1">
      <alignment horizontal="center" vertical="top"/>
    </xf>
    <xf numFmtId="164" fontId="5" fillId="0" borderId="16" xfId="8" applyFont="1" applyBorder="1" applyAlignment="1" applyProtection="1">
      <alignment horizontal="right" vertical="top"/>
      <protection locked="0"/>
    </xf>
    <xf numFmtId="164" fontId="5" fillId="0" borderId="17" xfId="8" applyFont="1" applyFill="1" applyBorder="1" applyAlignment="1" applyProtection="1">
      <alignment horizontal="right" vertical="top"/>
      <protection locked="0"/>
    </xf>
    <xf numFmtId="0" fontId="5" fillId="0" borderId="3" xfId="0" applyFont="1" applyBorder="1" applyAlignment="1">
      <alignment vertical="top"/>
    </xf>
    <xf numFmtId="0" fontId="7" fillId="0" borderId="3" xfId="0" applyFont="1" applyBorder="1" applyAlignment="1">
      <alignment vertical="top"/>
    </xf>
    <xf numFmtId="0" fontId="9" fillId="0" borderId="3" xfId="0" applyFont="1" applyBorder="1" applyAlignment="1" applyProtection="1">
      <alignment horizontal="center" vertical="top"/>
      <protection locked="0"/>
    </xf>
    <xf numFmtId="0" fontId="9" fillId="0" borderId="3" xfId="0" applyFont="1" applyBorder="1" applyAlignment="1">
      <alignment horizontal="center" vertical="top"/>
    </xf>
    <xf numFmtId="43" fontId="9" fillId="0" borderId="16" xfId="6" applyFont="1" applyBorder="1" applyAlignment="1" applyProtection="1">
      <alignment horizontal="right" vertical="top"/>
      <protection locked="0"/>
    </xf>
    <xf numFmtId="0" fontId="5" fillId="0" borderId="3" xfId="8" applyNumberFormat="1" applyFont="1" applyBorder="1" applyAlignment="1" applyProtection="1">
      <alignment horizontal="center" vertical="top"/>
      <protection locked="0"/>
    </xf>
    <xf numFmtId="0" fontId="36" fillId="0" borderId="3" xfId="0" applyFont="1" applyBorder="1" applyAlignment="1">
      <alignment vertical="top" wrapText="1"/>
    </xf>
    <xf numFmtId="0" fontId="5" fillId="0" borderId="3" xfId="0" applyFont="1" applyBorder="1" applyAlignment="1">
      <alignment vertical="top" wrapText="1"/>
    </xf>
    <xf numFmtId="0" fontId="36" fillId="0" borderId="3" xfId="0" applyFont="1" applyBorder="1" applyAlignment="1">
      <alignment vertical="top"/>
    </xf>
    <xf numFmtId="164" fontId="5" fillId="0" borderId="7" xfId="8" applyFont="1" applyBorder="1" applyAlignment="1" applyProtection="1">
      <alignment horizontal="right" vertical="top"/>
      <protection locked="0"/>
    </xf>
    <xf numFmtId="43" fontId="5" fillId="0" borderId="7" xfId="6" applyFont="1" applyBorder="1" applyAlignment="1" applyProtection="1">
      <alignment horizontal="right" vertical="top"/>
      <protection locked="0"/>
    </xf>
    <xf numFmtId="43" fontId="5" fillId="0" borderId="18" xfId="6" applyFont="1" applyBorder="1" applyAlignment="1" applyProtection="1">
      <alignment horizontal="right" vertical="top"/>
      <protection locked="0"/>
    </xf>
    <xf numFmtId="0" fontId="5" fillId="0" borderId="3" xfId="0" applyFont="1" applyBorder="1" applyAlignment="1">
      <alignment horizontal="right" vertical="top"/>
    </xf>
    <xf numFmtId="0" fontId="5" fillId="0" borderId="7" xfId="0" applyFont="1" applyBorder="1" applyAlignment="1" applyProtection="1">
      <alignment horizontal="right" vertical="top"/>
      <protection locked="0"/>
    </xf>
    <xf numFmtId="43" fontId="5" fillId="0" borderId="17" xfId="6" applyFont="1" applyBorder="1" applyAlignment="1" applyProtection="1">
      <alignment horizontal="right" vertical="top"/>
      <protection locked="0"/>
    </xf>
    <xf numFmtId="0" fontId="5" fillId="0" borderId="9" xfId="0" applyFont="1" applyBorder="1" applyAlignment="1">
      <alignment horizontal="center" vertical="top"/>
    </xf>
    <xf numFmtId="0" fontId="5" fillId="0" borderId="9" xfId="0" applyFont="1" applyBorder="1" applyAlignment="1">
      <alignment horizontal="right" vertical="top"/>
    </xf>
    <xf numFmtId="0" fontId="5" fillId="0" borderId="9" xfId="0" applyFont="1" applyBorder="1" applyAlignment="1" applyProtection="1">
      <alignment horizontal="center" vertical="top"/>
      <protection locked="0"/>
    </xf>
    <xf numFmtId="0" fontId="5" fillId="0" borderId="10" xfId="0" applyFont="1" applyBorder="1" applyAlignment="1" applyProtection="1">
      <alignment horizontal="right" vertical="top"/>
      <protection locked="0"/>
    </xf>
    <xf numFmtId="43" fontId="5" fillId="0" borderId="19" xfId="6" applyFont="1" applyBorder="1" applyAlignment="1" applyProtection="1">
      <alignment horizontal="right" vertical="top"/>
      <protection locked="0"/>
    </xf>
    <xf numFmtId="0" fontId="5" fillId="0" borderId="1" xfId="0" applyFont="1" applyBorder="1" applyAlignment="1">
      <alignment horizontal="left" vertical="top"/>
    </xf>
    <xf numFmtId="0" fontId="5" fillId="0" borderId="1" xfId="0" applyFont="1" applyBorder="1" applyAlignment="1" applyProtection="1">
      <alignment horizontal="center" vertical="top"/>
      <protection locked="0"/>
    </xf>
    <xf numFmtId="0" fontId="5" fillId="0" borderId="1" xfId="0" applyFont="1" applyBorder="1" applyAlignment="1">
      <alignment horizontal="center" vertical="top"/>
    </xf>
    <xf numFmtId="43" fontId="5" fillId="0" borderId="4" xfId="6" applyFont="1" applyBorder="1" applyAlignment="1" applyProtection="1">
      <alignment horizontal="right" vertical="top"/>
      <protection locked="0"/>
    </xf>
    <xf numFmtId="43" fontId="5" fillId="0" borderId="16" xfId="6" applyFont="1" applyFill="1" applyBorder="1" applyAlignment="1" applyProtection="1">
      <alignment horizontal="right" vertical="top"/>
      <protection locked="0"/>
    </xf>
    <xf numFmtId="0" fontId="5" fillId="0" borderId="3" xfId="0" applyFont="1" applyBorder="1" applyAlignment="1">
      <alignment horizontal="left" vertical="top" wrapText="1" indent="2"/>
    </xf>
    <xf numFmtId="43" fontId="5" fillId="0" borderId="7" xfId="6" applyFont="1" applyFill="1" applyBorder="1" applyAlignment="1" applyProtection="1">
      <alignment horizontal="right" vertical="top"/>
      <protection locked="0"/>
    </xf>
    <xf numFmtId="0" fontId="37" fillId="0" borderId="3" xfId="0" applyFont="1" applyBorder="1" applyAlignment="1">
      <alignment vertical="top"/>
    </xf>
    <xf numFmtId="164" fontId="5" fillId="0" borderId="20" xfId="8" applyFont="1" applyBorder="1" applyAlignment="1" applyProtection="1">
      <alignment horizontal="right" vertical="top"/>
      <protection locked="0"/>
    </xf>
    <xf numFmtId="43" fontId="5" fillId="0" borderId="16" xfId="6" applyFont="1" applyBorder="1" applyAlignment="1" applyProtection="1">
      <alignment horizontal="right" vertical="top"/>
      <protection locked="0"/>
    </xf>
    <xf numFmtId="0" fontId="38" fillId="0" borderId="3" xfId="0" applyFont="1" applyBorder="1" applyAlignment="1">
      <alignment vertical="top" wrapText="1"/>
    </xf>
    <xf numFmtId="43" fontId="5" fillId="0" borderId="20" xfId="6" applyFont="1" applyBorder="1" applyAlignment="1" applyProtection="1">
      <alignment horizontal="right" vertical="top"/>
      <protection locked="0"/>
    </xf>
    <xf numFmtId="0" fontId="21" fillId="0" borderId="3" xfId="0" applyFont="1" applyBorder="1" applyAlignment="1">
      <alignment vertical="top" wrapText="1"/>
    </xf>
    <xf numFmtId="43" fontId="9" fillId="0" borderId="16" xfId="6" applyFont="1" applyFill="1" applyBorder="1" applyAlignment="1" applyProtection="1">
      <alignment horizontal="right" vertical="top"/>
      <protection locked="0"/>
    </xf>
    <xf numFmtId="164" fontId="5" fillId="0" borderId="16" xfId="8" applyFont="1" applyFill="1" applyBorder="1" applyAlignment="1" applyProtection="1">
      <alignment horizontal="right" vertical="top"/>
      <protection locked="0"/>
    </xf>
    <xf numFmtId="0" fontId="39" fillId="0" borderId="3" xfId="0" applyFont="1" applyBorder="1" applyAlignment="1">
      <alignment horizontal="center" vertical="top" wrapText="1"/>
    </xf>
    <xf numFmtId="0" fontId="39" fillId="0" borderId="3" xfId="0" applyFont="1" applyBorder="1" applyAlignment="1" applyProtection="1">
      <alignment horizontal="center" vertical="top"/>
      <protection locked="0"/>
    </xf>
    <xf numFmtId="0" fontId="39" fillId="0" borderId="3" xfId="0" applyFont="1" applyBorder="1" applyAlignment="1">
      <alignment horizontal="center" vertical="top"/>
    </xf>
    <xf numFmtId="164" fontId="39" fillId="0" borderId="17" xfId="8" applyFont="1" applyFill="1" applyBorder="1" applyAlignment="1" applyProtection="1">
      <alignment horizontal="right" vertical="top"/>
      <protection locked="0"/>
    </xf>
    <xf numFmtId="0" fontId="40" fillId="0" borderId="0" xfId="0" applyFont="1" applyAlignment="1">
      <alignment vertical="center"/>
    </xf>
    <xf numFmtId="0" fontId="5" fillId="0" borderId="3" xfId="0" applyFont="1" applyBorder="1" applyAlignment="1">
      <alignment horizontal="center" vertical="top" wrapText="1"/>
    </xf>
    <xf numFmtId="0" fontId="41" fillId="0" borderId="0" xfId="0" applyFont="1" applyAlignment="1">
      <alignment vertical="center"/>
    </xf>
    <xf numFmtId="1" fontId="5" fillId="0" borderId="3" xfId="0" applyNumberFormat="1" applyFont="1" applyBorder="1" applyAlignment="1" applyProtection="1">
      <alignment horizontal="center" vertical="top"/>
      <protection locked="0"/>
    </xf>
    <xf numFmtId="0" fontId="5" fillId="0" borderId="3" xfId="0" applyFont="1" applyBorder="1" applyAlignment="1">
      <alignment horizontal="left" vertical="top" wrapText="1"/>
    </xf>
    <xf numFmtId="0" fontId="32" fillId="0" borderId="0" xfId="0" applyFont="1" applyAlignment="1">
      <alignment vertical="top"/>
    </xf>
    <xf numFmtId="164" fontId="5" fillId="0" borderId="18" xfId="8" applyFont="1" applyFill="1" applyBorder="1" applyAlignment="1" applyProtection="1">
      <alignment horizontal="right" vertical="top"/>
      <protection locked="0"/>
    </xf>
    <xf numFmtId="0" fontId="2" fillId="0" borderId="3" xfId="0" applyFont="1" applyBorder="1" applyAlignment="1">
      <alignment vertical="top" wrapText="1"/>
    </xf>
    <xf numFmtId="43" fontId="5" fillId="0" borderId="17" xfId="6" applyFont="1" applyFill="1" applyBorder="1" applyAlignment="1" applyProtection="1">
      <alignment horizontal="right" vertical="top"/>
      <protection locked="0"/>
    </xf>
    <xf numFmtId="0" fontId="5" fillId="4" borderId="3" xfId="0" applyFont="1" applyFill="1" applyBorder="1" applyAlignment="1">
      <alignment horizontal="center" vertical="top"/>
    </xf>
    <xf numFmtId="0" fontId="5" fillId="4" borderId="3" xfId="0" applyFont="1" applyFill="1" applyBorder="1" applyAlignment="1" applyProtection="1">
      <alignment horizontal="center" vertical="top"/>
      <protection locked="0"/>
    </xf>
    <xf numFmtId="43" fontId="5" fillId="4" borderId="7" xfId="6" applyFont="1" applyFill="1" applyBorder="1" applyAlignment="1" applyProtection="1">
      <alignment horizontal="right" vertical="top"/>
      <protection locked="0"/>
    </xf>
    <xf numFmtId="0" fontId="38" fillId="0" borderId="3" xfId="0" applyFont="1" applyBorder="1" applyAlignment="1" applyProtection="1">
      <alignment horizontal="center" vertical="top"/>
      <protection locked="0"/>
    </xf>
    <xf numFmtId="164" fontId="5" fillId="0" borderId="19" xfId="8" applyFont="1" applyFill="1" applyBorder="1" applyAlignment="1" applyProtection="1">
      <alignment horizontal="right" vertical="top"/>
      <protection locked="0"/>
    </xf>
    <xf numFmtId="43" fontId="5" fillId="0" borderId="6" xfId="6" applyFont="1" applyBorder="1" applyAlignment="1" applyProtection="1">
      <alignment horizontal="right" vertical="top"/>
      <protection locked="0"/>
    </xf>
    <xf numFmtId="0" fontId="4" fillId="0" borderId="3" xfId="0" applyFont="1" applyBorder="1" applyAlignment="1">
      <alignment vertical="top"/>
    </xf>
    <xf numFmtId="167" fontId="5" fillId="0" borderId="16" xfId="6" applyNumberFormat="1" applyFont="1" applyBorder="1" applyAlignment="1" applyProtection="1">
      <alignment horizontal="right" vertical="top"/>
      <protection locked="0"/>
    </xf>
    <xf numFmtId="164" fontId="5" fillId="0" borderId="17" xfId="8" applyFont="1" applyBorder="1" applyAlignment="1" applyProtection="1">
      <alignment horizontal="right" vertical="top"/>
      <protection locked="0"/>
    </xf>
    <xf numFmtId="0" fontId="5" fillId="0" borderId="3" xfId="0" applyFont="1" applyBorder="1" applyAlignment="1" applyProtection="1">
      <alignment vertical="top" wrapText="1"/>
      <protection locked="0"/>
    </xf>
    <xf numFmtId="167" fontId="5" fillId="0" borderId="20" xfId="6" applyNumberFormat="1" applyFont="1" applyBorder="1" applyAlignment="1" applyProtection="1">
      <alignment horizontal="right" vertical="top"/>
      <protection locked="0"/>
    </xf>
    <xf numFmtId="168" fontId="5" fillId="0" borderId="6" xfId="6" applyNumberFormat="1" applyFont="1" applyBorder="1" applyAlignment="1" applyProtection="1">
      <alignment horizontal="right" vertical="top"/>
      <protection locked="0"/>
    </xf>
    <xf numFmtId="168" fontId="5" fillId="0" borderId="8" xfId="6" applyNumberFormat="1" applyFont="1" applyBorder="1" applyAlignment="1" applyProtection="1">
      <alignment horizontal="right" vertical="top"/>
      <protection locked="0"/>
    </xf>
    <xf numFmtId="0" fontId="36" fillId="0" borderId="3" xfId="11" applyFont="1" applyBorder="1" applyAlignment="1">
      <alignment vertical="top"/>
    </xf>
    <xf numFmtId="0" fontId="36" fillId="0" borderId="3" xfId="8" applyNumberFormat="1" applyFont="1" applyBorder="1" applyAlignment="1" applyProtection="1">
      <alignment horizontal="center" vertical="top" wrapText="1"/>
      <protection locked="0"/>
    </xf>
    <xf numFmtId="0" fontId="5" fillId="0" borderId="3" xfId="11" applyFont="1" applyBorder="1" applyAlignment="1">
      <alignment vertical="top"/>
    </xf>
    <xf numFmtId="168" fontId="5" fillId="0" borderId="17" xfId="6" applyNumberFormat="1" applyFont="1" applyBorder="1" applyAlignment="1" applyProtection="1">
      <alignment horizontal="right" vertical="top"/>
      <protection locked="0"/>
    </xf>
    <xf numFmtId="168" fontId="5" fillId="0" borderId="19" xfId="6" applyNumberFormat="1" applyFont="1" applyBorder="1" applyAlignment="1" applyProtection="1">
      <alignment horizontal="right" vertical="top"/>
      <protection locked="0"/>
    </xf>
    <xf numFmtId="0" fontId="2" fillId="0" borderId="3" xfId="0" applyFont="1" applyBorder="1" applyAlignment="1">
      <alignment horizontal="right" vertical="top"/>
    </xf>
    <xf numFmtId="0" fontId="2" fillId="0" borderId="16" xfId="0" applyFont="1" applyBorder="1" applyAlignment="1" applyProtection="1">
      <alignment horizontal="right" vertical="top"/>
      <protection locked="0"/>
    </xf>
    <xf numFmtId="43" fontId="2" fillId="0" borderId="17" xfId="6" applyFont="1" applyBorder="1" applyAlignment="1" applyProtection="1">
      <alignment horizontal="right" vertical="top"/>
      <protection locked="0"/>
    </xf>
    <xf numFmtId="0" fontId="5" fillId="0" borderId="9" xfId="0" applyFont="1" applyBorder="1" applyAlignment="1">
      <alignment vertical="top"/>
    </xf>
    <xf numFmtId="43" fontId="5" fillId="0" borderId="21" xfId="6" applyFont="1" applyBorder="1" applyAlignment="1" applyProtection="1">
      <alignment horizontal="right" vertical="top"/>
      <protection locked="0"/>
    </xf>
    <xf numFmtId="43" fontId="5" fillId="0" borderId="12" xfId="6" applyFont="1" applyBorder="1" applyAlignment="1" applyProtection="1">
      <alignment horizontal="right" vertical="top"/>
      <protection locked="0"/>
    </xf>
    <xf numFmtId="0" fontId="5" fillId="0" borderId="5" xfId="0" applyFont="1" applyBorder="1" applyAlignment="1">
      <alignment horizontal="center" vertical="top"/>
    </xf>
    <xf numFmtId="43" fontId="5" fillId="0" borderId="5" xfId="6" applyFont="1" applyBorder="1" applyAlignment="1" applyProtection="1">
      <alignment horizontal="right" vertical="top"/>
    </xf>
    <xf numFmtId="0" fontId="21" fillId="0" borderId="0" xfId="0" applyFont="1" applyAlignment="1">
      <alignment vertical="top"/>
    </xf>
    <xf numFmtId="164" fontId="21" fillId="0" borderId="0" xfId="8" applyFont="1" applyAlignment="1" applyProtection="1">
      <alignment horizontal="right" vertical="top"/>
    </xf>
    <xf numFmtId="0" fontId="6" fillId="4" borderId="3" xfId="4" applyFont="1" applyFill="1" applyBorder="1" applyAlignment="1">
      <alignment horizontal="center" vertical="top"/>
    </xf>
    <xf numFmtId="0" fontId="6" fillId="4" borderId="7" xfId="4" applyFont="1" applyFill="1" applyBorder="1" applyAlignment="1">
      <alignment vertical="top"/>
    </xf>
    <xf numFmtId="0" fontId="6" fillId="4" borderId="0" xfId="4" applyFont="1" applyFill="1" applyAlignment="1">
      <alignment vertical="top"/>
    </xf>
    <xf numFmtId="0" fontId="6" fillId="4" borderId="8" xfId="4" applyFont="1" applyFill="1" applyBorder="1" applyAlignment="1">
      <alignment vertical="top" wrapText="1"/>
    </xf>
    <xf numFmtId="3" fontId="6" fillId="4" borderId="3" xfId="4" applyNumberFormat="1" applyFont="1" applyFill="1" applyBorder="1" applyAlignment="1" applyProtection="1">
      <alignment horizontal="right" vertical="top"/>
      <protection locked="0"/>
    </xf>
    <xf numFmtId="0" fontId="6" fillId="4" borderId="3" xfId="4" applyFont="1" applyFill="1" applyBorder="1" applyAlignment="1" applyProtection="1">
      <alignment horizontal="center" vertical="top"/>
      <protection locked="0"/>
    </xf>
    <xf numFmtId="43" fontId="6" fillId="4" borderId="3" xfId="1" applyFont="1" applyFill="1" applyBorder="1" applyAlignment="1" applyProtection="1">
      <alignment horizontal="right" vertical="top"/>
      <protection locked="0"/>
    </xf>
    <xf numFmtId="4" fontId="6" fillId="4" borderId="3" xfId="1" applyNumberFormat="1" applyFont="1" applyFill="1" applyBorder="1" applyAlignment="1" applyProtection="1">
      <alignment horizontal="right" vertical="top"/>
      <protection locked="0"/>
    </xf>
    <xf numFmtId="0" fontId="6" fillId="4" borderId="3" xfId="0" applyFont="1" applyFill="1" applyBorder="1" applyAlignment="1" applyProtection="1">
      <alignment horizontal="left" vertical="top" wrapText="1"/>
      <protection locked="0"/>
    </xf>
    <xf numFmtId="3" fontId="6" fillId="4" borderId="3" xfId="4" applyNumberFormat="1" applyFont="1" applyFill="1" applyBorder="1" applyAlignment="1">
      <alignment horizontal="right" vertical="top"/>
    </xf>
    <xf numFmtId="43" fontId="6" fillId="4" borderId="3" xfId="1" applyFont="1" applyFill="1" applyBorder="1" applyAlignment="1" applyProtection="1">
      <alignment horizontal="right" vertical="top"/>
    </xf>
    <xf numFmtId="4" fontId="6" fillId="4" borderId="3" xfId="1" applyNumberFormat="1" applyFont="1" applyFill="1" applyBorder="1" applyAlignment="1" applyProtection="1">
      <alignment horizontal="right" vertical="top"/>
    </xf>
    <xf numFmtId="40" fontId="6" fillId="4" borderId="3" xfId="1" applyNumberFormat="1" applyFont="1" applyFill="1" applyBorder="1" applyAlignment="1" applyProtection="1">
      <alignment horizontal="right" vertical="top"/>
    </xf>
    <xf numFmtId="43" fontId="6" fillId="4" borderId="0" xfId="1" applyFont="1" applyFill="1" applyAlignment="1" applyProtection="1">
      <alignment vertical="top"/>
    </xf>
    <xf numFmtId="0" fontId="6" fillId="4" borderId="3" xfId="4" applyFont="1" applyFill="1" applyBorder="1" applyAlignment="1">
      <alignment horizontal="center" vertical="top" wrapText="1"/>
    </xf>
    <xf numFmtId="0" fontId="33" fillId="4" borderId="7" xfId="0" applyFont="1" applyFill="1" applyBorder="1" applyAlignment="1">
      <alignment horizontal="center" vertical="center"/>
    </xf>
    <xf numFmtId="0" fontId="33" fillId="4" borderId="0" xfId="0" applyFont="1" applyFill="1" applyAlignment="1">
      <alignment horizontal="center" vertical="center"/>
    </xf>
    <xf numFmtId="0" fontId="33" fillId="4" borderId="8" xfId="0" applyFont="1" applyFill="1" applyBorder="1" applyAlignment="1">
      <alignment horizontal="center" vertical="center"/>
    </xf>
    <xf numFmtId="166" fontId="10" fillId="2" borderId="1" xfId="5" applyNumberFormat="1" applyFont="1" applyFill="1" applyBorder="1" applyAlignment="1" applyProtection="1">
      <alignment horizontal="center" vertical="top" wrapText="1"/>
    </xf>
    <xf numFmtId="166" fontId="10" fillId="2" borderId="2" xfId="5" applyNumberFormat="1" applyFont="1" applyFill="1" applyBorder="1" applyAlignment="1" applyProtection="1">
      <alignment horizontal="center" vertical="top" wrapText="1"/>
    </xf>
    <xf numFmtId="0" fontId="10" fillId="2" borderId="1" xfId="4" applyFont="1" applyFill="1" applyBorder="1" applyAlignment="1">
      <alignment horizontal="center" vertical="top" wrapText="1"/>
    </xf>
    <xf numFmtId="0" fontId="10" fillId="2" borderId="2" xfId="4" applyFont="1" applyFill="1" applyBorder="1" applyAlignment="1">
      <alignment horizontal="center" vertical="top" wrapText="1"/>
    </xf>
    <xf numFmtId="43" fontId="10" fillId="2" borderId="1" xfId="1" applyFont="1" applyFill="1" applyBorder="1" applyAlignment="1" applyProtection="1">
      <alignment horizontal="center" vertical="top" wrapText="1"/>
    </xf>
    <xf numFmtId="43" fontId="10" fillId="2" borderId="2" xfId="1" applyFont="1" applyFill="1" applyBorder="1" applyAlignment="1" applyProtection="1">
      <alignment horizontal="center" vertical="top" wrapText="1"/>
    </xf>
    <xf numFmtId="4" fontId="10" fillId="2" borderId="1" xfId="1" applyNumberFormat="1" applyFont="1" applyFill="1" applyBorder="1" applyAlignment="1" applyProtection="1">
      <alignment horizontal="center" vertical="top" wrapText="1"/>
    </xf>
    <xf numFmtId="4" fontId="10" fillId="2" borderId="2" xfId="1" applyNumberFormat="1" applyFont="1" applyFill="1" applyBorder="1" applyAlignment="1" applyProtection="1">
      <alignment horizontal="center" vertical="top" wrapText="1"/>
    </xf>
    <xf numFmtId="40" fontId="10" fillId="2" borderId="1" xfId="1" applyNumberFormat="1" applyFont="1" applyFill="1" applyBorder="1" applyAlignment="1" applyProtection="1">
      <alignment horizontal="center" vertical="top" wrapText="1"/>
    </xf>
    <xf numFmtId="40" fontId="10" fillId="2" borderId="2" xfId="1" applyNumberFormat="1" applyFont="1" applyFill="1" applyBorder="1" applyAlignment="1" applyProtection="1">
      <alignment horizontal="center" vertical="top" wrapText="1"/>
    </xf>
    <xf numFmtId="0" fontId="27" fillId="4" borderId="7" xfId="0" applyFont="1" applyFill="1" applyBorder="1" applyAlignment="1">
      <alignment horizontal="center"/>
    </xf>
    <xf numFmtId="0" fontId="27" fillId="4" borderId="0" xfId="0" applyFont="1" applyFill="1" applyAlignment="1">
      <alignment horizontal="center"/>
    </xf>
    <xf numFmtId="0" fontId="27" fillId="4" borderId="8" xfId="0" applyFont="1" applyFill="1" applyBorder="1" applyAlignment="1">
      <alignment horizontal="center"/>
    </xf>
    <xf numFmtId="3" fontId="19" fillId="5" borderId="1" xfId="8" applyNumberFormat="1" applyFont="1" applyFill="1" applyBorder="1" applyAlignment="1" applyProtection="1">
      <alignment horizontal="center" vertical="top" wrapText="1"/>
      <protection locked="0"/>
    </xf>
    <xf numFmtId="3" fontId="19" fillId="5" borderId="3" xfId="8" applyNumberFormat="1" applyFont="1" applyFill="1" applyBorder="1" applyAlignment="1" applyProtection="1">
      <alignment horizontal="center" vertical="top" wrapText="1"/>
      <protection locked="0"/>
    </xf>
    <xf numFmtId="3" fontId="19" fillId="5" borderId="9" xfId="8" applyNumberFormat="1" applyFont="1" applyFill="1" applyBorder="1" applyAlignment="1" applyProtection="1">
      <alignment horizontal="center" vertical="top" wrapText="1"/>
      <protection locked="0"/>
    </xf>
    <xf numFmtId="0" fontId="19" fillId="5" borderId="1" xfId="7" applyFont="1" applyFill="1" applyBorder="1" applyAlignment="1" applyProtection="1">
      <alignment horizontal="center" vertical="top" wrapText="1"/>
      <protection locked="0"/>
    </xf>
    <xf numFmtId="0" fontId="19" fillId="5" borderId="3" xfId="7" applyFont="1" applyFill="1" applyBorder="1" applyAlignment="1" applyProtection="1">
      <alignment horizontal="center" vertical="top" wrapText="1"/>
      <protection locked="0"/>
    </xf>
    <xf numFmtId="0" fontId="19" fillId="5" borderId="9" xfId="7" applyFont="1" applyFill="1" applyBorder="1" applyAlignment="1" applyProtection="1">
      <alignment horizontal="center" vertical="top" wrapText="1"/>
      <protection locked="0"/>
    </xf>
    <xf numFmtId="165" fontId="16" fillId="4" borderId="0" xfId="3" applyNumberFormat="1" applyFont="1" applyFill="1" applyAlignment="1">
      <alignment horizontal="left" vertical="center"/>
    </xf>
    <xf numFmtId="0" fontId="18" fillId="5" borderId="1" xfId="7" applyFont="1" applyFill="1" applyBorder="1" applyAlignment="1">
      <alignment horizontal="center" vertical="top" wrapText="1"/>
    </xf>
    <xf numFmtId="0" fontId="18" fillId="5" borderId="2" xfId="7" applyFont="1" applyFill="1" applyBorder="1" applyAlignment="1">
      <alignment horizontal="center" vertical="top" wrapText="1"/>
    </xf>
    <xf numFmtId="0" fontId="19" fillId="5" borderId="1" xfId="7" applyFont="1" applyFill="1" applyBorder="1" applyAlignment="1">
      <alignment horizontal="center" vertical="top" wrapText="1"/>
    </xf>
    <xf numFmtId="0" fontId="19" fillId="5" borderId="3" xfId="7" applyFont="1" applyFill="1" applyBorder="1" applyAlignment="1">
      <alignment horizontal="center" vertical="top" wrapText="1"/>
    </xf>
    <xf numFmtId="0" fontId="19" fillId="5" borderId="9" xfId="7" applyFont="1" applyFill="1" applyBorder="1" applyAlignment="1">
      <alignment horizontal="center" vertical="top" wrapText="1"/>
    </xf>
    <xf numFmtId="166" fontId="19" fillId="5" borderId="1" xfId="9" applyNumberFormat="1" applyFont="1" applyFill="1" applyBorder="1" applyAlignment="1" applyProtection="1">
      <alignment horizontal="center" vertical="top" wrapText="1"/>
      <protection locked="0"/>
    </xf>
    <xf numFmtId="166" fontId="19" fillId="5" borderId="3" xfId="9" applyNumberFormat="1" applyFont="1" applyFill="1" applyBorder="1" applyAlignment="1" applyProtection="1">
      <alignment horizontal="center" vertical="top" wrapText="1"/>
      <protection locked="0"/>
    </xf>
    <xf numFmtId="166" fontId="19" fillId="5" borderId="9" xfId="9" applyNumberFormat="1" applyFont="1" applyFill="1" applyBorder="1" applyAlignment="1" applyProtection="1">
      <alignment horizontal="center" vertical="top" wrapText="1"/>
      <protection locked="0"/>
    </xf>
    <xf numFmtId="0" fontId="2" fillId="4" borderId="0" xfId="0" applyFont="1" applyFill="1" applyAlignment="1">
      <alignment horizontal="left" vertical="center"/>
    </xf>
    <xf numFmtId="49" fontId="4" fillId="4" borderId="0" xfId="3" applyNumberFormat="1" applyFont="1" applyFill="1" applyAlignment="1">
      <alignment horizontal="left"/>
    </xf>
    <xf numFmtId="3" fontId="6" fillId="4" borderId="0" xfId="4" applyNumberFormat="1" applyFont="1" applyFill="1" applyAlignment="1">
      <alignment horizontal="right" vertical="top"/>
    </xf>
    <xf numFmtId="0" fontId="6" fillId="4" borderId="0" xfId="4" applyFont="1" applyFill="1" applyAlignment="1">
      <alignment horizontal="center" vertical="top"/>
    </xf>
    <xf numFmtId="43" fontId="6" fillId="4" borderId="0" xfId="1" applyFont="1" applyFill="1" applyAlignment="1" applyProtection="1">
      <alignment horizontal="right" vertical="top"/>
      <protection locked="0"/>
    </xf>
    <xf numFmtId="4" fontId="6" fillId="4" borderId="0" xfId="1" applyNumberFormat="1" applyFont="1" applyFill="1" applyAlignment="1" applyProtection="1">
      <alignment vertical="top"/>
    </xf>
    <xf numFmtId="0" fontId="6" fillId="4" borderId="0" xfId="4" applyFont="1" applyFill="1" applyAlignment="1">
      <alignment horizontal="left" vertical="top"/>
    </xf>
    <xf numFmtId="165" fontId="4" fillId="4" borderId="0" xfId="3" applyNumberFormat="1" applyFont="1" applyFill="1" applyAlignment="1">
      <alignment horizontal="left" vertical="center"/>
    </xf>
    <xf numFmtId="165" fontId="2" fillId="4" borderId="0" xfId="3" applyNumberFormat="1" applyFont="1" applyFill="1" applyAlignment="1">
      <alignment horizontal="left" vertical="center"/>
    </xf>
    <xf numFmtId="49" fontId="4" fillId="4" borderId="0" xfId="3" applyNumberFormat="1" applyFont="1" applyFill="1" applyAlignment="1">
      <alignment vertical="center"/>
    </xf>
    <xf numFmtId="49" fontId="4" fillId="4" borderId="0" xfId="3" applyNumberFormat="1" applyFont="1" applyFill="1"/>
    <xf numFmtId="49" fontId="7" fillId="4" borderId="0" xfId="3" applyNumberFormat="1" applyFont="1" applyFill="1" applyAlignment="1">
      <alignment vertical="center"/>
    </xf>
    <xf numFmtId="49" fontId="8" fillId="4" borderId="0" xfId="3" applyNumberFormat="1" applyFont="1" applyFill="1"/>
    <xf numFmtId="0" fontId="9" fillId="4" borderId="0" xfId="4" applyFont="1" applyFill="1" applyAlignment="1">
      <alignment vertical="top"/>
    </xf>
    <xf numFmtId="0" fontId="10" fillId="4" borderId="1" xfId="4" applyFont="1" applyFill="1" applyBorder="1" applyAlignment="1">
      <alignment horizontal="center" vertical="top" wrapText="1"/>
    </xf>
    <xf numFmtId="166" fontId="10" fillId="4" borderId="1" xfId="5" applyNumberFormat="1" applyFont="1" applyFill="1" applyBorder="1" applyAlignment="1" applyProtection="1">
      <alignment horizontal="center" vertical="top" wrapText="1"/>
      <protection locked="0"/>
    </xf>
    <xf numFmtId="0" fontId="10" fillId="4" borderId="1" xfId="4" applyFont="1" applyFill="1" applyBorder="1" applyAlignment="1" applyProtection="1">
      <alignment horizontal="center" vertical="top" wrapText="1"/>
      <protection locked="0"/>
    </xf>
    <xf numFmtId="43" fontId="10" fillId="4" borderId="1" xfId="1" applyFont="1" applyFill="1" applyBorder="1" applyAlignment="1" applyProtection="1">
      <alignment horizontal="center" vertical="top" wrapText="1"/>
      <protection locked="0"/>
    </xf>
    <xf numFmtId="4" fontId="10" fillId="4" borderId="1" xfId="1" applyNumberFormat="1" applyFont="1" applyFill="1" applyBorder="1" applyAlignment="1" applyProtection="1">
      <alignment horizontal="center" vertical="top" wrapText="1"/>
      <protection locked="0"/>
    </xf>
    <xf numFmtId="0" fontId="10" fillId="4" borderId="2" xfId="4" applyFont="1" applyFill="1" applyBorder="1" applyAlignment="1">
      <alignment horizontal="center" vertical="top" wrapText="1"/>
    </xf>
    <xf numFmtId="166" fontId="10" fillId="4" borderId="2" xfId="5" applyNumberFormat="1" applyFont="1" applyFill="1" applyBorder="1" applyAlignment="1" applyProtection="1">
      <alignment horizontal="center" vertical="top" wrapText="1"/>
      <protection locked="0"/>
    </xf>
    <xf numFmtId="0" fontId="10" fillId="4" borderId="2" xfId="4" applyFont="1" applyFill="1" applyBorder="1" applyAlignment="1" applyProtection="1">
      <alignment horizontal="center" vertical="top" wrapText="1"/>
      <protection locked="0"/>
    </xf>
    <xf numFmtId="43" fontId="10" fillId="4" borderId="2" xfId="1" applyFont="1" applyFill="1" applyBorder="1" applyAlignment="1" applyProtection="1">
      <alignment horizontal="center" vertical="top" wrapText="1"/>
      <protection locked="0"/>
    </xf>
    <xf numFmtId="4" fontId="10" fillId="4" borderId="2" xfId="1" applyNumberFormat="1" applyFont="1" applyFill="1" applyBorder="1" applyAlignment="1" applyProtection="1">
      <alignment horizontal="center" vertical="top" wrapText="1"/>
      <protection locked="0"/>
    </xf>
    <xf numFmtId="0" fontId="6" fillId="4" borderId="3" xfId="0" applyFont="1" applyFill="1" applyBorder="1" applyAlignment="1">
      <alignment vertical="top" wrapText="1"/>
    </xf>
    <xf numFmtId="0" fontId="6" fillId="4" borderId="4" xfId="0" applyFont="1" applyFill="1" applyBorder="1" applyAlignment="1">
      <alignment vertical="top" wrapText="1"/>
    </xf>
    <xf numFmtId="0" fontId="6" fillId="4" borderId="5" xfId="0" applyFont="1" applyFill="1" applyBorder="1" applyAlignment="1">
      <alignment vertical="top" wrapText="1"/>
    </xf>
    <xf numFmtId="0" fontId="6" fillId="4" borderId="6" xfId="0" applyFont="1" applyFill="1" applyBorder="1" applyAlignment="1">
      <alignment vertical="top" wrapText="1"/>
    </xf>
    <xf numFmtId="0" fontId="6" fillId="4" borderId="3" xfId="0" applyFont="1" applyFill="1" applyBorder="1" applyAlignment="1" applyProtection="1">
      <alignment horizontal="right" vertical="top" wrapText="1"/>
      <protection locked="0"/>
    </xf>
    <xf numFmtId="0" fontId="6" fillId="4" borderId="3" xfId="0" applyFont="1" applyFill="1" applyBorder="1" applyAlignment="1" applyProtection="1">
      <alignment horizontal="center" vertical="top" wrapText="1"/>
      <protection locked="0"/>
    </xf>
    <xf numFmtId="43" fontId="6" fillId="4" borderId="3" xfId="1" applyFont="1" applyFill="1" applyBorder="1" applyAlignment="1" applyProtection="1">
      <alignment horizontal="right" vertical="top" wrapText="1"/>
      <protection locked="0"/>
    </xf>
    <xf numFmtId="49" fontId="10" fillId="4" borderId="3" xfId="4" applyNumberFormat="1" applyFont="1" applyFill="1" applyBorder="1" applyAlignment="1">
      <alignment horizontal="center" vertical="top"/>
    </xf>
    <xf numFmtId="0" fontId="4" fillId="4" borderId="7" xfId="4" applyFont="1" applyFill="1" applyBorder="1" applyAlignment="1">
      <alignment vertical="top"/>
    </xf>
    <xf numFmtId="0" fontId="4" fillId="4" borderId="0" xfId="4" applyFont="1" applyFill="1" applyAlignment="1">
      <alignment vertical="top"/>
    </xf>
    <xf numFmtId="0" fontId="6" fillId="4" borderId="8" xfId="4" applyFont="1" applyFill="1" applyBorder="1" applyAlignment="1">
      <alignment vertical="top"/>
    </xf>
    <xf numFmtId="49" fontId="6" fillId="4" borderId="3" xfId="4" applyNumberFormat="1" applyFont="1" applyFill="1" applyBorder="1" applyAlignment="1">
      <alignment horizontal="center" vertical="top"/>
    </xf>
    <xf numFmtId="49" fontId="6" fillId="4" borderId="7" xfId="4" applyNumberFormat="1" applyFont="1" applyFill="1" applyBorder="1" applyAlignment="1">
      <alignment vertical="top"/>
    </xf>
    <xf numFmtId="49" fontId="6" fillId="4" borderId="0" xfId="4" applyNumberFormat="1" applyFont="1" applyFill="1" applyAlignment="1">
      <alignment vertical="top"/>
    </xf>
    <xf numFmtId="0" fontId="6" fillId="4" borderId="8" xfId="4" applyFont="1" applyFill="1" applyBorder="1" applyAlignment="1">
      <alignment horizontal="right" vertical="top" wrapText="1"/>
    </xf>
    <xf numFmtId="0" fontId="11" fillId="4" borderId="0" xfId="4" applyFont="1" applyFill="1" applyAlignment="1">
      <alignment horizontal="left" vertical="top"/>
    </xf>
    <xf numFmtId="166" fontId="6" fillId="4" borderId="3" xfId="1" applyNumberFormat="1" applyFont="1" applyFill="1" applyBorder="1" applyAlignment="1" applyProtection="1">
      <alignment horizontal="right" vertical="top"/>
      <protection locked="0"/>
    </xf>
    <xf numFmtId="0" fontId="6" fillId="4" borderId="3" xfId="0" applyFont="1" applyFill="1" applyBorder="1" applyAlignment="1" applyProtection="1">
      <alignment horizontal="center" vertical="top"/>
      <protection locked="0"/>
    </xf>
    <xf numFmtId="166" fontId="6" fillId="4" borderId="3" xfId="1" applyNumberFormat="1" applyFont="1" applyFill="1" applyBorder="1" applyAlignment="1" applyProtection="1">
      <alignment vertical="top"/>
      <protection locked="0"/>
    </xf>
    <xf numFmtId="0" fontId="11" fillId="4" borderId="0" xfId="4" applyFont="1" applyFill="1" applyAlignment="1">
      <alignment horizontal="left" vertical="top" wrapText="1"/>
    </xf>
    <xf numFmtId="0" fontId="11" fillId="4" borderId="8" xfId="4" applyFont="1" applyFill="1" applyBorder="1" applyAlignment="1">
      <alignment horizontal="left" vertical="top" wrapText="1"/>
    </xf>
    <xf numFmtId="0" fontId="11" fillId="4" borderId="0" xfId="4" applyFont="1" applyFill="1" applyAlignment="1">
      <alignment horizontal="left" vertical="top" wrapText="1"/>
    </xf>
    <xf numFmtId="0" fontId="6" fillId="4" borderId="8" xfId="0" applyFont="1" applyFill="1" applyBorder="1" applyAlignment="1">
      <alignment vertical="top" wrapText="1"/>
    </xf>
    <xf numFmtId="0" fontId="6" fillId="4" borderId="8" xfId="4" applyFont="1" applyFill="1" applyBorder="1" applyAlignment="1">
      <alignment horizontal="left" vertical="top" wrapText="1"/>
    </xf>
    <xf numFmtId="43" fontId="6" fillId="4" borderId="3" xfId="1" applyFont="1" applyFill="1" applyBorder="1" applyAlignment="1" applyProtection="1">
      <alignment vertical="top"/>
      <protection locked="0"/>
    </xf>
    <xf numFmtId="0" fontId="11" fillId="4" borderId="8" xfId="4" applyFont="1" applyFill="1" applyBorder="1" applyAlignment="1">
      <alignment vertical="top" wrapText="1"/>
    </xf>
    <xf numFmtId="0" fontId="6" fillId="4" borderId="9" xfId="4" applyFont="1" applyFill="1" applyBorder="1" applyAlignment="1">
      <alignment horizontal="center" vertical="top"/>
    </xf>
    <xf numFmtId="0" fontId="6" fillId="4" borderId="10" xfId="4" applyFont="1" applyFill="1" applyBorder="1" applyAlignment="1">
      <alignment vertical="top"/>
    </xf>
    <xf numFmtId="0" fontId="11" fillId="4" borderId="11" xfId="4" applyFont="1" applyFill="1" applyBorder="1" applyAlignment="1">
      <alignment horizontal="left" vertical="top"/>
    </xf>
    <xf numFmtId="0" fontId="6" fillId="4" borderId="12" xfId="4" applyFont="1" applyFill="1" applyBorder="1" applyAlignment="1">
      <alignment vertical="top" wrapText="1"/>
    </xf>
    <xf numFmtId="166" fontId="6" fillId="4" borderId="9" xfId="1" applyNumberFormat="1" applyFont="1" applyFill="1" applyBorder="1" applyAlignment="1" applyProtection="1">
      <alignment vertical="top"/>
      <protection locked="0"/>
    </xf>
    <xf numFmtId="0" fontId="6" fillId="4" borderId="9" xfId="0" applyFont="1" applyFill="1" applyBorder="1" applyAlignment="1" applyProtection="1">
      <alignment horizontal="center" vertical="top"/>
      <protection locked="0"/>
    </xf>
    <xf numFmtId="43" fontId="6" fillId="4" borderId="9" xfId="1" applyFont="1" applyFill="1" applyBorder="1" applyAlignment="1" applyProtection="1">
      <alignment horizontal="right" vertical="top"/>
      <protection locked="0"/>
    </xf>
    <xf numFmtId="4" fontId="6" fillId="4" borderId="9" xfId="1" applyNumberFormat="1" applyFont="1" applyFill="1" applyBorder="1" applyAlignment="1" applyProtection="1">
      <alignment horizontal="right" vertical="top"/>
      <protection locked="0"/>
    </xf>
    <xf numFmtId="0" fontId="6" fillId="4" borderId="9" xfId="0" applyFont="1" applyFill="1" applyBorder="1" applyAlignment="1" applyProtection="1">
      <alignment horizontal="left" vertical="top" wrapText="1"/>
      <protection locked="0"/>
    </xf>
    <xf numFmtId="0" fontId="12" fillId="4" borderId="3" xfId="0" applyFont="1" applyFill="1" applyBorder="1" applyAlignment="1" applyProtection="1">
      <alignment horizontal="center" vertical="top"/>
      <protection locked="0"/>
    </xf>
    <xf numFmtId="4" fontId="6" fillId="4" borderId="3" xfId="4" applyNumberFormat="1" applyFont="1" applyFill="1" applyBorder="1" applyAlignment="1" applyProtection="1">
      <alignment horizontal="right" vertical="top"/>
      <protection locked="0"/>
    </xf>
    <xf numFmtId="3" fontId="6" fillId="4" borderId="0" xfId="4" applyNumberFormat="1" applyFont="1" applyFill="1" applyAlignment="1">
      <alignment vertical="top"/>
    </xf>
    <xf numFmtId="0" fontId="6" fillId="4" borderId="12" xfId="4" applyFont="1" applyFill="1" applyBorder="1" applyAlignment="1">
      <alignment horizontal="left" vertical="top" wrapText="1"/>
    </xf>
    <xf numFmtId="166" fontId="6" fillId="4" borderId="0" xfId="4" applyNumberFormat="1" applyFont="1" applyFill="1" applyAlignment="1">
      <alignment horizontal="left" vertical="top"/>
    </xf>
    <xf numFmtId="166" fontId="6" fillId="4" borderId="0" xfId="4" applyNumberFormat="1" applyFont="1" applyFill="1" applyAlignment="1">
      <alignment vertical="top"/>
    </xf>
    <xf numFmtId="4" fontId="6" fillId="4" borderId="0" xfId="4" applyNumberFormat="1" applyFont="1" applyFill="1" applyAlignment="1">
      <alignment vertical="top"/>
    </xf>
    <xf numFmtId="0" fontId="6" fillId="4" borderId="1" xfId="4" applyFont="1" applyFill="1" applyBorder="1" applyAlignment="1">
      <alignment horizontal="center" vertical="top"/>
    </xf>
    <xf numFmtId="0" fontId="6" fillId="4" borderId="4" xfId="4" applyFont="1" applyFill="1" applyBorder="1" applyAlignment="1">
      <alignment vertical="top"/>
    </xf>
    <xf numFmtId="0" fontId="11" fillId="4" borderId="5" xfId="4" applyFont="1" applyFill="1" applyBorder="1" applyAlignment="1">
      <alignment horizontal="left" vertical="top"/>
    </xf>
    <xf numFmtId="0" fontId="6" fillId="4" borderId="6" xfId="4" applyFont="1" applyFill="1" applyBorder="1" applyAlignment="1">
      <alignment horizontal="left" vertical="top" wrapText="1"/>
    </xf>
    <xf numFmtId="166" fontId="6" fillId="4" borderId="1" xfId="1" applyNumberFormat="1" applyFont="1" applyFill="1" applyBorder="1" applyAlignment="1" applyProtection="1">
      <alignment horizontal="right" vertical="top"/>
      <protection locked="0"/>
    </xf>
    <xf numFmtId="0" fontId="6" fillId="4" borderId="1" xfId="0" applyFont="1" applyFill="1" applyBorder="1" applyAlignment="1" applyProtection="1">
      <alignment horizontal="center" vertical="top"/>
      <protection locked="0"/>
    </xf>
    <xf numFmtId="43" fontId="6" fillId="4" borderId="1" xfId="1" applyFont="1" applyFill="1" applyBorder="1" applyAlignment="1" applyProtection="1">
      <alignment horizontal="right" vertical="top"/>
      <protection locked="0"/>
    </xf>
    <xf numFmtId="4" fontId="6" fillId="4" borderId="1" xfId="1" applyNumberFormat="1" applyFont="1" applyFill="1" applyBorder="1" applyAlignment="1" applyProtection="1">
      <alignment horizontal="right" vertical="top"/>
      <protection locked="0"/>
    </xf>
    <xf numFmtId="0" fontId="6" fillId="4" borderId="1" xfId="0" applyFont="1" applyFill="1" applyBorder="1" applyAlignment="1" applyProtection="1">
      <alignment horizontal="left" vertical="top" wrapText="1"/>
      <protection locked="0"/>
    </xf>
    <xf numFmtId="0" fontId="11" fillId="4" borderId="7" xfId="4" applyFont="1" applyFill="1" applyBorder="1" applyAlignment="1">
      <alignment horizontal="left" vertical="top"/>
    </xf>
    <xf numFmtId="0" fontId="6" fillId="4" borderId="3" xfId="0" applyFont="1" applyFill="1" applyBorder="1" applyAlignment="1" applyProtection="1">
      <alignment vertical="top"/>
      <protection locked="0"/>
    </xf>
    <xf numFmtId="0" fontId="6" fillId="4" borderId="3" xfId="4" applyFont="1" applyFill="1" applyBorder="1" applyAlignment="1" applyProtection="1">
      <alignment horizontal="center" vertical="center"/>
      <protection locked="0"/>
    </xf>
    <xf numFmtId="0" fontId="6" fillId="4" borderId="3" xfId="0" applyFont="1" applyFill="1" applyBorder="1" applyAlignment="1" applyProtection="1">
      <alignment vertical="top" wrapText="1"/>
      <protection locked="0"/>
    </xf>
    <xf numFmtId="0" fontId="6" fillId="4" borderId="9" xfId="4" applyFont="1" applyFill="1" applyBorder="1" applyAlignment="1">
      <alignment horizontal="center" vertical="top" wrapText="1"/>
    </xf>
    <xf numFmtId="0" fontId="6" fillId="4" borderId="11" xfId="4" applyFont="1" applyFill="1" applyBorder="1" applyAlignment="1">
      <alignment vertical="top"/>
    </xf>
    <xf numFmtId="3" fontId="6" fillId="4" borderId="9" xfId="4" applyNumberFormat="1" applyFont="1" applyFill="1" applyBorder="1" applyAlignment="1" applyProtection="1">
      <alignment horizontal="right" vertical="top"/>
      <protection locked="0"/>
    </xf>
    <xf numFmtId="0" fontId="6" fillId="4" borderId="9" xfId="4" applyFont="1" applyFill="1" applyBorder="1" applyAlignment="1" applyProtection="1">
      <alignment horizontal="center" vertical="top"/>
      <protection locked="0"/>
    </xf>
    <xf numFmtId="0" fontId="6" fillId="4" borderId="8" xfId="4" quotePrefix="1" applyFont="1" applyFill="1" applyBorder="1" applyAlignment="1">
      <alignment vertical="top" wrapText="1"/>
    </xf>
    <xf numFmtId="0" fontId="6" fillId="4" borderId="8" xfId="0" applyFont="1" applyFill="1" applyBorder="1" applyAlignment="1">
      <alignment vertical="top"/>
    </xf>
    <xf numFmtId="0" fontId="11" fillId="4" borderId="0" xfId="4" applyFont="1" applyFill="1" applyAlignment="1">
      <alignment vertical="top"/>
    </xf>
    <xf numFmtId="0" fontId="11" fillId="4" borderId="11" xfId="4" applyFont="1" applyFill="1" applyBorder="1" applyAlignment="1">
      <alignment vertical="top"/>
    </xf>
    <xf numFmtId="0" fontId="6" fillId="4" borderId="12" xfId="0" applyFont="1" applyFill="1" applyBorder="1" applyAlignment="1">
      <alignment vertical="top" wrapText="1"/>
    </xf>
    <xf numFmtId="0" fontId="6" fillId="4" borderId="9" xfId="0" applyFont="1" applyFill="1" applyBorder="1" applyAlignment="1" applyProtection="1">
      <alignment vertical="top" wrapText="1"/>
      <protection locked="0"/>
    </xf>
    <xf numFmtId="0" fontId="6" fillId="4" borderId="9" xfId="0" applyFont="1" applyFill="1" applyBorder="1" applyAlignment="1" applyProtection="1">
      <alignment horizontal="center" vertical="top" wrapText="1"/>
      <protection locked="0"/>
    </xf>
    <xf numFmtId="0" fontId="11" fillId="4" borderId="7" xfId="4" applyFont="1" applyFill="1" applyBorder="1" applyAlignment="1">
      <alignment horizontal="left" vertical="top" wrapText="1"/>
    </xf>
    <xf numFmtId="3" fontId="6" fillId="4" borderId="3" xfId="4" applyNumberFormat="1" applyFont="1" applyFill="1" applyBorder="1" applyAlignment="1" applyProtection="1">
      <alignment horizontal="right" vertical="top" wrapText="1"/>
      <protection locked="0"/>
    </xf>
    <xf numFmtId="166" fontId="6" fillId="4" borderId="3" xfId="6" applyNumberFormat="1" applyFont="1" applyFill="1" applyBorder="1" applyAlignment="1" applyProtection="1">
      <alignment horizontal="right" vertical="top"/>
      <protection locked="0"/>
    </xf>
    <xf numFmtId="0" fontId="11" fillId="4" borderId="10" xfId="4" applyFont="1" applyFill="1" applyBorder="1" applyAlignment="1">
      <alignment horizontal="left" vertical="top"/>
    </xf>
    <xf numFmtId="0" fontId="11" fillId="4" borderId="0" xfId="3" applyFont="1" applyFill="1" applyAlignment="1">
      <alignment vertical="top"/>
    </xf>
    <xf numFmtId="3" fontId="6" fillId="4" borderId="3" xfId="0" applyNumberFormat="1" applyFont="1" applyFill="1" applyBorder="1" applyAlignment="1" applyProtection="1">
      <alignment vertical="top"/>
      <protection locked="0"/>
    </xf>
    <xf numFmtId="43" fontId="6" fillId="4" borderId="3" xfId="6" applyFont="1" applyFill="1" applyBorder="1" applyAlignment="1" applyProtection="1">
      <alignment horizontal="right" vertical="top"/>
      <protection locked="0"/>
    </xf>
    <xf numFmtId="4" fontId="6" fillId="4" borderId="3" xfId="6" applyNumberFormat="1" applyFont="1" applyFill="1" applyBorder="1" applyAlignment="1" applyProtection="1">
      <alignment horizontal="right" vertical="top"/>
      <protection locked="0"/>
    </xf>
    <xf numFmtId="0" fontId="0" fillId="4" borderId="0" xfId="0" applyFill="1"/>
    <xf numFmtId="0" fontId="6" fillId="4" borderId="12" xfId="4" applyFont="1" applyFill="1" applyBorder="1" applyAlignment="1">
      <alignment horizontal="right" vertical="top" wrapText="1"/>
    </xf>
    <xf numFmtId="0" fontId="11" fillId="4" borderId="8" xfId="4" applyFont="1" applyFill="1" applyBorder="1" applyAlignment="1">
      <alignment vertical="top"/>
    </xf>
    <xf numFmtId="0" fontId="11" fillId="4" borderId="0" xfId="3" applyFont="1" applyFill="1" applyAlignment="1">
      <alignment horizontal="left" vertical="top" wrapText="1"/>
    </xf>
    <xf numFmtId="0" fontId="11" fillId="4" borderId="8" xfId="3" applyFont="1" applyFill="1" applyBorder="1" applyAlignment="1">
      <alignment horizontal="left" vertical="top" wrapText="1"/>
    </xf>
    <xf numFmtId="0" fontId="11" fillId="4" borderId="0" xfId="3" applyFont="1" applyFill="1" applyAlignment="1">
      <alignment horizontal="left" vertical="top" wrapText="1"/>
    </xf>
    <xf numFmtId="0" fontId="6" fillId="4" borderId="8" xfId="3" applyFont="1" applyFill="1" applyBorder="1" applyAlignment="1">
      <alignment horizontal="left" vertical="top" wrapText="1"/>
    </xf>
    <xf numFmtId="0" fontId="6" fillId="4" borderId="0" xfId="4" applyFont="1" applyFill="1" applyAlignment="1">
      <alignment vertical="center"/>
    </xf>
    <xf numFmtId="0" fontId="11" fillId="4" borderId="5" xfId="4" applyFont="1" applyFill="1" applyBorder="1" applyAlignment="1">
      <alignment horizontal="left" vertical="top" wrapText="1"/>
    </xf>
    <xf numFmtId="0" fontId="11" fillId="4" borderId="6" xfId="4" applyFont="1" applyFill="1" applyBorder="1" applyAlignment="1">
      <alignment horizontal="left" vertical="top" wrapText="1"/>
    </xf>
    <xf numFmtId="3" fontId="6" fillId="4" borderId="1" xfId="4" applyNumberFormat="1" applyFont="1" applyFill="1" applyBorder="1" applyAlignment="1" applyProtection="1">
      <alignment horizontal="right" vertical="top"/>
      <protection locked="0"/>
    </xf>
    <xf numFmtId="0" fontId="6" fillId="4" borderId="1" xfId="4" applyFont="1" applyFill="1" applyBorder="1" applyAlignment="1" applyProtection="1">
      <alignment horizontal="center" vertical="top"/>
      <protection locked="0"/>
    </xf>
    <xf numFmtId="0" fontId="4" fillId="4" borderId="0" xfId="4" applyFont="1" applyFill="1" applyAlignment="1">
      <alignment horizontal="left" vertical="top"/>
    </xf>
    <xf numFmtId="0" fontId="10" fillId="4" borderId="7" xfId="4" applyFont="1" applyFill="1" applyBorder="1" applyAlignment="1">
      <alignment vertical="top"/>
    </xf>
    <xf numFmtId="0" fontId="10" fillId="4" borderId="8" xfId="4" applyFont="1" applyFill="1" applyBorder="1" applyAlignment="1">
      <alignment vertical="top"/>
    </xf>
    <xf numFmtId="0" fontId="6" fillId="4" borderId="0" xfId="4" applyFont="1" applyFill="1" applyAlignment="1">
      <alignment horizontal="left" vertical="top" wrapText="1"/>
    </xf>
    <xf numFmtId="0" fontId="6" fillId="4" borderId="8" xfId="4" applyFont="1" applyFill="1" applyBorder="1" applyAlignment="1">
      <alignment horizontal="left" vertical="top" wrapText="1"/>
    </xf>
    <xf numFmtId="0" fontId="6" fillId="4" borderId="8" xfId="0" applyFont="1" applyFill="1" applyBorder="1" applyAlignment="1">
      <alignment wrapText="1"/>
    </xf>
    <xf numFmtId="0" fontId="6" fillId="4" borderId="0" xfId="4" applyFont="1" applyFill="1" applyAlignment="1">
      <alignment horizontal="left" vertical="top" wrapText="1"/>
    </xf>
    <xf numFmtId="0" fontId="6" fillId="4" borderId="12" xfId="4" applyFont="1" applyFill="1" applyBorder="1" applyAlignment="1">
      <alignment vertical="top"/>
    </xf>
    <xf numFmtId="0" fontId="10" fillId="4" borderId="3" xfId="4" applyFont="1" applyFill="1" applyBorder="1" applyAlignment="1">
      <alignment horizontal="center" vertical="top"/>
    </xf>
    <xf numFmtId="3" fontId="10" fillId="4" borderId="3" xfId="4" applyNumberFormat="1" applyFont="1" applyFill="1" applyBorder="1" applyAlignment="1" applyProtection="1">
      <alignment horizontal="right" vertical="top"/>
      <protection locked="0"/>
    </xf>
    <xf numFmtId="0" fontId="10" fillId="4" borderId="3" xfId="4" applyFont="1" applyFill="1" applyBorder="1" applyAlignment="1" applyProtection="1">
      <alignment horizontal="center" vertical="top"/>
      <protection locked="0"/>
    </xf>
    <xf numFmtId="0" fontId="10" fillId="4" borderId="0" xfId="4" applyFont="1" applyFill="1" applyAlignment="1">
      <alignment vertical="top"/>
    </xf>
    <xf numFmtId="0" fontId="6" fillId="4" borderId="8" xfId="0" applyFont="1" applyFill="1" applyBorder="1"/>
    <xf numFmtId="2" fontId="6" fillId="4" borderId="3" xfId="4" applyNumberFormat="1" applyFont="1" applyFill="1" applyBorder="1" applyAlignment="1">
      <alignment horizontal="center" vertical="top"/>
    </xf>
    <xf numFmtId="0" fontId="6" fillId="4" borderId="1" xfId="4" applyFont="1" applyFill="1" applyBorder="1" applyAlignment="1">
      <alignment horizontal="center" vertical="top" wrapText="1"/>
    </xf>
    <xf numFmtId="0" fontId="6" fillId="4" borderId="5" xfId="4" applyFont="1" applyFill="1" applyBorder="1" applyAlignment="1">
      <alignment vertical="top"/>
    </xf>
    <xf numFmtId="0" fontId="11" fillId="4" borderId="0" xfId="0" applyFont="1" applyFill="1" applyAlignment="1">
      <alignment horizontal="left" vertical="top" wrapText="1"/>
    </xf>
    <xf numFmtId="0" fontId="11" fillId="4" borderId="8" xfId="0" applyFont="1" applyFill="1" applyBorder="1" applyAlignment="1">
      <alignment horizontal="left" vertical="top" wrapText="1"/>
    </xf>
    <xf numFmtId="0" fontId="11" fillId="4" borderId="0" xfId="4" applyFont="1" applyFill="1" applyAlignment="1">
      <alignment vertical="top" wrapText="1"/>
    </xf>
    <xf numFmtId="0" fontId="11" fillId="4" borderId="8" xfId="4" applyFont="1" applyFill="1" applyBorder="1" applyAlignment="1">
      <alignment vertical="top" wrapText="1"/>
    </xf>
    <xf numFmtId="0" fontId="6" fillId="4" borderId="7" xfId="4" applyFont="1" applyFill="1" applyBorder="1" applyAlignment="1">
      <alignment horizontal="center" vertical="top"/>
    </xf>
    <xf numFmtId="0" fontId="10" fillId="4" borderId="3" xfId="4" applyFont="1" applyFill="1" applyBorder="1" applyAlignment="1">
      <alignment horizontal="center" vertical="top" wrapText="1"/>
    </xf>
    <xf numFmtId="0" fontId="10" fillId="4" borderId="8" xfId="4" applyFont="1" applyFill="1" applyBorder="1" applyAlignment="1">
      <alignment vertical="top" wrapText="1"/>
    </xf>
    <xf numFmtId="0" fontId="11" fillId="4" borderId="11" xfId="4" applyFont="1" applyFill="1" applyBorder="1" applyAlignment="1">
      <alignment horizontal="left" vertical="top" wrapText="1"/>
    </xf>
    <xf numFmtId="49" fontId="10" fillId="4" borderId="1" xfId="4" applyNumberFormat="1" applyFont="1" applyFill="1" applyBorder="1" applyAlignment="1">
      <alignment horizontal="center" vertical="top"/>
    </xf>
    <xf numFmtId="0" fontId="4" fillId="4" borderId="4" xfId="4" applyFont="1" applyFill="1" applyBorder="1" applyAlignment="1">
      <alignment vertical="top"/>
    </xf>
    <xf numFmtId="0" fontId="4" fillId="4" borderId="5" xfId="4" applyFont="1" applyFill="1" applyBorder="1" applyAlignment="1">
      <alignment vertical="top"/>
    </xf>
    <xf numFmtId="0" fontId="6" fillId="4" borderId="6" xfId="4" applyFont="1" applyFill="1" applyBorder="1" applyAlignment="1">
      <alignment vertical="top"/>
    </xf>
    <xf numFmtId="0" fontId="6" fillId="4" borderId="7" xfId="3" applyFont="1" applyFill="1" applyBorder="1" applyAlignment="1">
      <alignment vertical="top"/>
    </xf>
    <xf numFmtId="0" fontId="11" fillId="4" borderId="8" xfId="3" applyFont="1" applyFill="1" applyBorder="1" applyAlignment="1">
      <alignment vertical="top"/>
    </xf>
    <xf numFmtId="0" fontId="6" fillId="4" borderId="8" xfId="3" applyFont="1" applyFill="1" applyBorder="1" applyAlignment="1">
      <alignment vertical="top" wrapText="1"/>
    </xf>
    <xf numFmtId="0" fontId="4" fillId="4" borderId="0" xfId="3" applyFont="1" applyFill="1" applyAlignment="1">
      <alignment vertical="top"/>
    </xf>
    <xf numFmtId="2" fontId="6" fillId="4" borderId="3" xfId="4" applyNumberFormat="1" applyFont="1" applyFill="1" applyBorder="1" applyAlignment="1" applyProtection="1">
      <alignment horizontal="center" vertical="top"/>
      <protection locked="0"/>
    </xf>
    <xf numFmtId="0" fontId="6" fillId="4" borderId="7" xfId="3" applyFont="1" applyFill="1" applyBorder="1" applyAlignment="1" applyProtection="1">
      <alignment vertical="top"/>
      <protection locked="0"/>
    </xf>
    <xf numFmtId="0" fontId="11" fillId="4" borderId="0" xfId="3" applyFont="1" applyFill="1" applyAlignment="1" applyProtection="1">
      <alignment vertical="top"/>
      <protection locked="0"/>
    </xf>
    <xf numFmtId="0" fontId="6" fillId="4" borderId="8" xfId="4" applyFont="1" applyFill="1" applyBorder="1" applyAlignment="1" applyProtection="1">
      <alignment vertical="top" wrapText="1"/>
      <protection locked="0"/>
    </xf>
    <xf numFmtId="0" fontId="6" fillId="4" borderId="8" xfId="4" applyFont="1" applyFill="1" applyBorder="1" applyAlignment="1" applyProtection="1">
      <alignment horizontal="left" vertical="top" wrapText="1"/>
      <protection locked="0"/>
    </xf>
    <xf numFmtId="0" fontId="11" fillId="4" borderId="7" xfId="4" applyFont="1" applyFill="1" applyBorder="1" applyAlignment="1" applyProtection="1">
      <alignment horizontal="left" vertical="top"/>
      <protection locked="0"/>
    </xf>
    <xf numFmtId="0" fontId="11" fillId="4" borderId="0" xfId="4" applyFont="1" applyFill="1" applyAlignment="1" applyProtection="1">
      <alignment horizontal="left" vertical="top"/>
      <protection locked="0"/>
    </xf>
    <xf numFmtId="0" fontId="6" fillId="4" borderId="8" xfId="0" applyFont="1" applyFill="1" applyBorder="1" applyAlignment="1" applyProtection="1">
      <alignment vertical="top" wrapText="1"/>
      <protection locked="0"/>
    </xf>
    <xf numFmtId="2" fontId="6" fillId="4" borderId="3" xfId="4" applyNumberFormat="1" applyFont="1" applyFill="1" applyBorder="1" applyAlignment="1" applyProtection="1">
      <alignment horizontal="center" vertical="top" wrapText="1"/>
      <protection locked="0"/>
    </xf>
    <xf numFmtId="0" fontId="6" fillId="4" borderId="0" xfId="4" applyFont="1" applyFill="1" applyAlignment="1" applyProtection="1">
      <alignment vertical="top"/>
      <protection locked="0"/>
    </xf>
    <xf numFmtId="4" fontId="6" fillId="4" borderId="9" xfId="4" applyNumberFormat="1" applyFont="1" applyFill="1" applyBorder="1" applyAlignment="1">
      <alignment horizontal="center" vertical="top"/>
    </xf>
    <xf numFmtId="4" fontId="6" fillId="4" borderId="10" xfId="4" applyNumberFormat="1" applyFont="1" applyFill="1" applyBorder="1" applyAlignment="1">
      <alignment vertical="top"/>
    </xf>
    <xf numFmtId="4" fontId="6" fillId="4" borderId="11" xfId="4" applyNumberFormat="1" applyFont="1" applyFill="1" applyBorder="1" applyAlignment="1">
      <alignment vertical="top"/>
    </xf>
    <xf numFmtId="0" fontId="6" fillId="4" borderId="10" xfId="4" applyFont="1" applyFill="1" applyBorder="1" applyAlignment="1">
      <alignment horizontal="center" vertical="center"/>
    </xf>
    <xf numFmtId="0" fontId="6" fillId="4" borderId="11" xfId="4" applyFont="1" applyFill="1" applyBorder="1" applyAlignment="1">
      <alignment vertical="center"/>
    </xf>
    <xf numFmtId="0" fontId="10" fillId="4" borderId="12" xfId="4" applyFont="1" applyFill="1" applyBorder="1" applyAlignment="1">
      <alignment horizontal="right" vertical="center"/>
    </xf>
    <xf numFmtId="3" fontId="6" fillId="4" borderId="9" xfId="4" applyNumberFormat="1" applyFont="1" applyFill="1" applyBorder="1" applyAlignment="1" applyProtection="1">
      <alignment horizontal="right" vertical="center"/>
      <protection locked="0"/>
    </xf>
    <xf numFmtId="0" fontId="6" fillId="4" borderId="9" xfId="4" applyFont="1" applyFill="1" applyBorder="1" applyAlignment="1" applyProtection="1">
      <alignment horizontal="center" vertical="center"/>
      <protection locked="0"/>
    </xf>
    <xf numFmtId="43" fontId="10" fillId="4" borderId="2" xfId="1" applyFont="1" applyFill="1" applyBorder="1" applyAlignment="1" applyProtection="1">
      <alignment horizontal="right" vertical="center"/>
      <protection locked="0"/>
    </xf>
    <xf numFmtId="43" fontId="10" fillId="4" borderId="9" xfId="1" applyFont="1" applyFill="1" applyBorder="1" applyAlignment="1" applyProtection="1">
      <alignment horizontal="right" vertical="center"/>
      <protection locked="0"/>
    </xf>
    <xf numFmtId="4" fontId="6" fillId="4" borderId="12" xfId="4" applyNumberFormat="1" applyFont="1" applyFill="1" applyBorder="1" applyAlignment="1" applyProtection="1">
      <alignment horizontal="left" vertical="center"/>
      <protection locked="0"/>
    </xf>
    <xf numFmtId="2" fontId="10" fillId="4" borderId="5" xfId="4" applyNumberFormat="1" applyFont="1" applyFill="1" applyBorder="1" applyAlignment="1">
      <alignment horizontal="center" vertical="top"/>
    </xf>
    <xf numFmtId="49" fontId="10" fillId="4" borderId="5" xfId="3" applyNumberFormat="1" applyFont="1" applyFill="1" applyBorder="1" applyAlignment="1">
      <alignment horizontal="left" vertical="center"/>
    </xf>
    <xf numFmtId="9" fontId="6" fillId="4" borderId="5" xfId="2" applyFont="1" applyFill="1" applyBorder="1" applyAlignment="1" applyProtection="1">
      <alignment horizontal="right" vertical="top"/>
    </xf>
    <xf numFmtId="164" fontId="6" fillId="4" borderId="5" xfId="5" applyFont="1" applyFill="1" applyBorder="1" applyAlignment="1" applyProtection="1">
      <alignment horizontal="center" vertical="top"/>
    </xf>
    <xf numFmtId="43" fontId="6" fillId="4" borderId="5" xfId="1" applyFont="1" applyFill="1" applyBorder="1" applyAlignment="1" applyProtection="1">
      <alignment horizontal="right" vertical="center"/>
      <protection locked="0"/>
    </xf>
    <xf numFmtId="4" fontId="6" fillId="4" borderId="5" xfId="1" applyNumberFormat="1" applyFont="1" applyFill="1" applyBorder="1" applyAlignment="1" applyProtection="1">
      <alignment horizontal="right" vertical="center"/>
    </xf>
    <xf numFmtId="166" fontId="6" fillId="4" borderId="5" xfId="5" applyNumberFormat="1" applyFont="1" applyFill="1" applyBorder="1" applyAlignment="1" applyProtection="1">
      <alignment horizontal="right" vertical="top"/>
    </xf>
    <xf numFmtId="2" fontId="10" fillId="4" borderId="0" xfId="4" applyNumberFormat="1" applyFont="1" applyFill="1" applyAlignment="1">
      <alignment horizontal="center" vertical="top"/>
    </xf>
    <xf numFmtId="49" fontId="10" fillId="4" borderId="0" xfId="3" applyNumberFormat="1" applyFont="1" applyFill="1" applyAlignment="1">
      <alignment horizontal="left" vertical="center"/>
    </xf>
    <xf numFmtId="9" fontId="6" fillId="4" borderId="0" xfId="2" applyFont="1" applyFill="1" applyBorder="1" applyAlignment="1" applyProtection="1">
      <alignment horizontal="right" vertical="top"/>
    </xf>
    <xf numFmtId="164" fontId="6" fillId="4" borderId="0" xfId="5" applyFont="1" applyFill="1" applyBorder="1" applyAlignment="1" applyProtection="1">
      <alignment horizontal="center" vertical="top"/>
    </xf>
    <xf numFmtId="43" fontId="6" fillId="4" borderId="0" xfId="1" applyFont="1" applyFill="1" applyBorder="1" applyAlignment="1" applyProtection="1">
      <alignment horizontal="right" vertical="center"/>
      <protection locked="0"/>
    </xf>
    <xf numFmtId="4" fontId="6" fillId="4" borderId="0" xfId="1" applyNumberFormat="1" applyFont="1" applyFill="1" applyBorder="1" applyAlignment="1" applyProtection="1">
      <alignment horizontal="right" vertical="center"/>
    </xf>
    <xf numFmtId="166" fontId="6" fillId="4" borderId="0" xfId="5" applyNumberFormat="1" applyFont="1" applyFill="1" applyBorder="1" applyAlignment="1" applyProtection="1">
      <alignment horizontal="right" vertical="top"/>
    </xf>
    <xf numFmtId="0" fontId="6" fillId="4" borderId="0" xfId="4" applyFont="1" applyFill="1" applyAlignment="1">
      <alignment horizontal="center"/>
    </xf>
    <xf numFmtId="0" fontId="6" fillId="4" borderId="0" xfId="4" applyFont="1" applyFill="1"/>
    <xf numFmtId="3" fontId="6" fillId="4" borderId="0" xfId="4" applyNumberFormat="1" applyFont="1" applyFill="1" applyAlignment="1">
      <alignment horizontal="center"/>
    </xf>
    <xf numFmtId="0" fontId="6" fillId="4" borderId="0" xfId="4" applyFont="1" applyFill="1" applyAlignment="1">
      <alignment horizontal="right"/>
    </xf>
    <xf numFmtId="164" fontId="6" fillId="4" borderId="0" xfId="5" applyFont="1" applyFill="1" applyBorder="1" applyAlignment="1" applyProtection="1">
      <alignment horizontal="center"/>
    </xf>
    <xf numFmtId="43" fontId="6" fillId="4" borderId="0" xfId="1" applyFont="1" applyFill="1" applyBorder="1" applyAlignment="1" applyProtection="1">
      <alignment horizontal="right"/>
      <protection locked="0"/>
    </xf>
    <xf numFmtId="4" fontId="6" fillId="4" borderId="0" xfId="1" applyNumberFormat="1" applyFont="1" applyFill="1" applyBorder="1" applyAlignment="1" applyProtection="1"/>
    <xf numFmtId="164" fontId="6" fillId="4" borderId="0" xfId="5" applyFont="1" applyFill="1" applyBorder="1" applyAlignment="1" applyProtection="1">
      <alignment horizontal="left"/>
    </xf>
    <xf numFmtId="3" fontId="6" fillId="4" borderId="0" xfId="4" applyNumberFormat="1" applyFont="1" applyFill="1" applyAlignment="1">
      <alignment horizontal="right"/>
    </xf>
    <xf numFmtId="43" fontId="6" fillId="4" borderId="0" xfId="1" applyFont="1" applyFill="1" applyAlignment="1" applyProtection="1">
      <alignment horizontal="right"/>
      <protection locked="0"/>
    </xf>
    <xf numFmtId="4" fontId="6" fillId="4" borderId="0" xfId="1" applyNumberFormat="1" applyFont="1" applyFill="1" applyAlignment="1" applyProtection="1"/>
    <xf numFmtId="0" fontId="6" fillId="4" borderId="0" xfId="4" applyFont="1" applyFill="1" applyAlignment="1">
      <alignment horizontal="left"/>
    </xf>
  </cellXfs>
  <cellStyles count="12">
    <cellStyle name="Comma" xfId="1" builtinId="3"/>
    <cellStyle name="Comma 10 2" xfId="8" xr:uid="{5EA848E4-1BB6-4CB5-AAD1-8BEE69E89F94}"/>
    <cellStyle name="Comma 11 3" xfId="6" xr:uid="{7702643B-C2C9-4085-871C-977C32160520}"/>
    <cellStyle name="Comma 112" xfId="10" xr:uid="{EF9329E1-C224-4923-ACD4-6C675FDFBD8B}"/>
    <cellStyle name="Comma 2" xfId="5" xr:uid="{CE65BF41-336A-49D5-A94F-191DAC388691}"/>
    <cellStyle name="Comma 2 10 3" xfId="9" xr:uid="{3C2125B7-5101-43EB-B1BB-D65EDC7995C3}"/>
    <cellStyle name="Normal" xfId="0" builtinId="0"/>
    <cellStyle name="Normal 2" xfId="4" xr:uid="{CE2FC0F2-7DF5-4E2A-A5E0-D3748B7B6109}"/>
    <cellStyle name="Normal 2 10" xfId="7" xr:uid="{B038B693-55F9-41F0-AFE3-A1000EB1EC54}"/>
    <cellStyle name="Normal 2 2 2 2 2 6" xfId="11" xr:uid="{EE1B797A-868F-4DF4-9562-5BFBFEDF58BA}"/>
    <cellStyle name="Normal_Section Summary 2" xfId="3" xr:uid="{60D8A23A-E4FA-45FF-B7E6-2505C40717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92074</xdr:colOff>
      <xdr:row>0</xdr:row>
      <xdr:rowOff>81492</xdr:rowOff>
    </xdr:from>
    <xdr:to>
      <xdr:col>5</xdr:col>
      <xdr:colOff>917297</xdr:colOff>
      <xdr:row>2</xdr:row>
      <xdr:rowOff>109981</xdr:rowOff>
    </xdr:to>
    <xdr:pic>
      <xdr:nvPicPr>
        <xdr:cNvPr id="2" name="Picture 1">
          <a:extLst>
            <a:ext uri="{FF2B5EF4-FFF2-40B4-BE49-F238E27FC236}">
              <a16:creationId xmlns:a16="http://schemas.microsoft.com/office/drawing/2014/main" id="{32BFFDED-8131-4069-9A77-FDE730C8AB91}"/>
            </a:ext>
          </a:extLst>
        </xdr:cNvPr>
        <xdr:cNvPicPr>
          <a:picLocks noChangeAspect="1"/>
        </xdr:cNvPicPr>
      </xdr:nvPicPr>
      <xdr:blipFill>
        <a:blip xmlns:r="http://schemas.openxmlformats.org/officeDocument/2006/relationships" r:embed="rId1"/>
        <a:stretch>
          <a:fillRect/>
        </a:stretch>
      </xdr:blipFill>
      <xdr:spPr>
        <a:xfrm>
          <a:off x="5540374" y="81492"/>
          <a:ext cx="2166343" cy="394249"/>
        </a:xfrm>
        <a:prstGeom prst="rect">
          <a:avLst/>
        </a:prstGeom>
      </xdr:spPr>
    </xdr:pic>
    <xdr:clientData/>
  </xdr:twoCellAnchor>
  <xdr:twoCellAnchor editAs="oneCell">
    <xdr:from>
      <xdr:col>3</xdr:col>
      <xdr:colOff>92074</xdr:colOff>
      <xdr:row>0</xdr:row>
      <xdr:rowOff>81492</xdr:rowOff>
    </xdr:from>
    <xdr:to>
      <xdr:col>5</xdr:col>
      <xdr:colOff>961112</xdr:colOff>
      <xdr:row>2</xdr:row>
      <xdr:rowOff>109981</xdr:rowOff>
    </xdr:to>
    <xdr:pic>
      <xdr:nvPicPr>
        <xdr:cNvPr id="3" name="Picture 2">
          <a:extLst>
            <a:ext uri="{FF2B5EF4-FFF2-40B4-BE49-F238E27FC236}">
              <a16:creationId xmlns:a16="http://schemas.microsoft.com/office/drawing/2014/main" id="{79089694-43F0-46B9-A1CB-2E3C2CA701AF}"/>
            </a:ext>
          </a:extLst>
        </xdr:cNvPr>
        <xdr:cNvPicPr>
          <a:picLocks noChangeAspect="1"/>
        </xdr:cNvPicPr>
      </xdr:nvPicPr>
      <xdr:blipFill>
        <a:blip xmlns:r="http://schemas.openxmlformats.org/officeDocument/2006/relationships" r:embed="rId1"/>
        <a:stretch>
          <a:fillRect/>
        </a:stretch>
      </xdr:blipFill>
      <xdr:spPr>
        <a:xfrm>
          <a:off x="5540374" y="81492"/>
          <a:ext cx="2210158" cy="394249"/>
        </a:xfrm>
        <a:prstGeom prst="rect">
          <a:avLst/>
        </a:prstGeom>
      </xdr:spPr>
    </xdr:pic>
    <xdr:clientData/>
  </xdr:twoCellAnchor>
  <xdr:twoCellAnchor editAs="oneCell">
    <xdr:from>
      <xdr:col>3</xdr:col>
      <xdr:colOff>92074</xdr:colOff>
      <xdr:row>0</xdr:row>
      <xdr:rowOff>81492</xdr:rowOff>
    </xdr:from>
    <xdr:to>
      <xdr:col>5</xdr:col>
      <xdr:colOff>961112</xdr:colOff>
      <xdr:row>2</xdr:row>
      <xdr:rowOff>109981</xdr:rowOff>
    </xdr:to>
    <xdr:pic>
      <xdr:nvPicPr>
        <xdr:cNvPr id="4" name="Picture 3">
          <a:extLst>
            <a:ext uri="{FF2B5EF4-FFF2-40B4-BE49-F238E27FC236}">
              <a16:creationId xmlns:a16="http://schemas.microsoft.com/office/drawing/2014/main" id="{FB30C245-7A81-4492-B533-932405A0B37B}"/>
            </a:ext>
          </a:extLst>
        </xdr:cNvPr>
        <xdr:cNvPicPr>
          <a:picLocks noChangeAspect="1"/>
        </xdr:cNvPicPr>
      </xdr:nvPicPr>
      <xdr:blipFill>
        <a:blip xmlns:r="http://schemas.openxmlformats.org/officeDocument/2006/relationships" r:embed="rId1"/>
        <a:stretch>
          <a:fillRect/>
        </a:stretch>
      </xdr:blipFill>
      <xdr:spPr>
        <a:xfrm>
          <a:off x="5540374" y="81492"/>
          <a:ext cx="2210158" cy="394249"/>
        </a:xfrm>
        <a:prstGeom prst="rect">
          <a:avLst/>
        </a:prstGeom>
      </xdr:spPr>
    </xdr:pic>
    <xdr:clientData/>
  </xdr:twoCellAnchor>
  <xdr:twoCellAnchor editAs="oneCell">
    <xdr:from>
      <xdr:col>3</xdr:col>
      <xdr:colOff>92074</xdr:colOff>
      <xdr:row>0</xdr:row>
      <xdr:rowOff>81492</xdr:rowOff>
    </xdr:from>
    <xdr:to>
      <xdr:col>5</xdr:col>
      <xdr:colOff>961112</xdr:colOff>
      <xdr:row>2</xdr:row>
      <xdr:rowOff>109981</xdr:rowOff>
    </xdr:to>
    <xdr:pic>
      <xdr:nvPicPr>
        <xdr:cNvPr id="5" name="Picture 4">
          <a:extLst>
            <a:ext uri="{FF2B5EF4-FFF2-40B4-BE49-F238E27FC236}">
              <a16:creationId xmlns:a16="http://schemas.microsoft.com/office/drawing/2014/main" id="{E958DF33-1083-4C87-B69D-A000D19EF707}"/>
            </a:ext>
          </a:extLst>
        </xdr:cNvPr>
        <xdr:cNvPicPr>
          <a:picLocks noChangeAspect="1"/>
        </xdr:cNvPicPr>
      </xdr:nvPicPr>
      <xdr:blipFill>
        <a:blip xmlns:r="http://schemas.openxmlformats.org/officeDocument/2006/relationships" r:embed="rId1"/>
        <a:stretch>
          <a:fillRect/>
        </a:stretch>
      </xdr:blipFill>
      <xdr:spPr>
        <a:xfrm>
          <a:off x="5540374" y="81492"/>
          <a:ext cx="2210158" cy="394249"/>
        </a:xfrm>
        <a:prstGeom prst="rect">
          <a:avLst/>
        </a:prstGeom>
      </xdr:spPr>
    </xdr:pic>
    <xdr:clientData/>
  </xdr:twoCellAnchor>
  <xdr:twoCellAnchor editAs="oneCell">
    <xdr:from>
      <xdr:col>3</xdr:col>
      <xdr:colOff>92074</xdr:colOff>
      <xdr:row>0</xdr:row>
      <xdr:rowOff>81492</xdr:rowOff>
    </xdr:from>
    <xdr:to>
      <xdr:col>5</xdr:col>
      <xdr:colOff>961112</xdr:colOff>
      <xdr:row>2</xdr:row>
      <xdr:rowOff>109981</xdr:rowOff>
    </xdr:to>
    <xdr:pic>
      <xdr:nvPicPr>
        <xdr:cNvPr id="6" name="Picture 5">
          <a:extLst>
            <a:ext uri="{FF2B5EF4-FFF2-40B4-BE49-F238E27FC236}">
              <a16:creationId xmlns:a16="http://schemas.microsoft.com/office/drawing/2014/main" id="{FAC2B59C-F840-4BAE-BB61-75AA6E7D0849}"/>
            </a:ext>
          </a:extLst>
        </xdr:cNvPr>
        <xdr:cNvPicPr>
          <a:picLocks noChangeAspect="1"/>
        </xdr:cNvPicPr>
      </xdr:nvPicPr>
      <xdr:blipFill>
        <a:blip xmlns:r="http://schemas.openxmlformats.org/officeDocument/2006/relationships" r:embed="rId1"/>
        <a:stretch>
          <a:fillRect/>
        </a:stretch>
      </xdr:blipFill>
      <xdr:spPr>
        <a:xfrm>
          <a:off x="5540374" y="81492"/>
          <a:ext cx="2210158" cy="394249"/>
        </a:xfrm>
        <a:prstGeom prst="rect">
          <a:avLst/>
        </a:prstGeom>
      </xdr:spPr>
    </xdr:pic>
    <xdr:clientData/>
  </xdr:twoCellAnchor>
  <xdr:twoCellAnchor editAs="oneCell">
    <xdr:from>
      <xdr:col>3</xdr:col>
      <xdr:colOff>92074</xdr:colOff>
      <xdr:row>0</xdr:row>
      <xdr:rowOff>81492</xdr:rowOff>
    </xdr:from>
    <xdr:to>
      <xdr:col>5</xdr:col>
      <xdr:colOff>961112</xdr:colOff>
      <xdr:row>2</xdr:row>
      <xdr:rowOff>109981</xdr:rowOff>
    </xdr:to>
    <xdr:pic>
      <xdr:nvPicPr>
        <xdr:cNvPr id="7" name="Picture 6">
          <a:extLst>
            <a:ext uri="{FF2B5EF4-FFF2-40B4-BE49-F238E27FC236}">
              <a16:creationId xmlns:a16="http://schemas.microsoft.com/office/drawing/2014/main" id="{33966AE1-FF65-4F41-B125-927643E4547E}"/>
            </a:ext>
          </a:extLst>
        </xdr:cNvPr>
        <xdr:cNvPicPr>
          <a:picLocks noChangeAspect="1"/>
        </xdr:cNvPicPr>
      </xdr:nvPicPr>
      <xdr:blipFill>
        <a:blip xmlns:r="http://schemas.openxmlformats.org/officeDocument/2006/relationships" r:embed="rId1"/>
        <a:stretch>
          <a:fillRect/>
        </a:stretch>
      </xdr:blipFill>
      <xdr:spPr>
        <a:xfrm>
          <a:off x="5540374" y="81492"/>
          <a:ext cx="2210158" cy="394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42512</xdr:colOff>
      <xdr:row>0</xdr:row>
      <xdr:rowOff>141111</xdr:rowOff>
    </xdr:from>
    <xdr:to>
      <xdr:col>9</xdr:col>
      <xdr:colOff>2309</xdr:colOff>
      <xdr:row>2</xdr:row>
      <xdr:rowOff>73943</xdr:rowOff>
    </xdr:to>
    <xdr:pic>
      <xdr:nvPicPr>
        <xdr:cNvPr id="2" name="Picture 1">
          <a:extLst>
            <a:ext uri="{FF2B5EF4-FFF2-40B4-BE49-F238E27FC236}">
              <a16:creationId xmlns:a16="http://schemas.microsoft.com/office/drawing/2014/main" id="{56C37FF6-91AE-45DE-BC12-64AD01EB43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63652" y="141111"/>
          <a:ext cx="2428677" cy="2985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3742459</xdr:colOff>
      <xdr:row>0</xdr:row>
      <xdr:rowOff>57150</xdr:rowOff>
    </xdr:from>
    <xdr:to>
      <xdr:col>4</xdr:col>
      <xdr:colOff>429586</xdr:colOff>
      <xdr:row>2</xdr:row>
      <xdr:rowOff>131502</xdr:rowOff>
    </xdr:to>
    <xdr:pic>
      <xdr:nvPicPr>
        <xdr:cNvPr id="2" name="Picture 1">
          <a:extLst>
            <a:ext uri="{FF2B5EF4-FFF2-40B4-BE49-F238E27FC236}">
              <a16:creationId xmlns:a16="http://schemas.microsoft.com/office/drawing/2014/main" id="{6263FB6D-094A-41AA-AEC4-6D445003E045}"/>
            </a:ext>
          </a:extLst>
        </xdr:cNvPr>
        <xdr:cNvPicPr>
          <a:picLocks noChangeAspect="1"/>
        </xdr:cNvPicPr>
      </xdr:nvPicPr>
      <xdr:blipFill>
        <a:blip xmlns:r="http://schemas.openxmlformats.org/officeDocument/2006/relationships" r:embed="rId1"/>
        <a:stretch>
          <a:fillRect/>
        </a:stretch>
      </xdr:blipFill>
      <xdr:spPr>
        <a:xfrm>
          <a:off x="4169179" y="57150"/>
          <a:ext cx="2181147" cy="44011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6</xdr:col>
      <xdr:colOff>231320</xdr:colOff>
      <xdr:row>0</xdr:row>
      <xdr:rowOff>82550</xdr:rowOff>
    </xdr:from>
    <xdr:ext cx="2207063" cy="490303"/>
    <xdr:pic>
      <xdr:nvPicPr>
        <xdr:cNvPr id="2" name="Picture 1">
          <a:extLst>
            <a:ext uri="{FF2B5EF4-FFF2-40B4-BE49-F238E27FC236}">
              <a16:creationId xmlns:a16="http://schemas.microsoft.com/office/drawing/2014/main" id="{08D88BD7-EB4A-439C-B830-9ADF5A08297B}"/>
            </a:ext>
          </a:extLst>
        </xdr:cNvPr>
        <xdr:cNvPicPr>
          <a:picLocks noChangeAspect="1"/>
        </xdr:cNvPicPr>
      </xdr:nvPicPr>
      <xdr:blipFill>
        <a:blip xmlns:r="http://schemas.openxmlformats.org/officeDocument/2006/relationships" r:embed="rId1"/>
        <a:stretch>
          <a:fillRect/>
        </a:stretch>
      </xdr:blipFill>
      <xdr:spPr>
        <a:xfrm>
          <a:off x="6053000" y="82550"/>
          <a:ext cx="2207063" cy="49030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Option%201%20-%20NCD%20Carpark%20BoQ%20Rev%2001.xlsx?401225DB" TargetMode="External"/><Relationship Id="rId1" Type="http://schemas.openxmlformats.org/officeDocument/2006/relationships/externalLinkPath" Target="file:///\\401225DB\Option%201%20-%20NCD%20Carpark%20BoQ%20Rev%2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ain Summary (MW)"/>
      <sheetName val="Bill01-Gen Reqts (MW)"/>
      <sheetName val="Bill02-Summary (MW)"/>
      <sheetName val="Bill02-Main Works"/>
      <sheetName val="Bill03-Boreholes"/>
      <sheetName val="Bill04-Daywork"/>
      <sheetName val="Bill05-Provisional Sums"/>
    </sheetNames>
    <sheetDataSet>
      <sheetData sheetId="0"/>
      <sheetData sheetId="1"/>
      <sheetData sheetId="2"/>
      <sheetData sheetId="3"/>
      <sheetData sheetId="4"/>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92AC4-E749-46DE-93CE-404A5965A85F}">
  <dimension ref="A1:F716"/>
  <sheetViews>
    <sheetView topLeftCell="A472" workbookViewId="0">
      <selection activeCell="B101" sqref="B101"/>
    </sheetView>
  </sheetViews>
  <sheetFormatPr defaultColWidth="9.21875" defaultRowHeight="13.8" x14ac:dyDescent="0.3"/>
  <cols>
    <col min="1" max="1" width="8.21875" style="303" customWidth="1"/>
    <col min="2" max="2" width="62" style="303" customWidth="1"/>
    <col min="3" max="3" width="9.21875" style="199"/>
    <col min="4" max="4" width="6.77734375" style="199" bestFit="1" customWidth="1"/>
    <col min="5" max="5" width="13.77734375" style="200" customWidth="1"/>
    <col min="6" max="6" width="16.77734375" style="200" bestFit="1" customWidth="1"/>
    <col min="7" max="16384" width="9.21875" style="201"/>
  </cols>
  <sheetData>
    <row r="1" spans="1:6" ht="12" customHeight="1" x14ac:dyDescent="0.3">
      <c r="A1" s="1" t="s">
        <v>0</v>
      </c>
      <c r="B1" s="198"/>
    </row>
    <row r="2" spans="1:6" ht="12" customHeight="1" x14ac:dyDescent="0.3">
      <c r="A2" s="1" t="s">
        <v>1</v>
      </c>
      <c r="B2" s="198"/>
    </row>
    <row r="3" spans="1:6" ht="12" customHeight="1" x14ac:dyDescent="0.3">
      <c r="A3" s="1" t="s">
        <v>2</v>
      </c>
      <c r="B3" s="198"/>
    </row>
    <row r="4" spans="1:6" ht="12" customHeight="1" x14ac:dyDescent="0.3">
      <c r="A4" s="1" t="s">
        <v>3</v>
      </c>
      <c r="B4" s="198"/>
    </row>
    <row r="5" spans="1:6" ht="12" customHeight="1" x14ac:dyDescent="0.3">
      <c r="A5" s="1" t="s">
        <v>4</v>
      </c>
      <c r="B5" s="198"/>
    </row>
    <row r="6" spans="1:6" ht="12" customHeight="1" x14ac:dyDescent="0.3">
      <c r="A6" s="1"/>
      <c r="B6" s="202"/>
    </row>
    <row r="7" spans="1:6" x14ac:dyDescent="0.3">
      <c r="A7" s="203"/>
      <c r="B7" s="204"/>
      <c r="C7" s="205"/>
      <c r="D7" s="205"/>
      <c r="E7" s="206"/>
      <c r="F7" s="207"/>
    </row>
    <row r="8" spans="1:6" x14ac:dyDescent="0.3">
      <c r="A8" s="208"/>
      <c r="B8" s="209"/>
      <c r="C8" s="210"/>
      <c r="D8" s="210"/>
      <c r="E8" s="211"/>
      <c r="F8" s="212"/>
    </row>
    <row r="9" spans="1:6" x14ac:dyDescent="0.3">
      <c r="A9" s="208"/>
      <c r="B9" s="209"/>
      <c r="C9" s="210"/>
      <c r="D9" s="210"/>
      <c r="E9" s="211"/>
      <c r="F9" s="212"/>
    </row>
    <row r="10" spans="1:6" x14ac:dyDescent="0.3">
      <c r="A10" s="208"/>
      <c r="B10" s="209"/>
      <c r="C10" s="210"/>
      <c r="D10" s="210"/>
      <c r="E10" s="211"/>
      <c r="F10" s="212"/>
    </row>
    <row r="11" spans="1:6" x14ac:dyDescent="0.3">
      <c r="A11" s="208"/>
      <c r="B11" s="209"/>
      <c r="C11" s="210"/>
      <c r="D11" s="210"/>
      <c r="E11" s="211"/>
      <c r="F11" s="212"/>
    </row>
    <row r="12" spans="1:6" x14ac:dyDescent="0.3">
      <c r="A12" s="208"/>
      <c r="B12" s="209"/>
      <c r="C12" s="210"/>
      <c r="D12" s="210"/>
      <c r="E12" s="211"/>
      <c r="F12" s="212"/>
    </row>
    <row r="13" spans="1:6" x14ac:dyDescent="0.3">
      <c r="A13" s="208"/>
      <c r="B13" s="209"/>
      <c r="C13" s="210"/>
      <c r="D13" s="210"/>
      <c r="E13" s="211"/>
      <c r="F13" s="212"/>
    </row>
    <row r="14" spans="1:6" x14ac:dyDescent="0.3">
      <c r="A14" s="208"/>
      <c r="B14" s="209"/>
      <c r="C14" s="210"/>
      <c r="D14" s="210"/>
      <c r="E14" s="211"/>
      <c r="F14" s="212"/>
    </row>
    <row r="15" spans="1:6" x14ac:dyDescent="0.3">
      <c r="A15" s="208"/>
      <c r="B15" s="209"/>
      <c r="C15" s="210"/>
      <c r="D15" s="210"/>
      <c r="E15" s="211"/>
      <c r="F15" s="212"/>
    </row>
    <row r="16" spans="1:6" x14ac:dyDescent="0.3">
      <c r="A16" s="208"/>
      <c r="B16" s="209"/>
      <c r="C16" s="210"/>
      <c r="D16" s="210"/>
      <c r="E16" s="211"/>
      <c r="F16" s="212"/>
    </row>
    <row r="17" spans="1:6" x14ac:dyDescent="0.3">
      <c r="A17" s="208"/>
      <c r="B17" s="209"/>
      <c r="C17" s="210"/>
      <c r="D17" s="210"/>
      <c r="E17" s="211"/>
      <c r="F17" s="212"/>
    </row>
    <row r="18" spans="1:6" x14ac:dyDescent="0.3">
      <c r="A18" s="208"/>
      <c r="B18" s="209"/>
      <c r="C18" s="210"/>
      <c r="D18" s="210"/>
      <c r="E18" s="211"/>
      <c r="F18" s="212"/>
    </row>
    <row r="19" spans="1:6" x14ac:dyDescent="0.3">
      <c r="A19" s="208"/>
      <c r="B19" s="209"/>
      <c r="C19" s="210"/>
      <c r="D19" s="210"/>
      <c r="E19" s="211"/>
      <c r="F19" s="212"/>
    </row>
    <row r="20" spans="1:6" x14ac:dyDescent="0.3">
      <c r="A20" s="208"/>
      <c r="B20" s="209"/>
      <c r="C20" s="210"/>
      <c r="D20" s="210"/>
      <c r="E20" s="211"/>
      <c r="F20" s="212"/>
    </row>
    <row r="21" spans="1:6" x14ac:dyDescent="0.3">
      <c r="A21" s="208"/>
      <c r="B21" s="209"/>
      <c r="C21" s="210"/>
      <c r="D21" s="210"/>
      <c r="E21" s="211"/>
      <c r="F21" s="212"/>
    </row>
    <row r="22" spans="1:6" x14ac:dyDescent="0.3">
      <c r="A22" s="208"/>
      <c r="B22" s="209"/>
      <c r="C22" s="210"/>
      <c r="D22" s="210"/>
      <c r="E22" s="211"/>
      <c r="F22" s="212"/>
    </row>
    <row r="23" spans="1:6" x14ac:dyDescent="0.3">
      <c r="A23" s="208"/>
      <c r="B23" s="209"/>
      <c r="C23" s="210"/>
      <c r="D23" s="210"/>
      <c r="E23" s="211"/>
      <c r="F23" s="212"/>
    </row>
    <row r="24" spans="1:6" x14ac:dyDescent="0.3">
      <c r="A24" s="208"/>
      <c r="B24" s="209"/>
      <c r="C24" s="210"/>
      <c r="D24" s="210"/>
      <c r="E24" s="211"/>
      <c r="F24" s="212"/>
    </row>
    <row r="25" spans="1:6" x14ac:dyDescent="0.3">
      <c r="A25" s="208"/>
      <c r="B25" s="209"/>
      <c r="C25" s="210"/>
      <c r="D25" s="210"/>
      <c r="E25" s="211"/>
      <c r="F25" s="212"/>
    </row>
    <row r="26" spans="1:6" x14ac:dyDescent="0.3">
      <c r="A26" s="208"/>
      <c r="B26" s="209"/>
      <c r="C26" s="210"/>
      <c r="D26" s="210"/>
      <c r="E26" s="211"/>
      <c r="F26" s="212"/>
    </row>
    <row r="27" spans="1:6" x14ac:dyDescent="0.3">
      <c r="A27" s="208"/>
      <c r="B27" s="209"/>
      <c r="C27" s="210"/>
      <c r="D27" s="210"/>
      <c r="E27" s="211"/>
      <c r="F27" s="212"/>
    </row>
    <row r="28" spans="1:6" x14ac:dyDescent="0.3">
      <c r="A28" s="208"/>
      <c r="B28" s="209"/>
      <c r="C28" s="210"/>
      <c r="D28" s="210"/>
      <c r="E28" s="211"/>
      <c r="F28" s="212"/>
    </row>
    <row r="29" spans="1:6" x14ac:dyDescent="0.3">
      <c r="A29" s="208"/>
      <c r="B29" s="209"/>
      <c r="C29" s="210"/>
      <c r="D29" s="210"/>
      <c r="E29" s="211"/>
      <c r="F29" s="212"/>
    </row>
    <row r="30" spans="1:6" ht="21" customHeight="1" x14ac:dyDescent="0.3">
      <c r="A30" s="320" t="s">
        <v>1526</v>
      </c>
      <c r="B30" s="321"/>
      <c r="C30" s="321"/>
      <c r="D30" s="321"/>
      <c r="E30" s="321"/>
      <c r="F30" s="322"/>
    </row>
    <row r="31" spans="1:6" ht="21" x14ac:dyDescent="0.3">
      <c r="A31" s="208"/>
      <c r="B31" s="213"/>
      <c r="C31" s="210"/>
      <c r="D31" s="210"/>
      <c r="E31" s="211"/>
      <c r="F31" s="212"/>
    </row>
    <row r="32" spans="1:6" ht="23.4" customHeight="1" x14ac:dyDescent="0.3">
      <c r="A32" s="320" t="s">
        <v>1527</v>
      </c>
      <c r="B32" s="321"/>
      <c r="C32" s="321"/>
      <c r="D32" s="321"/>
      <c r="E32" s="321"/>
      <c r="F32" s="322"/>
    </row>
    <row r="33" spans="1:6" ht="15.6" x14ac:dyDescent="0.3">
      <c r="A33" s="208"/>
      <c r="B33" s="214"/>
      <c r="C33" s="210"/>
      <c r="D33" s="210"/>
      <c r="E33" s="211"/>
      <c r="F33" s="212"/>
    </row>
    <row r="34" spans="1:6" x14ac:dyDescent="0.3">
      <c r="A34" s="208"/>
      <c r="B34" s="209"/>
      <c r="C34" s="210"/>
      <c r="D34" s="210"/>
      <c r="E34" s="211"/>
      <c r="F34" s="212"/>
    </row>
    <row r="35" spans="1:6" x14ac:dyDescent="0.3">
      <c r="A35" s="208"/>
      <c r="B35" s="209"/>
      <c r="C35" s="210"/>
      <c r="D35" s="210"/>
      <c r="E35" s="211"/>
      <c r="F35" s="212"/>
    </row>
    <row r="36" spans="1:6" x14ac:dyDescent="0.3">
      <c r="A36" s="208"/>
      <c r="B36" s="209"/>
      <c r="C36" s="210"/>
      <c r="D36" s="210"/>
      <c r="E36" s="211"/>
      <c r="F36" s="212"/>
    </row>
    <row r="37" spans="1:6" x14ac:dyDescent="0.3">
      <c r="A37" s="208"/>
      <c r="B37" s="209"/>
      <c r="C37" s="210"/>
      <c r="D37" s="210"/>
      <c r="E37" s="211"/>
      <c r="F37" s="212"/>
    </row>
    <row r="38" spans="1:6" x14ac:dyDescent="0.3">
      <c r="A38" s="208"/>
      <c r="B38" s="209"/>
      <c r="C38" s="210"/>
      <c r="D38" s="210"/>
      <c r="E38" s="211"/>
      <c r="F38" s="212"/>
    </row>
    <row r="39" spans="1:6" x14ac:dyDescent="0.3">
      <c r="A39" s="208"/>
      <c r="B39" s="209"/>
      <c r="C39" s="210"/>
      <c r="D39" s="210"/>
      <c r="E39" s="211"/>
      <c r="F39" s="212"/>
    </row>
    <row r="40" spans="1:6" x14ac:dyDescent="0.3">
      <c r="A40" s="208"/>
      <c r="B40" s="209"/>
      <c r="C40" s="210"/>
      <c r="D40" s="210"/>
      <c r="E40" s="211"/>
      <c r="F40" s="212"/>
    </row>
    <row r="41" spans="1:6" x14ac:dyDescent="0.3">
      <c r="A41" s="208"/>
      <c r="B41" s="209"/>
      <c r="C41" s="210"/>
      <c r="D41" s="210"/>
      <c r="E41" s="211"/>
      <c r="F41" s="212"/>
    </row>
    <row r="42" spans="1:6" x14ac:dyDescent="0.3">
      <c r="A42" s="208"/>
      <c r="B42" s="209"/>
      <c r="C42" s="210"/>
      <c r="D42" s="210"/>
      <c r="E42" s="211"/>
      <c r="F42" s="212"/>
    </row>
    <row r="43" spans="1:6" x14ac:dyDescent="0.3">
      <c r="A43" s="208"/>
      <c r="B43" s="209"/>
      <c r="C43" s="210"/>
      <c r="D43" s="210"/>
      <c r="E43" s="211"/>
      <c r="F43" s="212"/>
    </row>
    <row r="44" spans="1:6" x14ac:dyDescent="0.3">
      <c r="A44" s="208"/>
      <c r="B44" s="209"/>
      <c r="C44" s="210"/>
      <c r="D44" s="210"/>
      <c r="E44" s="211"/>
      <c r="F44" s="212"/>
    </row>
    <row r="45" spans="1:6" x14ac:dyDescent="0.3">
      <c r="A45" s="208"/>
      <c r="B45" s="209"/>
      <c r="C45" s="210"/>
      <c r="D45" s="210"/>
      <c r="E45" s="211"/>
      <c r="F45" s="212"/>
    </row>
    <row r="46" spans="1:6" x14ac:dyDescent="0.3">
      <c r="A46" s="208"/>
      <c r="B46" s="209"/>
      <c r="C46" s="210"/>
      <c r="D46" s="210"/>
      <c r="E46" s="211"/>
      <c r="F46" s="212"/>
    </row>
    <row r="47" spans="1:6" x14ac:dyDescent="0.3">
      <c r="A47" s="208"/>
      <c r="B47" s="209"/>
      <c r="C47" s="210"/>
      <c r="D47" s="210"/>
      <c r="E47" s="211"/>
      <c r="F47" s="212"/>
    </row>
    <row r="48" spans="1:6" x14ac:dyDescent="0.3">
      <c r="A48" s="208"/>
      <c r="B48" s="209"/>
      <c r="C48" s="210"/>
      <c r="D48" s="210"/>
      <c r="E48" s="211"/>
      <c r="F48" s="212"/>
    </row>
    <row r="49" spans="1:6" x14ac:dyDescent="0.3">
      <c r="A49" s="208"/>
      <c r="B49" s="209"/>
      <c r="C49" s="210"/>
      <c r="D49" s="210"/>
      <c r="E49" s="211"/>
      <c r="F49" s="212"/>
    </row>
    <row r="50" spans="1:6" x14ac:dyDescent="0.3">
      <c r="A50" s="208"/>
      <c r="B50" s="209"/>
      <c r="C50" s="210"/>
      <c r="D50" s="210"/>
      <c r="E50" s="211"/>
      <c r="F50" s="212"/>
    </row>
    <row r="51" spans="1:6" x14ac:dyDescent="0.3">
      <c r="A51" s="208"/>
      <c r="B51" s="209"/>
      <c r="C51" s="210"/>
      <c r="D51" s="210"/>
      <c r="E51" s="211"/>
      <c r="F51" s="212"/>
    </row>
    <row r="52" spans="1:6" x14ac:dyDescent="0.3">
      <c r="A52" s="208"/>
      <c r="B52" s="209"/>
      <c r="C52" s="210"/>
      <c r="D52" s="210"/>
      <c r="E52" s="211"/>
      <c r="F52" s="212"/>
    </row>
    <row r="53" spans="1:6" x14ac:dyDescent="0.3">
      <c r="A53" s="208"/>
      <c r="B53" s="209"/>
      <c r="C53" s="210"/>
      <c r="D53" s="210"/>
      <c r="E53" s="211"/>
      <c r="F53" s="212"/>
    </row>
    <row r="54" spans="1:6" x14ac:dyDescent="0.3">
      <c r="A54" s="208"/>
      <c r="B54" s="209"/>
      <c r="C54" s="210"/>
      <c r="D54" s="210"/>
      <c r="E54" s="211"/>
      <c r="F54" s="212"/>
    </row>
    <row r="55" spans="1:6" x14ac:dyDescent="0.3">
      <c r="A55" s="208"/>
      <c r="B55" s="209"/>
      <c r="C55" s="210"/>
      <c r="D55" s="210"/>
      <c r="E55" s="211"/>
      <c r="F55" s="212"/>
    </row>
    <row r="56" spans="1:6" x14ac:dyDescent="0.3">
      <c r="A56" s="208"/>
      <c r="B56" s="209"/>
      <c r="C56" s="210"/>
      <c r="D56" s="210"/>
      <c r="E56" s="211"/>
      <c r="F56" s="212"/>
    </row>
    <row r="57" spans="1:6" ht="10.050000000000001" customHeight="1" x14ac:dyDescent="0.3">
      <c r="A57" s="208"/>
      <c r="B57" s="209"/>
      <c r="C57" s="210"/>
      <c r="D57" s="210"/>
      <c r="E57" s="211"/>
      <c r="F57" s="212"/>
    </row>
    <row r="58" spans="1:6" x14ac:dyDescent="0.3">
      <c r="A58" s="208"/>
      <c r="B58" s="209"/>
      <c r="C58" s="210"/>
      <c r="D58" s="210"/>
      <c r="E58" s="211"/>
      <c r="F58" s="212"/>
    </row>
    <row r="59" spans="1:6" x14ac:dyDescent="0.3">
      <c r="A59" s="208"/>
      <c r="B59" s="209"/>
      <c r="C59" s="210"/>
      <c r="D59" s="210"/>
      <c r="E59" s="211"/>
      <c r="F59" s="212"/>
    </row>
    <row r="60" spans="1:6" x14ac:dyDescent="0.3">
      <c r="A60" s="208"/>
      <c r="B60" s="209"/>
      <c r="C60" s="210"/>
      <c r="D60" s="210"/>
      <c r="E60" s="211"/>
      <c r="F60" s="212"/>
    </row>
    <row r="61" spans="1:6" x14ac:dyDescent="0.3">
      <c r="A61" s="215"/>
      <c r="B61" s="216"/>
      <c r="C61" s="217"/>
      <c r="D61" s="217"/>
      <c r="E61" s="218"/>
      <c r="F61" s="219"/>
    </row>
    <row r="62" spans="1:6" x14ac:dyDescent="0.3">
      <c r="A62" s="220" t="s">
        <v>1257</v>
      </c>
      <c r="B62" s="221" t="s">
        <v>1258</v>
      </c>
      <c r="C62" s="222" t="s">
        <v>1528</v>
      </c>
      <c r="D62" s="221" t="s">
        <v>1259</v>
      </c>
      <c r="E62" s="222" t="s">
        <v>1260</v>
      </c>
      <c r="F62" s="222" t="s">
        <v>1529</v>
      </c>
    </row>
    <row r="63" spans="1:6" ht="12.9" customHeight="1" x14ac:dyDescent="0.3">
      <c r="A63" s="223"/>
      <c r="B63" s="224" t="s">
        <v>1530</v>
      </c>
      <c r="C63" s="225"/>
      <c r="D63" s="226"/>
      <c r="E63" s="227"/>
      <c r="F63" s="228" t="str">
        <f t="shared" ref="F63:F96" si="0">IF(ISBLANK(E63),"",C63*E63)</f>
        <v/>
      </c>
    </row>
    <row r="64" spans="1:6" ht="12.9" customHeight="1" x14ac:dyDescent="0.3">
      <c r="A64" s="224"/>
      <c r="B64" s="229"/>
      <c r="C64" s="225"/>
      <c r="D64" s="226"/>
      <c r="E64" s="227"/>
      <c r="F64" s="228" t="str">
        <f t="shared" si="0"/>
        <v/>
      </c>
    </row>
    <row r="65" spans="1:6" ht="15.6" x14ac:dyDescent="0.3">
      <c r="A65" s="226"/>
      <c r="B65" s="230" t="s">
        <v>1530</v>
      </c>
      <c r="C65" s="231"/>
      <c r="D65" s="232"/>
      <c r="E65" s="233"/>
      <c r="F65" s="228" t="str">
        <f t="shared" si="0"/>
        <v/>
      </c>
    </row>
    <row r="66" spans="1:6" ht="12.9" customHeight="1" x14ac:dyDescent="0.3">
      <c r="A66" s="226"/>
      <c r="B66" s="229"/>
      <c r="C66" s="234"/>
      <c r="D66" s="226"/>
      <c r="E66" s="227"/>
      <c r="F66" s="228" t="str">
        <f t="shared" si="0"/>
        <v/>
      </c>
    </row>
    <row r="67" spans="1:6" x14ac:dyDescent="0.3">
      <c r="A67" s="226"/>
      <c r="B67" s="235" t="s">
        <v>1531</v>
      </c>
      <c r="C67" s="234"/>
      <c r="D67" s="226"/>
      <c r="E67" s="227"/>
      <c r="F67" s="228" t="str">
        <f t="shared" si="0"/>
        <v/>
      </c>
    </row>
    <row r="68" spans="1:6" ht="94.5" customHeight="1" x14ac:dyDescent="0.3">
      <c r="A68" s="226"/>
      <c r="B68" s="236" t="s">
        <v>1532</v>
      </c>
      <c r="C68" s="234"/>
      <c r="D68" s="226"/>
      <c r="E68" s="227"/>
      <c r="F68" s="228" t="str">
        <f t="shared" si="0"/>
        <v/>
      </c>
    </row>
    <row r="69" spans="1:6" ht="70.2" customHeight="1" x14ac:dyDescent="0.3">
      <c r="A69" s="226"/>
      <c r="B69" s="236" t="s">
        <v>1533</v>
      </c>
      <c r="C69" s="234"/>
      <c r="D69" s="226"/>
      <c r="E69" s="227"/>
      <c r="F69" s="228" t="str">
        <f t="shared" si="0"/>
        <v/>
      </c>
    </row>
    <row r="70" spans="1:6" ht="57" customHeight="1" x14ac:dyDescent="0.3">
      <c r="A70" s="226"/>
      <c r="B70" s="236" t="s">
        <v>1534</v>
      </c>
      <c r="C70" s="234"/>
      <c r="D70" s="226"/>
      <c r="E70" s="227"/>
      <c r="F70" s="228" t="str">
        <f t="shared" si="0"/>
        <v/>
      </c>
    </row>
    <row r="71" spans="1:6" ht="77.400000000000006" customHeight="1" x14ac:dyDescent="0.3">
      <c r="A71" s="226"/>
      <c r="B71" s="236" t="s">
        <v>1535</v>
      </c>
      <c r="C71" s="234"/>
      <c r="D71" s="226"/>
      <c r="E71" s="227"/>
      <c r="F71" s="228" t="str">
        <f t="shared" si="0"/>
        <v/>
      </c>
    </row>
    <row r="72" spans="1:6" x14ac:dyDescent="0.3">
      <c r="A72" s="226"/>
      <c r="B72" s="229"/>
      <c r="C72" s="234"/>
      <c r="D72" s="226"/>
      <c r="E72" s="227"/>
      <c r="F72" s="228" t="str">
        <f t="shared" si="0"/>
        <v/>
      </c>
    </row>
    <row r="73" spans="1:6" x14ac:dyDescent="0.3">
      <c r="A73" s="226"/>
      <c r="B73" s="235" t="s">
        <v>1536</v>
      </c>
      <c r="C73" s="234"/>
      <c r="D73" s="226"/>
      <c r="E73" s="227"/>
      <c r="F73" s="228" t="str">
        <f t="shared" si="0"/>
        <v/>
      </c>
    </row>
    <row r="74" spans="1:6" ht="92.4" x14ac:dyDescent="0.3">
      <c r="A74" s="226"/>
      <c r="B74" s="236" t="s">
        <v>1537</v>
      </c>
      <c r="C74" s="234"/>
      <c r="D74" s="226"/>
      <c r="E74" s="227"/>
      <c r="F74" s="228" t="str">
        <f t="shared" si="0"/>
        <v/>
      </c>
    </row>
    <row r="75" spans="1:6" x14ac:dyDescent="0.3">
      <c r="A75" s="226"/>
      <c r="B75" s="236"/>
      <c r="C75" s="234"/>
      <c r="D75" s="226"/>
      <c r="E75" s="227"/>
      <c r="F75" s="228" t="str">
        <f t="shared" si="0"/>
        <v/>
      </c>
    </row>
    <row r="76" spans="1:6" x14ac:dyDescent="0.3">
      <c r="A76" s="226"/>
      <c r="B76" s="237" t="s">
        <v>1538</v>
      </c>
      <c r="C76" s="234"/>
      <c r="D76" s="226"/>
      <c r="E76" s="227"/>
      <c r="F76" s="228" t="str">
        <f t="shared" si="0"/>
        <v/>
      </c>
    </row>
    <row r="77" spans="1:6" x14ac:dyDescent="0.3">
      <c r="A77" s="226"/>
      <c r="B77" s="229"/>
      <c r="C77" s="234"/>
      <c r="D77" s="226"/>
      <c r="E77" s="227"/>
      <c r="F77" s="228" t="str">
        <f t="shared" si="0"/>
        <v/>
      </c>
    </row>
    <row r="78" spans="1:6" ht="40.5" customHeight="1" x14ac:dyDescent="0.3">
      <c r="A78" s="226"/>
      <c r="B78" s="236" t="s">
        <v>1539</v>
      </c>
      <c r="C78" s="234"/>
      <c r="D78" s="226"/>
      <c r="E78" s="227"/>
      <c r="F78" s="228" t="str">
        <f t="shared" si="0"/>
        <v/>
      </c>
    </row>
    <row r="79" spans="1:6" ht="29.7" customHeight="1" x14ac:dyDescent="0.3">
      <c r="A79" s="226"/>
      <c r="B79" s="236" t="s">
        <v>1540</v>
      </c>
      <c r="C79" s="234"/>
      <c r="D79" s="226"/>
      <c r="E79" s="227"/>
      <c r="F79" s="228" t="str">
        <f t="shared" si="0"/>
        <v/>
      </c>
    </row>
    <row r="80" spans="1:6" ht="52.8" x14ac:dyDescent="0.3">
      <c r="A80" s="226"/>
      <c r="B80" s="236" t="s">
        <v>1541</v>
      </c>
      <c r="C80" s="234"/>
      <c r="D80" s="226"/>
      <c r="E80" s="227"/>
      <c r="F80" s="228" t="str">
        <f t="shared" si="0"/>
        <v/>
      </c>
    </row>
    <row r="81" spans="1:6" x14ac:dyDescent="0.3">
      <c r="A81" s="226"/>
      <c r="B81" s="236"/>
      <c r="C81" s="234"/>
      <c r="D81" s="226"/>
      <c r="E81" s="238"/>
      <c r="F81" s="228" t="str">
        <f t="shared" si="0"/>
        <v/>
      </c>
    </row>
    <row r="82" spans="1:6" x14ac:dyDescent="0.3">
      <c r="A82" s="226"/>
      <c r="B82" s="236"/>
      <c r="C82" s="234"/>
      <c r="D82" s="226"/>
      <c r="E82" s="238"/>
      <c r="F82" s="228" t="str">
        <f t="shared" si="0"/>
        <v/>
      </c>
    </row>
    <row r="83" spans="1:6" x14ac:dyDescent="0.3">
      <c r="A83" s="226"/>
      <c r="B83" s="236"/>
      <c r="C83" s="234"/>
      <c r="D83" s="226"/>
      <c r="E83" s="238"/>
      <c r="F83" s="228"/>
    </row>
    <row r="84" spans="1:6" x14ac:dyDescent="0.3">
      <c r="A84" s="226"/>
      <c r="B84" s="236"/>
      <c r="C84" s="234"/>
      <c r="D84" s="226"/>
      <c r="E84" s="238"/>
      <c r="F84" s="228"/>
    </row>
    <row r="85" spans="1:6" x14ac:dyDescent="0.3">
      <c r="A85" s="226"/>
      <c r="B85" s="236"/>
      <c r="C85" s="234"/>
      <c r="D85" s="226"/>
      <c r="E85" s="238"/>
      <c r="F85" s="228" t="str">
        <f t="shared" si="0"/>
        <v/>
      </c>
    </row>
    <row r="86" spans="1:6" ht="21.6" customHeight="1" x14ac:dyDescent="0.3">
      <c r="A86" s="226"/>
      <c r="B86" s="236"/>
      <c r="C86" s="234"/>
      <c r="D86" s="226"/>
      <c r="E86" s="238"/>
      <c r="F86" s="228" t="str">
        <f t="shared" si="0"/>
        <v/>
      </c>
    </row>
    <row r="87" spans="1:6" x14ac:dyDescent="0.3">
      <c r="A87" s="226"/>
      <c r="B87" s="236"/>
      <c r="C87" s="234"/>
      <c r="D87" s="226"/>
      <c r="E87" s="238"/>
      <c r="F87" s="228" t="str">
        <f t="shared" si="0"/>
        <v/>
      </c>
    </row>
    <row r="88" spans="1:6" x14ac:dyDescent="0.3">
      <c r="A88" s="226"/>
      <c r="B88" s="236"/>
      <c r="C88" s="234"/>
      <c r="D88" s="226"/>
      <c r="E88" s="238"/>
      <c r="F88" s="228" t="str">
        <f t="shared" si="0"/>
        <v/>
      </c>
    </row>
    <row r="89" spans="1:6" x14ac:dyDescent="0.3">
      <c r="A89" s="226"/>
      <c r="B89" s="229"/>
      <c r="C89" s="225"/>
      <c r="D89" s="226"/>
      <c r="E89" s="239"/>
      <c r="F89" s="240"/>
    </row>
    <row r="90" spans="1:6" x14ac:dyDescent="0.3">
      <c r="A90" s="226"/>
      <c r="B90" s="241" t="s">
        <v>1542</v>
      </c>
      <c r="C90" s="225"/>
      <c r="D90" s="226"/>
      <c r="E90" s="242" t="s">
        <v>1543</v>
      </c>
      <c r="F90" s="243">
        <f>SUM(F63:F88)</f>
        <v>0</v>
      </c>
    </row>
    <row r="91" spans="1:6" x14ac:dyDescent="0.3">
      <c r="A91" s="244"/>
      <c r="B91" s="245"/>
      <c r="C91" s="246"/>
      <c r="D91" s="244"/>
      <c r="E91" s="247"/>
      <c r="F91" s="248"/>
    </row>
    <row r="92" spans="1:6" x14ac:dyDescent="0.3">
      <c r="A92" s="220" t="s">
        <v>1257</v>
      </c>
      <c r="B92" s="221" t="s">
        <v>1258</v>
      </c>
      <c r="C92" s="222" t="s">
        <v>1528</v>
      </c>
      <c r="D92" s="221" t="s">
        <v>1259</v>
      </c>
      <c r="E92" s="222" t="s">
        <v>1260</v>
      </c>
      <c r="F92" s="222" t="s">
        <v>1529</v>
      </c>
    </row>
    <row r="93" spans="1:6" x14ac:dyDescent="0.3">
      <c r="A93" s="223"/>
      <c r="B93" s="249" t="str">
        <f>B63</f>
        <v xml:space="preserve">01 00 00 GENERAL REQUIREMENTS </v>
      </c>
      <c r="C93" s="250"/>
      <c r="D93" s="251"/>
      <c r="E93" s="252"/>
      <c r="F93" s="228" t="str">
        <f t="shared" si="0"/>
        <v/>
      </c>
    </row>
    <row r="94" spans="1:6" ht="12.9" customHeight="1" x14ac:dyDescent="0.3">
      <c r="A94" s="226"/>
      <c r="B94" s="229"/>
      <c r="C94" s="234"/>
      <c r="D94" s="226"/>
      <c r="E94" s="227"/>
      <c r="F94" s="228" t="str">
        <f t="shared" si="0"/>
        <v/>
      </c>
    </row>
    <row r="95" spans="1:6" x14ac:dyDescent="0.3">
      <c r="A95" s="226"/>
      <c r="B95" s="237" t="s">
        <v>1544</v>
      </c>
      <c r="C95" s="225"/>
      <c r="D95" s="226"/>
      <c r="E95" s="239"/>
      <c r="F95" s="228" t="str">
        <f t="shared" si="0"/>
        <v/>
      </c>
    </row>
    <row r="96" spans="1:6" ht="12.9" customHeight="1" x14ac:dyDescent="0.3">
      <c r="A96" s="226"/>
      <c r="B96" s="229"/>
      <c r="C96" s="234"/>
      <c r="D96" s="226"/>
      <c r="E96" s="227"/>
      <c r="F96" s="228" t="str">
        <f t="shared" si="0"/>
        <v/>
      </c>
    </row>
    <row r="97" spans="1:6" ht="39.6" x14ac:dyDescent="0.3">
      <c r="A97" s="226" t="s">
        <v>1293</v>
      </c>
      <c r="B97" s="236" t="s">
        <v>1545</v>
      </c>
      <c r="C97" s="225">
        <v>1</v>
      </c>
      <c r="D97" s="226" t="s">
        <v>1546</v>
      </c>
      <c r="E97" s="253"/>
      <c r="F97" s="228"/>
    </row>
    <row r="98" spans="1:6" ht="12.9" customHeight="1" x14ac:dyDescent="0.3">
      <c r="A98" s="226"/>
      <c r="B98" s="229"/>
      <c r="C98" s="234"/>
      <c r="D98" s="226"/>
      <c r="E98" s="227"/>
      <c r="F98" s="228"/>
    </row>
    <row r="99" spans="1:6" x14ac:dyDescent="0.3">
      <c r="A99" s="226"/>
      <c r="B99" s="237" t="s">
        <v>1547</v>
      </c>
      <c r="C99" s="225"/>
      <c r="D99" s="226"/>
      <c r="E99" s="239"/>
      <c r="F99" s="228"/>
    </row>
    <row r="100" spans="1:6" ht="12.9" customHeight="1" x14ac:dyDescent="0.3">
      <c r="A100" s="226"/>
      <c r="B100" s="229"/>
      <c r="C100" s="234"/>
      <c r="D100" s="226"/>
      <c r="E100" s="227"/>
      <c r="F100" s="228"/>
    </row>
    <row r="101" spans="1:6" ht="39.6" x14ac:dyDescent="0.3">
      <c r="A101" s="226" t="s">
        <v>1377</v>
      </c>
      <c r="B101" s="236" t="s">
        <v>1548</v>
      </c>
      <c r="C101" s="225">
        <v>1</v>
      </c>
      <c r="D101" s="226" t="s">
        <v>1546</v>
      </c>
      <c r="E101" s="253"/>
      <c r="F101" s="228"/>
    </row>
    <row r="102" spans="1:6" ht="12.9" customHeight="1" x14ac:dyDescent="0.3">
      <c r="A102" s="226"/>
      <c r="B102" s="229"/>
      <c r="C102" s="234"/>
      <c r="D102" s="226"/>
      <c r="E102" s="227"/>
      <c r="F102" s="228"/>
    </row>
    <row r="103" spans="1:6" x14ac:dyDescent="0.3">
      <c r="A103" s="226"/>
      <c r="B103" s="237" t="s">
        <v>1549</v>
      </c>
      <c r="C103" s="225"/>
      <c r="D103" s="226"/>
      <c r="E103" s="239"/>
      <c r="F103" s="228"/>
    </row>
    <row r="104" spans="1:6" ht="12.9" customHeight="1" x14ac:dyDescent="0.3">
      <c r="A104" s="226"/>
      <c r="B104" s="229"/>
      <c r="C104" s="234"/>
      <c r="D104" s="226"/>
      <c r="E104" s="227"/>
      <c r="F104" s="228"/>
    </row>
    <row r="105" spans="1:6" ht="39.6" x14ac:dyDescent="0.3">
      <c r="A105" s="226" t="s">
        <v>1464</v>
      </c>
      <c r="B105" s="236" t="s">
        <v>1550</v>
      </c>
      <c r="C105" s="225">
        <v>1</v>
      </c>
      <c r="D105" s="226" t="s">
        <v>1546</v>
      </c>
      <c r="E105" s="253"/>
      <c r="F105" s="228"/>
    </row>
    <row r="106" spans="1:6" ht="12.9" customHeight="1" x14ac:dyDescent="0.3">
      <c r="A106" s="226"/>
      <c r="B106" s="229"/>
      <c r="C106" s="234"/>
      <c r="D106" s="226"/>
      <c r="E106" s="227"/>
      <c r="F106" s="228"/>
    </row>
    <row r="107" spans="1:6" x14ac:dyDescent="0.3">
      <c r="A107" s="226"/>
      <c r="B107" s="237" t="s">
        <v>1551</v>
      </c>
      <c r="C107" s="225"/>
      <c r="D107" s="226"/>
      <c r="E107" s="239"/>
      <c r="F107" s="228"/>
    </row>
    <row r="108" spans="1:6" ht="12.9" customHeight="1" x14ac:dyDescent="0.3">
      <c r="A108" s="226"/>
      <c r="B108" s="229"/>
      <c r="C108" s="234"/>
      <c r="D108" s="226"/>
      <c r="E108" s="227"/>
      <c r="F108" s="228"/>
    </row>
    <row r="109" spans="1:6" ht="39.6" x14ac:dyDescent="0.3">
      <c r="A109" s="226" t="s">
        <v>1466</v>
      </c>
      <c r="B109" s="236" t="s">
        <v>1552</v>
      </c>
      <c r="C109" s="225"/>
      <c r="D109" s="226"/>
      <c r="E109" s="239"/>
      <c r="F109" s="228"/>
    </row>
    <row r="110" spans="1:6" x14ac:dyDescent="0.3">
      <c r="A110" s="226"/>
      <c r="B110" s="254" t="s">
        <v>1553</v>
      </c>
      <c r="C110" s="225" t="s">
        <v>1300</v>
      </c>
      <c r="D110" s="226" t="s">
        <v>1323</v>
      </c>
      <c r="E110" s="239"/>
      <c r="F110" s="228"/>
    </row>
    <row r="111" spans="1:6" x14ac:dyDescent="0.3">
      <c r="A111" s="226"/>
      <c r="B111" s="254" t="s">
        <v>1554</v>
      </c>
      <c r="C111" s="225" t="s">
        <v>1300</v>
      </c>
      <c r="D111" s="226" t="s">
        <v>1323</v>
      </c>
      <c r="E111" s="239"/>
      <c r="F111" s="228"/>
    </row>
    <row r="112" spans="1:6" x14ac:dyDescent="0.3">
      <c r="A112" s="226"/>
      <c r="B112" s="254" t="s">
        <v>1555</v>
      </c>
      <c r="C112" s="225" t="s">
        <v>1300</v>
      </c>
      <c r="D112" s="226" t="s">
        <v>1323</v>
      </c>
      <c r="E112" s="239"/>
      <c r="F112" s="228"/>
    </row>
    <row r="113" spans="1:6" ht="12.9" customHeight="1" x14ac:dyDescent="0.3">
      <c r="A113" s="226"/>
      <c r="B113" s="229"/>
      <c r="C113" s="234"/>
      <c r="D113" s="226"/>
      <c r="E113" s="239"/>
      <c r="F113" s="228"/>
    </row>
    <row r="114" spans="1:6" x14ac:dyDescent="0.3">
      <c r="A114" s="226"/>
      <c r="B114" s="235" t="s">
        <v>1556</v>
      </c>
      <c r="C114" s="234"/>
      <c r="D114" s="226"/>
      <c r="E114" s="227"/>
      <c r="F114" s="228"/>
    </row>
    <row r="115" spans="1:6" ht="12.9" customHeight="1" x14ac:dyDescent="0.3">
      <c r="A115" s="226"/>
      <c r="B115" s="229"/>
      <c r="C115" s="234"/>
      <c r="D115" s="226"/>
      <c r="E115" s="227"/>
      <c r="F115" s="228"/>
    </row>
    <row r="116" spans="1:6" ht="44.25" customHeight="1" x14ac:dyDescent="0.3">
      <c r="A116" s="226" t="s">
        <v>1468</v>
      </c>
      <c r="B116" s="236" t="s">
        <v>1557</v>
      </c>
      <c r="C116" s="225">
        <v>1</v>
      </c>
      <c r="D116" s="226" t="s">
        <v>1546</v>
      </c>
      <c r="E116" s="253"/>
      <c r="F116" s="228"/>
    </row>
    <row r="117" spans="1:6" ht="9.75" customHeight="1" x14ac:dyDescent="0.3">
      <c r="A117" s="226"/>
      <c r="B117" s="229"/>
      <c r="C117" s="234"/>
      <c r="D117" s="226"/>
      <c r="E117" s="227"/>
      <c r="F117" s="228"/>
    </row>
    <row r="118" spans="1:6" x14ac:dyDescent="0.3">
      <c r="A118" s="226"/>
      <c r="B118" s="237" t="s">
        <v>1558</v>
      </c>
      <c r="C118" s="225"/>
      <c r="D118" s="226"/>
      <c r="E118" s="239"/>
      <c r="F118" s="228"/>
    </row>
    <row r="119" spans="1:6" ht="7.95" customHeight="1" x14ac:dyDescent="0.3">
      <c r="A119" s="226"/>
      <c r="B119" s="229"/>
      <c r="C119" s="234"/>
      <c r="D119" s="226"/>
      <c r="E119" s="227"/>
      <c r="F119" s="228"/>
    </row>
    <row r="120" spans="1:6" ht="39" customHeight="1" x14ac:dyDescent="0.3">
      <c r="A120" s="226" t="s">
        <v>1300</v>
      </c>
      <c r="B120" s="236" t="s">
        <v>1559</v>
      </c>
      <c r="C120" s="225">
        <v>1</v>
      </c>
      <c r="D120" s="226" t="s">
        <v>1546</v>
      </c>
      <c r="E120" s="253"/>
      <c r="F120" s="228"/>
    </row>
    <row r="121" spans="1:6" ht="12.9" customHeight="1" x14ac:dyDescent="0.3">
      <c r="A121" s="226"/>
      <c r="B121" s="229"/>
      <c r="C121" s="234"/>
      <c r="D121" s="226"/>
      <c r="E121" s="227"/>
      <c r="F121" s="228"/>
    </row>
    <row r="122" spans="1:6" x14ac:dyDescent="0.3">
      <c r="A122" s="226"/>
      <c r="B122" s="237" t="s">
        <v>1560</v>
      </c>
      <c r="C122" s="225"/>
      <c r="D122" s="226"/>
      <c r="E122" s="239"/>
      <c r="F122" s="228"/>
    </row>
    <row r="123" spans="1:6" ht="9.15" customHeight="1" x14ac:dyDescent="0.3">
      <c r="A123" s="226"/>
      <c r="B123" s="229"/>
      <c r="C123" s="234"/>
      <c r="D123" s="226"/>
      <c r="E123" s="227"/>
      <c r="F123" s="228"/>
    </row>
    <row r="124" spans="1:6" ht="83.1" customHeight="1" x14ac:dyDescent="0.3">
      <c r="A124" s="226" t="s">
        <v>1471</v>
      </c>
      <c r="B124" s="236" t="s">
        <v>1561</v>
      </c>
      <c r="C124" s="225">
        <v>1</v>
      </c>
      <c r="D124" s="226" t="s">
        <v>1546</v>
      </c>
      <c r="E124" s="253"/>
      <c r="F124" s="228"/>
    </row>
    <row r="125" spans="1:6" x14ac:dyDescent="0.3">
      <c r="A125" s="226"/>
      <c r="B125" s="237" t="s">
        <v>1562</v>
      </c>
      <c r="C125" s="225"/>
      <c r="D125" s="226"/>
      <c r="E125" s="255"/>
      <c r="F125" s="228"/>
    </row>
    <row r="126" spans="1:6" x14ac:dyDescent="0.3">
      <c r="A126" s="226"/>
      <c r="B126" s="237"/>
      <c r="C126" s="225"/>
      <c r="D126" s="226"/>
      <c r="E126" s="255"/>
      <c r="F126" s="228"/>
    </row>
    <row r="127" spans="1:6" ht="26.4" x14ac:dyDescent="0.3">
      <c r="A127" s="226" t="s">
        <v>1473</v>
      </c>
      <c r="B127" s="236" t="s">
        <v>1563</v>
      </c>
      <c r="C127" s="225">
        <v>1</v>
      </c>
      <c r="D127" s="226" t="s">
        <v>100</v>
      </c>
      <c r="E127" s="255"/>
      <c r="F127" s="228">
        <f>E127*C127</f>
        <v>0</v>
      </c>
    </row>
    <row r="128" spans="1:6" x14ac:dyDescent="0.3">
      <c r="A128" s="226"/>
      <c r="B128" s="236"/>
      <c r="C128" s="225"/>
      <c r="D128" s="226"/>
      <c r="E128" s="255"/>
      <c r="F128" s="228"/>
    </row>
    <row r="129" spans="1:6" ht="26.4" x14ac:dyDescent="0.3">
      <c r="A129" s="226" t="s">
        <v>1475</v>
      </c>
      <c r="B129" s="236" t="s">
        <v>1564</v>
      </c>
      <c r="C129" s="225">
        <v>1</v>
      </c>
      <c r="D129" s="226" t="s">
        <v>100</v>
      </c>
      <c r="E129" s="255"/>
      <c r="F129" s="228">
        <f>E129*C129</f>
        <v>0</v>
      </c>
    </row>
    <row r="130" spans="1:6" ht="12" customHeight="1" x14ac:dyDescent="0.3">
      <c r="A130" s="226"/>
      <c r="B130" s="256"/>
      <c r="C130" s="225"/>
      <c r="D130" s="226"/>
      <c r="E130" s="239"/>
      <c r="F130" s="228" t="str">
        <f t="shared" ref="F130" si="1">IF(ISBLANK(E130),"",C130*E130)</f>
        <v/>
      </c>
    </row>
    <row r="131" spans="1:6" x14ac:dyDescent="0.3">
      <c r="A131" s="226"/>
      <c r="B131" s="229"/>
      <c r="C131" s="225"/>
      <c r="D131" s="226"/>
      <c r="E131" s="239"/>
      <c r="F131" s="240"/>
    </row>
    <row r="132" spans="1:6" x14ac:dyDescent="0.3">
      <c r="A132" s="226"/>
      <c r="B132" s="241" t="s">
        <v>1542</v>
      </c>
      <c r="C132" s="225"/>
      <c r="D132" s="226"/>
      <c r="E132" s="242" t="s">
        <v>1543</v>
      </c>
      <c r="F132" s="243">
        <f>SUM(F93:F130)</f>
        <v>0</v>
      </c>
    </row>
    <row r="133" spans="1:6" x14ac:dyDescent="0.3">
      <c r="A133" s="244"/>
      <c r="B133" s="245"/>
      <c r="C133" s="246"/>
      <c r="D133" s="244"/>
      <c r="E133" s="247"/>
      <c r="F133" s="248"/>
    </row>
    <row r="134" spans="1:6" x14ac:dyDescent="0.3">
      <c r="A134" s="220" t="s">
        <v>1257</v>
      </c>
      <c r="B134" s="221" t="s">
        <v>1258</v>
      </c>
      <c r="C134" s="222" t="s">
        <v>1528</v>
      </c>
      <c r="D134" s="221" t="s">
        <v>1259</v>
      </c>
      <c r="E134" s="222" t="s">
        <v>1260</v>
      </c>
      <c r="F134" s="222" t="s">
        <v>1529</v>
      </c>
    </row>
    <row r="135" spans="1:6" x14ac:dyDescent="0.3">
      <c r="A135" s="223"/>
      <c r="B135" s="249" t="str">
        <f>B93</f>
        <v xml:space="preserve">01 00 00 GENERAL REQUIREMENTS </v>
      </c>
      <c r="C135" s="250"/>
      <c r="D135" s="251"/>
      <c r="E135" s="257"/>
      <c r="F135" s="228" t="str">
        <f t="shared" ref="F135:F137" si="2">IF(ISBLANK(E135),"",C135*E135)</f>
        <v/>
      </c>
    </row>
    <row r="136" spans="1:6" x14ac:dyDescent="0.3">
      <c r="A136" s="224"/>
      <c r="B136" s="229"/>
      <c r="C136" s="225"/>
      <c r="D136" s="226"/>
      <c r="E136" s="258"/>
      <c r="F136" s="228" t="str">
        <f t="shared" si="2"/>
        <v/>
      </c>
    </row>
    <row r="137" spans="1:6" x14ac:dyDescent="0.3">
      <c r="A137" s="226"/>
      <c r="B137" s="237" t="s">
        <v>1565</v>
      </c>
      <c r="C137" s="225"/>
      <c r="D137" s="226"/>
      <c r="E137" s="239"/>
      <c r="F137" s="228" t="str">
        <f t="shared" si="2"/>
        <v/>
      </c>
    </row>
    <row r="138" spans="1:6" x14ac:dyDescent="0.3">
      <c r="A138" s="226"/>
      <c r="B138" s="256"/>
      <c r="C138" s="225"/>
      <c r="D138" s="226"/>
      <c r="E138" s="239"/>
      <c r="F138" s="228"/>
    </row>
    <row r="139" spans="1:6" ht="39.6" x14ac:dyDescent="0.3">
      <c r="A139" s="226" t="s">
        <v>1293</v>
      </c>
      <c r="B139" s="236" t="s">
        <v>1566</v>
      </c>
      <c r="C139" s="225">
        <v>1</v>
      </c>
      <c r="D139" s="226" t="s">
        <v>1546</v>
      </c>
      <c r="E139" s="253"/>
      <c r="F139" s="228"/>
    </row>
    <row r="140" spans="1:6" x14ac:dyDescent="0.3">
      <c r="A140" s="226"/>
      <c r="B140" s="229"/>
      <c r="C140" s="225"/>
      <c r="D140" s="226"/>
      <c r="E140" s="239"/>
      <c r="F140" s="228"/>
    </row>
    <row r="141" spans="1:6" x14ac:dyDescent="0.3">
      <c r="A141" s="226"/>
      <c r="B141" s="237" t="s">
        <v>1567</v>
      </c>
      <c r="C141" s="225"/>
      <c r="D141" s="226"/>
      <c r="E141" s="239"/>
      <c r="F141" s="228"/>
    </row>
    <row r="142" spans="1:6" x14ac:dyDescent="0.3">
      <c r="A142" s="226"/>
      <c r="B142" s="229"/>
      <c r="C142" s="225"/>
      <c r="D142" s="226"/>
      <c r="E142" s="239"/>
      <c r="F142" s="228"/>
    </row>
    <row r="143" spans="1:6" ht="92.55" customHeight="1" x14ac:dyDescent="0.3">
      <c r="A143" s="226" t="str">
        <f>IF(D143&gt;0,IF(INDEX(A54:A142,MATCH(REPT("z",255),A54:A142))="H","J",IF(INDEX(A54:A142,MATCH(REPT("z",255),A54:A142))="N","P",CHAR(CODE(INDEX(A54:A142,MATCH(REPT("z",255),A54:A142)))+1))),)</f>
        <v>B</v>
      </c>
      <c r="B143" s="236" t="s">
        <v>1568</v>
      </c>
      <c r="C143" s="225">
        <v>1</v>
      </c>
      <c r="D143" s="226" t="s">
        <v>1546</v>
      </c>
      <c r="E143" s="253"/>
      <c r="F143" s="228"/>
    </row>
    <row r="144" spans="1:6" x14ac:dyDescent="0.3">
      <c r="A144" s="226"/>
      <c r="B144" s="229"/>
      <c r="C144" s="225"/>
      <c r="D144" s="226"/>
      <c r="E144" s="239"/>
      <c r="F144" s="228"/>
    </row>
    <row r="145" spans="1:6" ht="39.6" x14ac:dyDescent="0.3">
      <c r="A145" s="226" t="str">
        <f>IF(D145&gt;0,IF(INDEX(A55:A144,MATCH(REPT("z",255),A55:A144))="H","J",IF(INDEX(A55:A144,MATCH(REPT("z",255),A55:A144))="N","P",CHAR(CODE(INDEX(A55:A144,MATCH(REPT("z",255),A55:A144)))+1))),)</f>
        <v>C</v>
      </c>
      <c r="B145" s="236" t="s">
        <v>1569</v>
      </c>
      <c r="C145" s="225">
        <v>1</v>
      </c>
      <c r="D145" s="226" t="s">
        <v>1546</v>
      </c>
      <c r="E145" s="253"/>
      <c r="F145" s="228"/>
    </row>
    <row r="146" spans="1:6" x14ac:dyDescent="0.3">
      <c r="A146" s="226"/>
      <c r="B146" s="236"/>
      <c r="C146" s="225"/>
      <c r="D146" s="226"/>
      <c r="E146" s="239"/>
      <c r="F146" s="228"/>
    </row>
    <row r="147" spans="1:6" ht="54.6" customHeight="1" x14ac:dyDescent="0.3">
      <c r="A147" s="226" t="s">
        <v>1466</v>
      </c>
      <c r="B147" s="236" t="s">
        <v>1570</v>
      </c>
      <c r="C147" s="225">
        <v>1</v>
      </c>
      <c r="D147" s="226" t="s">
        <v>1546</v>
      </c>
      <c r="E147" s="253"/>
      <c r="F147" s="228"/>
    </row>
    <row r="148" spans="1:6" x14ac:dyDescent="0.3">
      <c r="A148" s="226"/>
      <c r="B148" s="236"/>
      <c r="C148" s="225"/>
      <c r="D148" s="226"/>
      <c r="E148" s="239"/>
      <c r="F148" s="228"/>
    </row>
    <row r="149" spans="1:6" ht="51.75" customHeight="1" x14ac:dyDescent="0.3">
      <c r="A149" s="226" t="s">
        <v>1468</v>
      </c>
      <c r="B149" s="236" t="s">
        <v>1571</v>
      </c>
      <c r="C149" s="225">
        <v>1</v>
      </c>
      <c r="D149" s="226" t="s">
        <v>1546</v>
      </c>
      <c r="E149" s="253"/>
      <c r="F149" s="228"/>
    </row>
    <row r="150" spans="1:6" x14ac:dyDescent="0.3">
      <c r="A150" s="226"/>
      <c r="B150" s="236"/>
      <c r="C150" s="225"/>
      <c r="D150" s="226"/>
      <c r="E150" s="239"/>
      <c r="F150" s="228"/>
    </row>
    <row r="151" spans="1:6" x14ac:dyDescent="0.3">
      <c r="A151" s="226"/>
      <c r="B151" s="237" t="s">
        <v>1572</v>
      </c>
      <c r="C151" s="225"/>
      <c r="D151" s="226"/>
      <c r="E151" s="255"/>
      <c r="F151" s="228"/>
    </row>
    <row r="152" spans="1:6" x14ac:dyDescent="0.3">
      <c r="A152" s="226"/>
      <c r="B152" s="236"/>
      <c r="C152" s="225"/>
      <c r="D152" s="226"/>
      <c r="E152" s="255"/>
      <c r="F152" s="228"/>
    </row>
    <row r="153" spans="1:6" x14ac:dyDescent="0.3">
      <c r="A153" s="226" t="s">
        <v>1300</v>
      </c>
      <c r="B153" s="236" t="s">
        <v>1573</v>
      </c>
      <c r="C153" s="225">
        <v>1</v>
      </c>
      <c r="D153" s="226" t="s">
        <v>1546</v>
      </c>
      <c r="E153" s="258"/>
      <c r="F153" s="228"/>
    </row>
    <row r="154" spans="1:6" x14ac:dyDescent="0.3">
      <c r="A154" s="226"/>
      <c r="B154" s="236"/>
      <c r="C154" s="225"/>
      <c r="D154" s="226"/>
      <c r="E154" s="255"/>
      <c r="F154" s="228"/>
    </row>
    <row r="155" spans="1:6" x14ac:dyDescent="0.3">
      <c r="A155" s="226" t="s">
        <v>1471</v>
      </c>
      <c r="B155" s="236" t="s">
        <v>1574</v>
      </c>
      <c r="C155" s="225">
        <v>1</v>
      </c>
      <c r="D155" s="226" t="s">
        <v>1546</v>
      </c>
      <c r="E155" s="258"/>
      <c r="F155" s="228"/>
    </row>
    <row r="156" spans="1:6" x14ac:dyDescent="0.3">
      <c r="A156" s="226"/>
      <c r="B156" s="236"/>
      <c r="C156" s="225"/>
      <c r="D156" s="226"/>
      <c r="E156" s="255"/>
      <c r="F156" s="228"/>
    </row>
    <row r="157" spans="1:6" x14ac:dyDescent="0.3">
      <c r="A157" s="226"/>
      <c r="B157" s="236"/>
      <c r="C157" s="225"/>
      <c r="D157" s="226"/>
      <c r="E157" s="239"/>
      <c r="F157" s="228"/>
    </row>
    <row r="158" spans="1:6" x14ac:dyDescent="0.3">
      <c r="A158" s="226"/>
      <c r="B158" s="236"/>
      <c r="C158" s="225"/>
      <c r="D158" s="226"/>
      <c r="E158" s="239"/>
      <c r="F158" s="228"/>
    </row>
    <row r="159" spans="1:6" x14ac:dyDescent="0.3">
      <c r="A159" s="226"/>
      <c r="B159" s="236"/>
      <c r="C159" s="225"/>
      <c r="D159" s="226"/>
      <c r="E159" s="239"/>
      <c r="F159" s="228"/>
    </row>
    <row r="160" spans="1:6" x14ac:dyDescent="0.3">
      <c r="A160" s="226"/>
      <c r="B160" s="236"/>
      <c r="C160" s="225"/>
      <c r="D160" s="226"/>
      <c r="E160" s="239"/>
      <c r="F160" s="228"/>
    </row>
    <row r="161" spans="1:6" x14ac:dyDescent="0.3">
      <c r="A161" s="226"/>
      <c r="B161" s="236"/>
      <c r="C161" s="225"/>
      <c r="D161" s="226"/>
      <c r="E161" s="239"/>
      <c r="F161" s="228"/>
    </row>
    <row r="162" spans="1:6" x14ac:dyDescent="0.3">
      <c r="A162" s="226"/>
      <c r="B162" s="236"/>
      <c r="C162" s="225"/>
      <c r="D162" s="226"/>
      <c r="E162" s="239"/>
      <c r="F162" s="228"/>
    </row>
    <row r="163" spans="1:6" x14ac:dyDescent="0.3">
      <c r="A163" s="226"/>
      <c r="B163" s="236"/>
      <c r="C163" s="225"/>
      <c r="D163" s="226"/>
      <c r="E163" s="239"/>
      <c r="F163" s="228"/>
    </row>
    <row r="164" spans="1:6" x14ac:dyDescent="0.3">
      <c r="A164" s="226"/>
      <c r="B164" s="236"/>
      <c r="C164" s="225"/>
      <c r="D164" s="226"/>
      <c r="E164" s="239"/>
      <c r="F164" s="228"/>
    </row>
    <row r="165" spans="1:6" x14ac:dyDescent="0.3">
      <c r="A165" s="226"/>
      <c r="B165" s="236"/>
      <c r="C165" s="225"/>
      <c r="D165" s="226"/>
      <c r="E165" s="239"/>
      <c r="F165" s="228"/>
    </row>
    <row r="166" spans="1:6" x14ac:dyDescent="0.3">
      <c r="A166" s="226"/>
      <c r="B166" s="236"/>
      <c r="C166" s="225"/>
      <c r="D166" s="226"/>
      <c r="E166" s="239"/>
      <c r="F166" s="228"/>
    </row>
    <row r="167" spans="1:6" x14ac:dyDescent="0.3">
      <c r="A167" s="226"/>
      <c r="B167" s="236"/>
      <c r="C167" s="225"/>
      <c r="D167" s="226"/>
      <c r="E167" s="239"/>
      <c r="F167" s="228"/>
    </row>
    <row r="168" spans="1:6" x14ac:dyDescent="0.3">
      <c r="A168" s="226"/>
      <c r="B168" s="236"/>
      <c r="C168" s="225"/>
      <c r="D168" s="226"/>
      <c r="E168" s="239"/>
      <c r="F168" s="228"/>
    </row>
    <row r="169" spans="1:6" ht="9.15" customHeight="1" x14ac:dyDescent="0.3">
      <c r="A169" s="226"/>
      <c r="B169" s="236"/>
      <c r="C169" s="225"/>
      <c r="D169" s="226"/>
      <c r="E169" s="239"/>
      <c r="F169" s="228"/>
    </row>
    <row r="170" spans="1:6" ht="8.6999999999999993" customHeight="1" x14ac:dyDescent="0.3">
      <c r="A170" s="226"/>
      <c r="B170" s="236"/>
      <c r="C170" s="225"/>
      <c r="D170" s="226"/>
      <c r="E170" s="239"/>
      <c r="F170" s="228"/>
    </row>
    <row r="171" spans="1:6" ht="8.6999999999999993" customHeight="1" x14ac:dyDescent="0.3">
      <c r="A171" s="226"/>
      <c r="B171" s="236"/>
      <c r="C171" s="225"/>
      <c r="D171" s="226"/>
      <c r="E171" s="239"/>
      <c r="F171" s="228"/>
    </row>
    <row r="172" spans="1:6" x14ac:dyDescent="0.3">
      <c r="A172" s="226"/>
      <c r="B172" s="236"/>
      <c r="C172" s="225"/>
      <c r="D172" s="226"/>
      <c r="E172" s="239"/>
      <c r="F172" s="228"/>
    </row>
    <row r="173" spans="1:6" x14ac:dyDescent="0.3">
      <c r="A173" s="226"/>
      <c r="B173" s="236"/>
      <c r="C173" s="225"/>
      <c r="D173" s="226"/>
      <c r="E173" s="239"/>
      <c r="F173" s="228"/>
    </row>
    <row r="174" spans="1:6" x14ac:dyDescent="0.3">
      <c r="A174" s="226"/>
      <c r="B174" s="229"/>
      <c r="C174" s="225"/>
      <c r="D174" s="226"/>
      <c r="E174" s="239"/>
      <c r="F174" s="240"/>
    </row>
    <row r="175" spans="1:6" x14ac:dyDescent="0.3">
      <c r="A175" s="226"/>
      <c r="B175" s="241" t="s">
        <v>1542</v>
      </c>
      <c r="C175" s="225"/>
      <c r="D175" s="226"/>
      <c r="E175" s="242" t="s">
        <v>1543</v>
      </c>
      <c r="F175" s="243">
        <f>SUM(F135:F173)</f>
        <v>0</v>
      </c>
    </row>
    <row r="176" spans="1:6" x14ac:dyDescent="0.3">
      <c r="A176" s="244"/>
      <c r="B176" s="245"/>
      <c r="C176" s="246"/>
      <c r="D176" s="244"/>
      <c r="E176" s="247"/>
      <c r="F176" s="248"/>
    </row>
    <row r="177" spans="1:6" x14ac:dyDescent="0.3">
      <c r="A177" s="220" t="s">
        <v>1257</v>
      </c>
      <c r="B177" s="221" t="s">
        <v>1258</v>
      </c>
      <c r="C177" s="222" t="s">
        <v>1528</v>
      </c>
      <c r="D177" s="221" t="s">
        <v>1259</v>
      </c>
      <c r="E177" s="222" t="s">
        <v>1260</v>
      </c>
      <c r="F177" s="222" t="s">
        <v>1529</v>
      </c>
    </row>
    <row r="178" spans="1:6" x14ac:dyDescent="0.3">
      <c r="A178" s="223"/>
      <c r="B178" s="249" t="str">
        <f>B135</f>
        <v xml:space="preserve">01 00 00 GENERAL REQUIREMENTS </v>
      </c>
      <c r="C178" s="250"/>
      <c r="D178" s="251"/>
      <c r="E178" s="257"/>
      <c r="F178" s="228"/>
    </row>
    <row r="179" spans="1:6" x14ac:dyDescent="0.3">
      <c r="A179" s="224"/>
      <c r="B179" s="229"/>
      <c r="C179" s="225"/>
      <c r="D179" s="226"/>
      <c r="E179" s="258"/>
      <c r="F179" s="228"/>
    </row>
    <row r="180" spans="1:6" x14ac:dyDescent="0.3">
      <c r="A180" s="226"/>
      <c r="B180" s="237" t="s">
        <v>1575</v>
      </c>
      <c r="C180" s="225"/>
      <c r="D180" s="226"/>
      <c r="E180" s="239"/>
      <c r="F180" s="228"/>
    </row>
    <row r="181" spans="1:6" x14ac:dyDescent="0.3">
      <c r="A181" s="226"/>
      <c r="B181" s="256"/>
      <c r="C181" s="225"/>
      <c r="D181" s="226"/>
      <c r="E181" s="239"/>
      <c r="F181" s="228"/>
    </row>
    <row r="182" spans="1:6" ht="74.25" customHeight="1" x14ac:dyDescent="0.3">
      <c r="A182" s="226" t="s">
        <v>1293</v>
      </c>
      <c r="B182" s="236" t="s">
        <v>1576</v>
      </c>
      <c r="C182" s="225">
        <v>1</v>
      </c>
      <c r="D182" s="226" t="s">
        <v>1546</v>
      </c>
      <c r="E182" s="258"/>
      <c r="F182" s="228"/>
    </row>
    <row r="183" spans="1:6" x14ac:dyDescent="0.3">
      <c r="A183" s="226"/>
      <c r="B183" s="259"/>
      <c r="C183" s="225"/>
      <c r="D183" s="226"/>
      <c r="E183" s="255"/>
      <c r="F183" s="228"/>
    </row>
    <row r="184" spans="1:6" x14ac:dyDescent="0.3">
      <c r="A184" s="226"/>
      <c r="B184" s="237" t="s">
        <v>1577</v>
      </c>
      <c r="C184" s="225"/>
      <c r="D184" s="226"/>
      <c r="E184" s="255"/>
      <c r="F184" s="228"/>
    </row>
    <row r="185" spans="1:6" x14ac:dyDescent="0.3">
      <c r="A185" s="226"/>
      <c r="B185" s="256"/>
      <c r="C185" s="225"/>
      <c r="D185" s="226"/>
      <c r="E185" s="255"/>
      <c r="F185" s="228"/>
    </row>
    <row r="186" spans="1:6" ht="66" x14ac:dyDescent="0.3">
      <c r="A186" s="226" t="s">
        <v>1377</v>
      </c>
      <c r="B186" s="236" t="s">
        <v>1578</v>
      </c>
      <c r="C186" s="225">
        <v>1</v>
      </c>
      <c r="D186" s="226" t="s">
        <v>1546</v>
      </c>
      <c r="E186" s="258"/>
      <c r="F186" s="228"/>
    </row>
    <row r="187" spans="1:6" x14ac:dyDescent="0.3">
      <c r="A187" s="226"/>
      <c r="B187" s="256"/>
      <c r="C187" s="225"/>
      <c r="D187" s="226"/>
      <c r="E187" s="239"/>
      <c r="F187" s="228"/>
    </row>
    <row r="188" spans="1:6" x14ac:dyDescent="0.3">
      <c r="A188" s="226"/>
      <c r="B188" s="237" t="s">
        <v>1579</v>
      </c>
      <c r="C188" s="225"/>
      <c r="D188" s="226"/>
      <c r="E188" s="258"/>
      <c r="F188" s="228"/>
    </row>
    <row r="189" spans="1:6" x14ac:dyDescent="0.3">
      <c r="A189" s="226"/>
      <c r="B189" s="229"/>
      <c r="C189" s="225"/>
      <c r="D189" s="226"/>
      <c r="E189" s="258"/>
      <c r="F189" s="228"/>
    </row>
    <row r="190" spans="1:6" ht="57" customHeight="1" x14ac:dyDescent="0.3">
      <c r="A190" s="226" t="s">
        <v>1464</v>
      </c>
      <c r="B190" s="236" t="s">
        <v>1580</v>
      </c>
      <c r="C190" s="225">
        <v>1</v>
      </c>
      <c r="D190" s="226" t="s">
        <v>1546</v>
      </c>
      <c r="E190" s="253"/>
      <c r="F190" s="228"/>
    </row>
    <row r="191" spans="1:6" x14ac:dyDescent="0.3">
      <c r="A191" s="226"/>
      <c r="B191" s="236"/>
      <c r="C191" s="225"/>
      <c r="D191" s="226"/>
      <c r="E191" s="255"/>
      <c r="F191" s="228"/>
    </row>
    <row r="192" spans="1:6" ht="92.4" x14ac:dyDescent="0.3">
      <c r="A192" s="226" t="s">
        <v>1466</v>
      </c>
      <c r="B192" s="236" t="s">
        <v>1581</v>
      </c>
      <c r="C192" s="225">
        <v>1</v>
      </c>
      <c r="D192" s="226" t="s">
        <v>1546</v>
      </c>
      <c r="E192" s="258"/>
      <c r="F192" s="228"/>
    </row>
    <row r="193" spans="1:6" x14ac:dyDescent="0.3">
      <c r="A193" s="226"/>
      <c r="B193" s="256"/>
      <c r="C193" s="225"/>
      <c r="D193" s="226"/>
      <c r="E193" s="239"/>
      <c r="F193" s="228"/>
    </row>
    <row r="194" spans="1:6" ht="105.6" x14ac:dyDescent="0.3">
      <c r="A194" s="226" t="s">
        <v>1468</v>
      </c>
      <c r="B194" s="236" t="s">
        <v>1582</v>
      </c>
      <c r="C194" s="225">
        <v>1</v>
      </c>
      <c r="D194" s="226" t="s">
        <v>1546</v>
      </c>
      <c r="E194" s="258"/>
      <c r="F194" s="228"/>
    </row>
    <row r="195" spans="1:6" x14ac:dyDescent="0.3">
      <c r="A195" s="226"/>
      <c r="B195" s="229"/>
      <c r="C195" s="225"/>
      <c r="D195" s="226"/>
      <c r="E195" s="255"/>
      <c r="F195" s="228"/>
    </row>
    <row r="196" spans="1:6" ht="66" customHeight="1" x14ac:dyDescent="0.3">
      <c r="A196" s="226" t="s">
        <v>1300</v>
      </c>
      <c r="B196" s="236" t="s">
        <v>1583</v>
      </c>
      <c r="C196" s="225">
        <v>1</v>
      </c>
      <c r="D196" s="226" t="s">
        <v>1546</v>
      </c>
      <c r="E196" s="258"/>
      <c r="F196" s="228"/>
    </row>
    <row r="197" spans="1:6" x14ac:dyDescent="0.3">
      <c r="A197" s="226"/>
      <c r="B197" s="236"/>
      <c r="C197" s="225"/>
      <c r="D197" s="226"/>
      <c r="E197" s="239"/>
      <c r="F197" s="228"/>
    </row>
    <row r="198" spans="1:6" ht="26.4" x14ac:dyDescent="0.3">
      <c r="A198" s="226" t="s">
        <v>1471</v>
      </c>
      <c r="B198" s="236" t="s">
        <v>1584</v>
      </c>
      <c r="C198" s="225">
        <v>1</v>
      </c>
      <c r="D198" s="226" t="s">
        <v>1546</v>
      </c>
      <c r="E198" s="255"/>
      <c r="F198" s="228">
        <f>E198*C198</f>
        <v>0</v>
      </c>
    </row>
    <row r="199" spans="1:6" x14ac:dyDescent="0.3">
      <c r="A199" s="226"/>
      <c r="B199" s="236"/>
      <c r="C199" s="225"/>
      <c r="D199" s="226"/>
      <c r="E199" s="239"/>
      <c r="F199" s="228"/>
    </row>
    <row r="200" spans="1:6" x14ac:dyDescent="0.3">
      <c r="A200" s="226"/>
      <c r="B200" s="236"/>
      <c r="C200" s="225"/>
      <c r="D200" s="226"/>
      <c r="E200" s="239"/>
      <c r="F200" s="228"/>
    </row>
    <row r="201" spans="1:6" x14ac:dyDescent="0.3">
      <c r="A201" s="226"/>
      <c r="B201" s="236"/>
      <c r="C201" s="225"/>
      <c r="D201" s="226"/>
      <c r="E201" s="239"/>
      <c r="F201" s="228"/>
    </row>
    <row r="202" spans="1:6" x14ac:dyDescent="0.3">
      <c r="A202" s="226"/>
      <c r="B202" s="229"/>
      <c r="C202" s="225"/>
      <c r="D202" s="226"/>
      <c r="E202" s="239"/>
      <c r="F202" s="228"/>
    </row>
    <row r="203" spans="1:6" x14ac:dyDescent="0.3">
      <c r="A203" s="226"/>
      <c r="B203" s="229"/>
      <c r="C203" s="225"/>
      <c r="D203" s="226"/>
      <c r="E203" s="239"/>
      <c r="F203" s="240"/>
    </row>
    <row r="204" spans="1:6" x14ac:dyDescent="0.3">
      <c r="A204" s="226"/>
      <c r="B204" s="241" t="s">
        <v>1542</v>
      </c>
      <c r="C204" s="225"/>
      <c r="D204" s="226"/>
      <c r="E204" s="242" t="s">
        <v>1543</v>
      </c>
      <c r="F204" s="243">
        <f>SUM(F178:F202)</f>
        <v>0</v>
      </c>
    </row>
    <row r="205" spans="1:6" x14ac:dyDescent="0.3">
      <c r="A205" s="244"/>
      <c r="B205" s="245"/>
      <c r="C205" s="246"/>
      <c r="D205" s="244"/>
      <c r="E205" s="247"/>
      <c r="F205" s="248"/>
    </row>
    <row r="206" spans="1:6" x14ac:dyDescent="0.3">
      <c r="A206" s="220" t="s">
        <v>1257</v>
      </c>
      <c r="B206" s="221" t="s">
        <v>1258</v>
      </c>
      <c r="C206" s="222" t="s">
        <v>1528</v>
      </c>
      <c r="D206" s="221" t="s">
        <v>1259</v>
      </c>
      <c r="E206" s="222" t="s">
        <v>1260</v>
      </c>
      <c r="F206" s="222" t="s">
        <v>1529</v>
      </c>
    </row>
    <row r="207" spans="1:6" x14ac:dyDescent="0.3">
      <c r="A207" s="223"/>
      <c r="B207" s="249" t="str">
        <f>$B$65</f>
        <v xml:space="preserve">01 00 00 GENERAL REQUIREMENTS </v>
      </c>
      <c r="C207" s="250"/>
      <c r="D207" s="251"/>
      <c r="E207" s="260"/>
      <c r="F207" s="228"/>
    </row>
    <row r="208" spans="1:6" x14ac:dyDescent="0.3">
      <c r="A208" s="224"/>
      <c r="B208" s="229"/>
      <c r="C208" s="225"/>
      <c r="D208" s="226"/>
      <c r="E208" s="258"/>
      <c r="F208" s="228"/>
    </row>
    <row r="209" spans="1:6" x14ac:dyDescent="0.3">
      <c r="A209" s="226"/>
      <c r="B209" s="235" t="s">
        <v>1585</v>
      </c>
      <c r="C209" s="225"/>
      <c r="D209" s="226"/>
      <c r="E209" s="239"/>
      <c r="F209" s="228"/>
    </row>
    <row r="210" spans="1:6" x14ac:dyDescent="0.3">
      <c r="A210" s="226"/>
      <c r="B210" s="229"/>
      <c r="C210" s="225"/>
      <c r="D210" s="226"/>
      <c r="E210" s="239"/>
      <c r="F210" s="228"/>
    </row>
    <row r="211" spans="1:6" ht="39.6" x14ac:dyDescent="0.3">
      <c r="A211" s="226" t="s">
        <v>1293</v>
      </c>
      <c r="B211" s="236" t="s">
        <v>1586</v>
      </c>
      <c r="C211" s="225">
        <v>1</v>
      </c>
      <c r="D211" s="226" t="s">
        <v>1546</v>
      </c>
      <c r="E211" s="258"/>
      <c r="F211" s="228"/>
    </row>
    <row r="212" spans="1:6" x14ac:dyDescent="0.3">
      <c r="A212" s="226"/>
      <c r="B212" s="229"/>
      <c r="C212" s="225"/>
      <c r="D212" s="226"/>
      <c r="E212" s="255"/>
      <c r="F212" s="228"/>
    </row>
    <row r="213" spans="1:6" x14ac:dyDescent="0.3">
      <c r="A213" s="226"/>
      <c r="B213" s="235" t="s">
        <v>1587</v>
      </c>
      <c r="C213" s="225"/>
      <c r="D213" s="226"/>
      <c r="E213" s="255"/>
      <c r="F213" s="228"/>
    </row>
    <row r="214" spans="1:6" x14ac:dyDescent="0.3">
      <c r="A214" s="226"/>
      <c r="B214" s="229"/>
      <c r="C214" s="225"/>
      <c r="D214" s="226"/>
      <c r="E214" s="255"/>
      <c r="F214" s="228"/>
    </row>
    <row r="215" spans="1:6" ht="158.4" x14ac:dyDescent="0.3">
      <c r="A215" s="226" t="str">
        <f>IF(D215&gt;0,IF(INDEX(A180:A214,MATCH(REPT("z",255),A180:A214))="H","J",IF(INDEX(A180:A214,MATCH(REPT("z",255),A180:A214))="N","P",CHAR(CODE(INDEX(A180:A214,MATCH(REPT("z",255),A180:A214)))+1))),)</f>
        <v>B</v>
      </c>
      <c r="B215" s="261" t="s">
        <v>1588</v>
      </c>
      <c r="C215" s="225">
        <v>1</v>
      </c>
      <c r="D215" s="226" t="s">
        <v>1546</v>
      </c>
      <c r="E215" s="258"/>
      <c r="F215" s="228"/>
    </row>
    <row r="216" spans="1:6" x14ac:dyDescent="0.3">
      <c r="A216" s="226"/>
      <c r="B216" s="236"/>
      <c r="C216" s="225"/>
      <c r="D216" s="226"/>
      <c r="E216" s="239"/>
      <c r="F216" s="228"/>
    </row>
    <row r="217" spans="1:6" ht="15" x14ac:dyDescent="0.3">
      <c r="A217" s="226"/>
      <c r="B217" s="237" t="s">
        <v>1589</v>
      </c>
      <c r="C217" s="231"/>
      <c r="D217" s="232"/>
      <c r="E217" s="233"/>
      <c r="F217" s="228"/>
    </row>
    <row r="218" spans="1:6" x14ac:dyDescent="0.3">
      <c r="A218" s="226"/>
      <c r="B218" s="229"/>
      <c r="C218" s="234"/>
      <c r="D218" s="226"/>
      <c r="E218" s="227"/>
      <c r="F218" s="228"/>
    </row>
    <row r="219" spans="1:6" ht="152.25" customHeight="1" x14ac:dyDescent="0.3">
      <c r="A219" s="226" t="s">
        <v>1464</v>
      </c>
      <c r="B219" s="236" t="s">
        <v>1590</v>
      </c>
      <c r="C219" s="225">
        <v>1</v>
      </c>
      <c r="D219" s="226" t="s">
        <v>1546</v>
      </c>
      <c r="E219" s="253"/>
      <c r="F219" s="228"/>
    </row>
    <row r="220" spans="1:6" x14ac:dyDescent="0.3">
      <c r="A220" s="226"/>
      <c r="B220" s="229"/>
      <c r="C220" s="225"/>
      <c r="D220" s="226"/>
      <c r="E220" s="255"/>
      <c r="F220" s="228"/>
    </row>
    <row r="221" spans="1:6" ht="66" x14ac:dyDescent="0.3">
      <c r="A221" s="226" t="s">
        <v>1466</v>
      </c>
      <c r="B221" s="236" t="s">
        <v>1591</v>
      </c>
      <c r="C221" s="225">
        <v>1</v>
      </c>
      <c r="D221" s="226" t="s">
        <v>1546</v>
      </c>
      <c r="E221" s="258"/>
      <c r="F221" s="228"/>
    </row>
    <row r="222" spans="1:6" x14ac:dyDescent="0.3">
      <c r="A222" s="226"/>
      <c r="B222" s="256"/>
      <c r="C222" s="225"/>
      <c r="D222" s="226"/>
      <c r="E222" s="239"/>
      <c r="F222" s="228"/>
    </row>
    <row r="223" spans="1:6" x14ac:dyDescent="0.3">
      <c r="A223" s="226"/>
      <c r="B223" s="256"/>
      <c r="C223" s="225"/>
      <c r="D223" s="226"/>
      <c r="E223" s="239"/>
      <c r="F223" s="228"/>
    </row>
    <row r="224" spans="1:6" x14ac:dyDescent="0.3">
      <c r="A224" s="226"/>
      <c r="B224" s="256"/>
      <c r="C224" s="225"/>
      <c r="D224" s="226"/>
      <c r="E224" s="239"/>
      <c r="F224" s="228"/>
    </row>
    <row r="225" spans="1:6" x14ac:dyDescent="0.3">
      <c r="A225" s="226"/>
      <c r="B225" s="256"/>
      <c r="C225" s="225"/>
      <c r="D225" s="226"/>
      <c r="E225" s="239"/>
      <c r="F225" s="228"/>
    </row>
    <row r="226" spans="1:6" x14ac:dyDescent="0.3">
      <c r="A226" s="226"/>
      <c r="B226" s="256"/>
      <c r="C226" s="225"/>
      <c r="D226" s="226"/>
      <c r="E226" s="239"/>
      <c r="F226" s="228"/>
    </row>
    <row r="227" spans="1:6" x14ac:dyDescent="0.3">
      <c r="A227" s="226"/>
      <c r="B227" s="256"/>
      <c r="C227" s="225"/>
      <c r="D227" s="226"/>
      <c r="E227" s="239"/>
      <c r="F227" s="228"/>
    </row>
    <row r="228" spans="1:6" x14ac:dyDescent="0.3">
      <c r="A228" s="226"/>
      <c r="B228" s="256"/>
      <c r="C228" s="225"/>
      <c r="D228" s="226"/>
      <c r="E228" s="239"/>
      <c r="F228" s="228"/>
    </row>
    <row r="229" spans="1:6" x14ac:dyDescent="0.3">
      <c r="A229" s="226"/>
      <c r="B229" s="256"/>
      <c r="C229" s="225"/>
      <c r="D229" s="226"/>
      <c r="E229" s="239"/>
      <c r="F229" s="228"/>
    </row>
    <row r="230" spans="1:6" x14ac:dyDescent="0.3">
      <c r="A230" s="226"/>
      <c r="B230" s="256"/>
      <c r="C230" s="225"/>
      <c r="D230" s="226"/>
      <c r="E230" s="239"/>
      <c r="F230" s="228"/>
    </row>
    <row r="231" spans="1:6" x14ac:dyDescent="0.3">
      <c r="A231" s="226"/>
      <c r="B231" s="256"/>
      <c r="C231" s="225"/>
      <c r="D231" s="226"/>
      <c r="E231" s="239"/>
      <c r="F231" s="228"/>
    </row>
    <row r="232" spans="1:6" x14ac:dyDescent="0.3">
      <c r="A232" s="226"/>
      <c r="B232" s="256"/>
      <c r="C232" s="225"/>
      <c r="D232" s="226"/>
      <c r="E232" s="239"/>
      <c r="F232" s="228"/>
    </row>
    <row r="233" spans="1:6" x14ac:dyDescent="0.3">
      <c r="A233" s="226"/>
      <c r="B233" s="256"/>
      <c r="C233" s="225"/>
      <c r="D233" s="226"/>
      <c r="E233" s="239"/>
      <c r="F233" s="228"/>
    </row>
    <row r="234" spans="1:6" ht="14.55" customHeight="1" x14ac:dyDescent="0.3">
      <c r="A234" s="226"/>
      <c r="B234" s="256"/>
      <c r="C234" s="225"/>
      <c r="D234" s="226"/>
      <c r="E234" s="239"/>
      <c r="F234" s="228"/>
    </row>
    <row r="235" spans="1:6" x14ac:dyDescent="0.3">
      <c r="A235" s="226"/>
      <c r="B235" s="256"/>
      <c r="C235" s="225"/>
      <c r="D235" s="226"/>
      <c r="E235" s="239"/>
      <c r="F235" s="228"/>
    </row>
    <row r="236" spans="1:6" x14ac:dyDescent="0.3">
      <c r="A236" s="226"/>
      <c r="B236" s="256"/>
      <c r="C236" s="225"/>
      <c r="D236" s="226"/>
      <c r="E236" s="239"/>
      <c r="F236" s="228"/>
    </row>
    <row r="237" spans="1:6" x14ac:dyDescent="0.3">
      <c r="A237" s="226"/>
      <c r="B237" s="256"/>
      <c r="C237" s="225"/>
      <c r="D237" s="226"/>
      <c r="E237" s="239"/>
      <c r="F237" s="228"/>
    </row>
    <row r="238" spans="1:6" x14ac:dyDescent="0.3">
      <c r="A238" s="226"/>
      <c r="B238" s="229"/>
      <c r="C238" s="225"/>
      <c r="D238" s="226"/>
      <c r="E238" s="239"/>
      <c r="F238" s="240"/>
    </row>
    <row r="239" spans="1:6" x14ac:dyDescent="0.3">
      <c r="A239" s="226"/>
      <c r="B239" s="241" t="s">
        <v>1542</v>
      </c>
      <c r="C239" s="225"/>
      <c r="D239" s="226"/>
      <c r="E239" s="242" t="s">
        <v>1543</v>
      </c>
      <c r="F239" s="243">
        <f>SUM(F207:F237)</f>
        <v>0</v>
      </c>
    </row>
    <row r="240" spans="1:6" x14ac:dyDescent="0.3">
      <c r="A240" s="244"/>
      <c r="B240" s="245"/>
      <c r="C240" s="246"/>
      <c r="D240" s="244"/>
      <c r="E240" s="247"/>
      <c r="F240" s="248"/>
    </row>
    <row r="241" spans="1:6" x14ac:dyDescent="0.3">
      <c r="A241" s="220" t="s">
        <v>1257</v>
      </c>
      <c r="B241" s="221" t="s">
        <v>1258</v>
      </c>
      <c r="C241" s="222" t="s">
        <v>1528</v>
      </c>
      <c r="D241" s="221" t="s">
        <v>1259</v>
      </c>
      <c r="E241" s="222" t="s">
        <v>1260</v>
      </c>
      <c r="F241" s="222" t="s">
        <v>1529</v>
      </c>
    </row>
    <row r="242" spans="1:6" x14ac:dyDescent="0.3">
      <c r="A242" s="223"/>
      <c r="B242" s="249" t="str">
        <f>$B$65</f>
        <v xml:space="preserve">01 00 00 GENERAL REQUIREMENTS </v>
      </c>
      <c r="C242" s="250"/>
      <c r="D242" s="251"/>
      <c r="E242" s="260"/>
      <c r="F242" s="228"/>
    </row>
    <row r="243" spans="1:6" x14ac:dyDescent="0.3">
      <c r="A243" s="224"/>
      <c r="B243" s="229"/>
      <c r="C243" s="225"/>
      <c r="D243" s="226"/>
      <c r="E243" s="258"/>
      <c r="F243" s="228"/>
    </row>
    <row r="244" spans="1:6" x14ac:dyDescent="0.3">
      <c r="A244" s="226"/>
      <c r="B244" s="237" t="s">
        <v>1592</v>
      </c>
      <c r="C244" s="225"/>
      <c r="D244" s="226"/>
      <c r="E244" s="239"/>
      <c r="F244" s="228"/>
    </row>
    <row r="245" spans="1:6" x14ac:dyDescent="0.3">
      <c r="A245" s="226"/>
      <c r="B245" s="229"/>
      <c r="C245" s="225"/>
      <c r="D245" s="226"/>
      <c r="E245" s="239"/>
      <c r="F245" s="228"/>
    </row>
    <row r="246" spans="1:6" ht="132" x14ac:dyDescent="0.3">
      <c r="A246" s="226" t="s">
        <v>1293</v>
      </c>
      <c r="B246" s="236" t="s">
        <v>1593</v>
      </c>
      <c r="C246" s="225">
        <v>1</v>
      </c>
      <c r="D246" s="226" t="s">
        <v>1546</v>
      </c>
      <c r="E246" s="253"/>
      <c r="F246" s="228"/>
    </row>
    <row r="247" spans="1:6" x14ac:dyDescent="0.3">
      <c r="A247" s="226"/>
      <c r="B247" s="229"/>
      <c r="C247" s="225"/>
      <c r="D247" s="226"/>
      <c r="E247" s="239"/>
      <c r="F247" s="228"/>
    </row>
    <row r="248" spans="1:6" ht="52.8" x14ac:dyDescent="0.3">
      <c r="A248" s="226" t="s">
        <v>1377</v>
      </c>
      <c r="B248" s="236" t="s">
        <v>1594</v>
      </c>
      <c r="C248" s="225">
        <v>1</v>
      </c>
      <c r="D248" s="226" t="s">
        <v>1546</v>
      </c>
      <c r="E248" s="253"/>
      <c r="F248" s="228"/>
    </row>
    <row r="249" spans="1:6" x14ac:dyDescent="0.3">
      <c r="A249" s="226"/>
      <c r="B249" s="229"/>
      <c r="C249" s="225"/>
      <c r="D249" s="226"/>
      <c r="E249" s="239"/>
      <c r="F249" s="228"/>
    </row>
    <row r="250" spans="1:6" x14ac:dyDescent="0.3">
      <c r="A250" s="226"/>
      <c r="B250" s="235" t="s">
        <v>1595</v>
      </c>
      <c r="C250" s="225"/>
      <c r="D250" s="226"/>
      <c r="E250" s="239"/>
      <c r="F250" s="228"/>
    </row>
    <row r="251" spans="1:6" x14ac:dyDescent="0.3">
      <c r="A251" s="226"/>
      <c r="B251" s="229"/>
      <c r="C251" s="225"/>
      <c r="D251" s="226"/>
      <c r="E251" s="239"/>
      <c r="F251" s="228"/>
    </row>
    <row r="252" spans="1:6" ht="92.4" x14ac:dyDescent="0.3">
      <c r="A252" s="226" t="s">
        <v>1464</v>
      </c>
      <c r="B252" s="236" t="s">
        <v>1596</v>
      </c>
      <c r="C252" s="225">
        <v>1</v>
      </c>
      <c r="D252" s="226" t="s">
        <v>1546</v>
      </c>
      <c r="E252" s="258"/>
      <c r="F252" s="228"/>
    </row>
    <row r="253" spans="1:6" x14ac:dyDescent="0.3">
      <c r="A253" s="226"/>
      <c r="B253" s="237"/>
      <c r="C253" s="225"/>
      <c r="D253" s="226"/>
      <c r="E253" s="255"/>
      <c r="F253" s="228"/>
    </row>
    <row r="254" spans="1:6" ht="15" x14ac:dyDescent="0.3">
      <c r="A254" s="226"/>
      <c r="B254" s="237" t="s">
        <v>1597</v>
      </c>
      <c r="C254" s="231"/>
      <c r="D254" s="232"/>
      <c r="E254" s="262"/>
      <c r="F254" s="228"/>
    </row>
    <row r="255" spans="1:6" x14ac:dyDescent="0.3">
      <c r="A255" s="226"/>
      <c r="B255" s="229"/>
      <c r="C255" s="234"/>
      <c r="D255" s="226"/>
      <c r="E255" s="263"/>
      <c r="F255" s="228"/>
    </row>
    <row r="256" spans="1:6" ht="26.4" x14ac:dyDescent="0.3">
      <c r="A256" s="226" t="s">
        <v>1466</v>
      </c>
      <c r="B256" s="236" t="s">
        <v>1598</v>
      </c>
      <c r="C256" s="225">
        <v>1</v>
      </c>
      <c r="D256" s="226" t="s">
        <v>1546</v>
      </c>
      <c r="E256" s="258"/>
      <c r="F256" s="228"/>
    </row>
    <row r="257" spans="1:6" x14ac:dyDescent="0.3">
      <c r="A257" s="226"/>
      <c r="B257" s="229"/>
      <c r="C257" s="225"/>
      <c r="D257" s="226"/>
      <c r="E257" s="239"/>
      <c r="F257" s="228"/>
    </row>
    <row r="258" spans="1:6" x14ac:dyDescent="0.3">
      <c r="A258" s="226"/>
      <c r="B258" s="235" t="s">
        <v>1599</v>
      </c>
      <c r="C258" s="225"/>
      <c r="D258" s="226"/>
      <c r="E258" s="239"/>
      <c r="F258" s="228"/>
    </row>
    <row r="259" spans="1:6" x14ac:dyDescent="0.3">
      <c r="A259" s="226"/>
      <c r="B259" s="256"/>
      <c r="C259" s="225"/>
      <c r="D259" s="226"/>
      <c r="E259" s="239"/>
      <c r="F259" s="228"/>
    </row>
    <row r="260" spans="1:6" ht="47.25" customHeight="1" x14ac:dyDescent="0.3">
      <c r="A260" s="226" t="s">
        <v>1468</v>
      </c>
      <c r="B260" s="236" t="s">
        <v>1600</v>
      </c>
      <c r="C260" s="225">
        <v>1</v>
      </c>
      <c r="D260" s="226" t="s">
        <v>1546</v>
      </c>
      <c r="E260" s="258"/>
      <c r="F260" s="228"/>
    </row>
    <row r="261" spans="1:6" x14ac:dyDescent="0.3">
      <c r="A261" s="226"/>
      <c r="B261" s="237"/>
      <c r="C261" s="225"/>
      <c r="D261" s="226"/>
      <c r="E261" s="239"/>
      <c r="F261" s="228"/>
    </row>
    <row r="262" spans="1:6" x14ac:dyDescent="0.3">
      <c r="A262" s="226"/>
      <c r="B262" s="237"/>
      <c r="C262" s="225"/>
      <c r="D262" s="226"/>
      <c r="E262" s="239"/>
      <c r="F262" s="228"/>
    </row>
    <row r="263" spans="1:6" x14ac:dyDescent="0.3">
      <c r="A263" s="226"/>
      <c r="B263" s="237"/>
      <c r="C263" s="225"/>
      <c r="D263" s="226"/>
      <c r="E263" s="239"/>
      <c r="F263" s="228"/>
    </row>
    <row r="264" spans="1:6" x14ac:dyDescent="0.3">
      <c r="A264" s="226"/>
      <c r="B264" s="237"/>
      <c r="C264" s="225"/>
      <c r="D264" s="226"/>
      <c r="E264" s="239"/>
      <c r="F264" s="228"/>
    </row>
    <row r="265" spans="1:6" x14ac:dyDescent="0.3">
      <c r="A265" s="226"/>
      <c r="B265" s="237"/>
      <c r="C265" s="225"/>
      <c r="D265" s="226"/>
      <c r="E265" s="239"/>
      <c r="F265" s="228"/>
    </row>
    <row r="266" spans="1:6" x14ac:dyDescent="0.3">
      <c r="A266" s="226"/>
      <c r="B266" s="237"/>
      <c r="C266" s="225"/>
      <c r="D266" s="226"/>
      <c r="E266" s="239"/>
      <c r="F266" s="228"/>
    </row>
    <row r="267" spans="1:6" x14ac:dyDescent="0.3">
      <c r="A267" s="226"/>
      <c r="B267" s="237"/>
      <c r="C267" s="225"/>
      <c r="D267" s="226"/>
      <c r="E267" s="239"/>
      <c r="F267" s="228"/>
    </row>
    <row r="268" spans="1:6" x14ac:dyDescent="0.3">
      <c r="A268" s="226"/>
      <c r="B268" s="237"/>
      <c r="C268" s="225"/>
      <c r="D268" s="226"/>
      <c r="E268" s="239"/>
      <c r="F268" s="228"/>
    </row>
    <row r="269" spans="1:6" x14ac:dyDescent="0.3">
      <c r="A269" s="226"/>
      <c r="B269" s="237"/>
      <c r="C269" s="225"/>
      <c r="D269" s="226"/>
      <c r="E269" s="239"/>
      <c r="F269" s="228"/>
    </row>
    <row r="270" spans="1:6" x14ac:dyDescent="0.3">
      <c r="A270" s="226"/>
      <c r="B270" s="237"/>
      <c r="C270" s="225"/>
      <c r="D270" s="226"/>
      <c r="E270" s="239"/>
      <c r="F270" s="228"/>
    </row>
    <row r="271" spans="1:6" x14ac:dyDescent="0.3">
      <c r="A271" s="226"/>
      <c r="B271" s="237"/>
      <c r="C271" s="225"/>
      <c r="D271" s="226"/>
      <c r="E271" s="239"/>
      <c r="F271" s="228"/>
    </row>
    <row r="272" spans="1:6" x14ac:dyDescent="0.3">
      <c r="A272" s="226"/>
      <c r="B272" s="237"/>
      <c r="C272" s="225"/>
      <c r="D272" s="226"/>
      <c r="E272" s="239"/>
      <c r="F272" s="228"/>
    </row>
    <row r="273" spans="1:6" x14ac:dyDescent="0.3">
      <c r="A273" s="226"/>
      <c r="B273" s="237"/>
      <c r="C273" s="225"/>
      <c r="D273" s="226"/>
      <c r="E273" s="239"/>
      <c r="F273" s="228"/>
    </row>
    <row r="274" spans="1:6" x14ac:dyDescent="0.3">
      <c r="A274" s="226"/>
      <c r="B274" s="237"/>
      <c r="C274" s="225"/>
      <c r="D274" s="226"/>
      <c r="E274" s="239"/>
      <c r="F274" s="228"/>
    </row>
    <row r="275" spans="1:6" x14ac:dyDescent="0.3">
      <c r="A275" s="226"/>
      <c r="B275" s="236"/>
      <c r="C275" s="225"/>
      <c r="D275" s="226"/>
      <c r="E275" s="239"/>
      <c r="F275" s="228"/>
    </row>
    <row r="276" spans="1:6" x14ac:dyDescent="0.3">
      <c r="A276" s="226"/>
      <c r="B276" s="229"/>
      <c r="C276" s="225"/>
      <c r="D276" s="226"/>
      <c r="E276" s="239"/>
      <c r="F276" s="240"/>
    </row>
    <row r="277" spans="1:6" x14ac:dyDescent="0.3">
      <c r="A277" s="226"/>
      <c r="B277" s="241" t="s">
        <v>1542</v>
      </c>
      <c r="C277" s="225"/>
      <c r="D277" s="226"/>
      <c r="E277" s="242" t="s">
        <v>1543</v>
      </c>
      <c r="F277" s="243">
        <f>SUM(F242:F275)</f>
        <v>0</v>
      </c>
    </row>
    <row r="278" spans="1:6" x14ac:dyDescent="0.3">
      <c r="A278" s="244"/>
      <c r="B278" s="245"/>
      <c r="C278" s="246"/>
      <c r="D278" s="244"/>
      <c r="E278" s="247"/>
      <c r="F278" s="248"/>
    </row>
    <row r="279" spans="1:6" x14ac:dyDescent="0.3">
      <c r="A279" s="220" t="s">
        <v>1257</v>
      </c>
      <c r="B279" s="221" t="s">
        <v>1258</v>
      </c>
      <c r="C279" s="222" t="s">
        <v>1528</v>
      </c>
      <c r="D279" s="221" t="s">
        <v>1259</v>
      </c>
      <c r="E279" s="222" t="s">
        <v>1260</v>
      </c>
      <c r="F279" s="222" t="s">
        <v>1529</v>
      </c>
    </row>
    <row r="280" spans="1:6" x14ac:dyDescent="0.3">
      <c r="A280" s="223"/>
      <c r="B280" s="249" t="str">
        <f>$B$65</f>
        <v xml:space="preserve">01 00 00 GENERAL REQUIREMENTS </v>
      </c>
      <c r="C280" s="250"/>
      <c r="D280" s="251"/>
      <c r="E280" s="260"/>
      <c r="F280" s="228"/>
    </row>
    <row r="281" spans="1:6" x14ac:dyDescent="0.3">
      <c r="A281" s="224"/>
      <c r="B281" s="229"/>
      <c r="C281" s="225"/>
      <c r="D281" s="226"/>
      <c r="E281" s="258"/>
      <c r="F281" s="228"/>
    </row>
    <row r="282" spans="1:6" x14ac:dyDescent="0.3">
      <c r="A282" s="226"/>
      <c r="B282" s="236"/>
      <c r="C282" s="225"/>
      <c r="D282" s="226"/>
      <c r="E282" s="255"/>
      <c r="F282" s="228"/>
    </row>
    <row r="283" spans="1:6" x14ac:dyDescent="0.3">
      <c r="A283" s="226"/>
      <c r="B283" s="235" t="s">
        <v>1601</v>
      </c>
      <c r="C283" s="225"/>
      <c r="D283" s="226"/>
      <c r="E283" s="255"/>
      <c r="F283" s="228"/>
    </row>
    <row r="284" spans="1:6" ht="8.25" customHeight="1" x14ac:dyDescent="0.3">
      <c r="A284" s="226"/>
      <c r="B284" s="236"/>
      <c r="C284" s="225"/>
      <c r="D284" s="226"/>
      <c r="E284" s="255"/>
      <c r="F284" s="228"/>
    </row>
    <row r="285" spans="1:6" ht="56.25" customHeight="1" x14ac:dyDescent="0.3">
      <c r="A285" s="226" t="s">
        <v>1293</v>
      </c>
      <c r="B285" s="236" t="s">
        <v>1602</v>
      </c>
      <c r="C285" s="225">
        <v>1</v>
      </c>
      <c r="D285" s="226" t="s">
        <v>1546</v>
      </c>
      <c r="E285" s="258"/>
      <c r="F285" s="228"/>
    </row>
    <row r="286" spans="1:6" ht="9.15" customHeight="1" x14ac:dyDescent="0.3">
      <c r="A286" s="226"/>
      <c r="B286" s="236"/>
      <c r="C286" s="225"/>
      <c r="D286" s="226"/>
      <c r="E286" s="239"/>
      <c r="F286" s="228"/>
    </row>
    <row r="287" spans="1:6" ht="40.5" customHeight="1" x14ac:dyDescent="0.3">
      <c r="A287" s="226" t="s">
        <v>1377</v>
      </c>
      <c r="B287" s="236" t="s">
        <v>1603</v>
      </c>
      <c r="C287" s="225">
        <v>1</v>
      </c>
      <c r="D287" s="226" t="s">
        <v>1546</v>
      </c>
      <c r="E287" s="253"/>
      <c r="F287" s="228"/>
    </row>
    <row r="288" spans="1:6" x14ac:dyDescent="0.3">
      <c r="A288" s="226"/>
      <c r="B288" s="236"/>
      <c r="C288" s="225"/>
      <c r="D288" s="226"/>
      <c r="E288" s="239"/>
      <c r="F288" s="228"/>
    </row>
    <row r="289" spans="1:6" ht="15" customHeight="1" x14ac:dyDescent="0.3">
      <c r="A289" s="226" t="s">
        <v>1464</v>
      </c>
      <c r="B289" s="236" t="s">
        <v>1604</v>
      </c>
      <c r="C289" s="225">
        <v>1</v>
      </c>
      <c r="D289" s="226" t="s">
        <v>1546</v>
      </c>
      <c r="E289" s="253"/>
      <c r="F289" s="228"/>
    </row>
    <row r="290" spans="1:6" ht="15" customHeight="1" x14ac:dyDescent="0.3">
      <c r="A290" s="226"/>
      <c r="B290" s="236"/>
      <c r="C290" s="225"/>
      <c r="D290" s="226"/>
      <c r="E290" s="239"/>
      <c r="F290" s="228"/>
    </row>
    <row r="291" spans="1:6" ht="26.4" x14ac:dyDescent="0.3">
      <c r="A291" s="226"/>
      <c r="B291" s="235" t="s">
        <v>1605</v>
      </c>
      <c r="C291" s="225"/>
      <c r="D291" s="226"/>
      <c r="E291" s="255"/>
      <c r="F291" s="228"/>
    </row>
    <row r="292" spans="1:6" ht="10.5" customHeight="1" x14ac:dyDescent="0.3">
      <c r="A292" s="226"/>
      <c r="B292" s="236"/>
      <c r="C292" s="225"/>
      <c r="D292" s="226"/>
      <c r="E292" s="255"/>
      <c r="F292" s="228"/>
    </row>
    <row r="293" spans="1:6" ht="26.4" x14ac:dyDescent="0.3">
      <c r="A293" s="226" t="s">
        <v>1466</v>
      </c>
      <c r="B293" s="236" t="s">
        <v>1606</v>
      </c>
      <c r="C293" s="225">
        <v>1</v>
      </c>
      <c r="D293" s="226" t="s">
        <v>38</v>
      </c>
      <c r="E293" s="255"/>
      <c r="F293" s="228"/>
    </row>
    <row r="294" spans="1:6" x14ac:dyDescent="0.3">
      <c r="A294" s="226"/>
      <c r="B294" s="236"/>
      <c r="C294" s="225"/>
      <c r="D294" s="226"/>
      <c r="E294" s="255"/>
      <c r="F294" s="228"/>
    </row>
    <row r="295" spans="1:6" x14ac:dyDescent="0.3">
      <c r="A295" s="226"/>
      <c r="B295" s="235" t="s">
        <v>1607</v>
      </c>
      <c r="C295" s="225"/>
      <c r="D295" s="226"/>
      <c r="E295" s="255"/>
      <c r="F295" s="228"/>
    </row>
    <row r="296" spans="1:6" ht="10.050000000000001" customHeight="1" x14ac:dyDescent="0.3">
      <c r="A296" s="226"/>
      <c r="B296" s="235"/>
      <c r="C296" s="225"/>
      <c r="D296" s="226"/>
      <c r="E296" s="255"/>
      <c r="F296" s="228"/>
    </row>
    <row r="297" spans="1:6" x14ac:dyDescent="0.3">
      <c r="A297" s="226" t="s">
        <v>1468</v>
      </c>
      <c r="B297" s="236" t="s">
        <v>1608</v>
      </c>
      <c r="C297" s="225">
        <v>1</v>
      </c>
      <c r="D297" s="226" t="s">
        <v>38</v>
      </c>
      <c r="E297" s="255"/>
      <c r="F297" s="228"/>
    </row>
    <row r="298" spans="1:6" x14ac:dyDescent="0.3">
      <c r="A298" s="226"/>
      <c r="B298" s="236"/>
      <c r="C298" s="225"/>
      <c r="D298" s="226"/>
      <c r="E298" s="255"/>
      <c r="F298" s="228"/>
    </row>
    <row r="299" spans="1:6" ht="26.4" x14ac:dyDescent="0.3">
      <c r="A299" s="226" t="s">
        <v>1300</v>
      </c>
      <c r="B299" s="236" t="s">
        <v>1609</v>
      </c>
      <c r="C299" s="225">
        <v>1</v>
      </c>
      <c r="D299" s="226" t="s">
        <v>1546</v>
      </c>
      <c r="E299" s="255"/>
      <c r="F299" s="228"/>
    </row>
    <row r="300" spans="1:6" ht="10.5" customHeight="1" x14ac:dyDescent="0.3">
      <c r="A300" s="226"/>
      <c r="B300" s="236"/>
      <c r="C300" s="225"/>
      <c r="D300" s="226"/>
      <c r="E300" s="239"/>
      <c r="F300" s="228"/>
    </row>
    <row r="301" spans="1:6" x14ac:dyDescent="0.3">
      <c r="A301" s="226"/>
      <c r="B301" s="235" t="s">
        <v>1610</v>
      </c>
      <c r="C301" s="225"/>
      <c r="D301" s="226"/>
      <c r="E301" s="253"/>
      <c r="F301" s="228"/>
    </row>
    <row r="302" spans="1:6" ht="8.6999999999999993" customHeight="1" x14ac:dyDescent="0.3">
      <c r="A302" s="226"/>
      <c r="B302" s="235"/>
      <c r="C302" s="225"/>
      <c r="D302" s="226"/>
      <c r="E302" s="253"/>
      <c r="F302" s="228"/>
    </row>
    <row r="303" spans="1:6" s="268" customFormat="1" x14ac:dyDescent="0.3">
      <c r="A303" s="264"/>
      <c r="B303" s="236" t="s">
        <v>1611</v>
      </c>
      <c r="C303" s="265"/>
      <c r="D303" s="266"/>
      <c r="E303" s="253"/>
      <c r="F303" s="267"/>
    </row>
    <row r="304" spans="1:6" x14ac:dyDescent="0.3">
      <c r="A304" s="269"/>
      <c r="B304" s="236"/>
      <c r="C304" s="225"/>
      <c r="D304" s="226"/>
      <c r="E304" s="253"/>
      <c r="F304" s="228"/>
    </row>
    <row r="305" spans="1:6" ht="26.4" x14ac:dyDescent="0.3">
      <c r="A305" s="269" t="s">
        <v>1471</v>
      </c>
      <c r="B305" s="236" t="s">
        <v>1612</v>
      </c>
      <c r="C305" s="225"/>
      <c r="D305" s="226"/>
      <c r="E305" s="253"/>
      <c r="F305" s="228"/>
    </row>
    <row r="306" spans="1:6" x14ac:dyDescent="0.3">
      <c r="A306" s="269"/>
      <c r="B306" s="236"/>
      <c r="C306" s="225"/>
      <c r="D306" s="226"/>
      <c r="E306" s="253"/>
      <c r="F306" s="228"/>
    </row>
    <row r="307" spans="1:6" ht="26.4" x14ac:dyDescent="0.3">
      <c r="A307" s="269" t="s">
        <v>1473</v>
      </c>
      <c r="B307" s="236" t="s">
        <v>1613</v>
      </c>
      <c r="C307" s="225">
        <v>1</v>
      </c>
      <c r="D307" s="226" t="s">
        <v>1546</v>
      </c>
      <c r="E307" s="253"/>
      <c r="F307" s="228"/>
    </row>
    <row r="308" spans="1:6" x14ac:dyDescent="0.3">
      <c r="A308" s="269"/>
      <c r="B308" s="236"/>
      <c r="C308" s="225"/>
      <c r="D308" s="226"/>
      <c r="E308" s="253"/>
      <c r="F308" s="228"/>
    </row>
    <row r="309" spans="1:6" ht="39.6" x14ac:dyDescent="0.3">
      <c r="A309" s="269" t="s">
        <v>1475</v>
      </c>
      <c r="B309" s="236" t="s">
        <v>1614</v>
      </c>
      <c r="C309" s="225">
        <v>1</v>
      </c>
      <c r="D309" s="226" t="s">
        <v>1546</v>
      </c>
      <c r="E309" s="253"/>
      <c r="F309" s="228"/>
    </row>
    <row r="310" spans="1:6" x14ac:dyDescent="0.3">
      <c r="A310" s="269"/>
      <c r="B310" s="236"/>
      <c r="C310" s="225"/>
      <c r="D310" s="226"/>
      <c r="E310" s="253"/>
      <c r="F310" s="228"/>
    </row>
    <row r="311" spans="1:6" s="270" customFormat="1" ht="79.2" x14ac:dyDescent="0.3">
      <c r="A311" s="226" t="s">
        <v>1477</v>
      </c>
      <c r="B311" s="236" t="s">
        <v>1615</v>
      </c>
      <c r="C311" s="225">
        <v>1</v>
      </c>
      <c r="D311" s="226" t="s">
        <v>1546</v>
      </c>
      <c r="E311" s="253"/>
      <c r="F311" s="228"/>
    </row>
    <row r="312" spans="1:6" s="270" customFormat="1" ht="3.75" customHeight="1" x14ac:dyDescent="0.3">
      <c r="A312" s="226"/>
      <c r="B312" s="236"/>
      <c r="C312" s="225"/>
      <c r="D312" s="226"/>
      <c r="E312" s="253"/>
      <c r="F312" s="228"/>
    </row>
    <row r="313" spans="1:6" ht="26.4" x14ac:dyDescent="0.3">
      <c r="A313" s="269" t="s">
        <v>1479</v>
      </c>
      <c r="B313" s="236" t="s">
        <v>1616</v>
      </c>
      <c r="C313" s="225">
        <v>1</v>
      </c>
      <c r="D313" s="226" t="s">
        <v>38</v>
      </c>
      <c r="E313" s="253"/>
      <c r="F313" s="228"/>
    </row>
    <row r="314" spans="1:6" ht="8.25" customHeight="1" x14ac:dyDescent="0.3">
      <c r="A314" s="269"/>
      <c r="B314" s="236"/>
      <c r="C314" s="225"/>
      <c r="D314" s="226"/>
      <c r="E314" s="253"/>
      <c r="F314" s="228"/>
    </row>
    <row r="315" spans="1:6" ht="26.4" x14ac:dyDescent="0.3">
      <c r="A315" s="269" t="s">
        <v>1395</v>
      </c>
      <c r="B315" s="236" t="s">
        <v>1617</v>
      </c>
      <c r="C315" s="225">
        <v>1</v>
      </c>
      <c r="D315" s="226" t="s">
        <v>38</v>
      </c>
      <c r="E315" s="253"/>
      <c r="F315" s="228"/>
    </row>
    <row r="316" spans="1:6" x14ac:dyDescent="0.3">
      <c r="A316" s="269"/>
      <c r="B316" s="236"/>
      <c r="C316" s="225"/>
      <c r="D316" s="226"/>
      <c r="E316" s="253"/>
      <c r="F316" s="228"/>
    </row>
    <row r="317" spans="1:6" ht="26.4" x14ac:dyDescent="0.3">
      <c r="A317" s="269" t="s">
        <v>1482</v>
      </c>
      <c r="B317" s="236" t="s">
        <v>1618</v>
      </c>
      <c r="C317" s="225">
        <v>1</v>
      </c>
      <c r="D317" s="226" t="s">
        <v>38</v>
      </c>
      <c r="E317" s="253"/>
      <c r="F317" s="228"/>
    </row>
    <row r="318" spans="1:6" x14ac:dyDescent="0.3">
      <c r="A318" s="269"/>
      <c r="B318" s="236"/>
      <c r="C318" s="225"/>
      <c r="D318" s="226"/>
      <c r="E318" s="253"/>
      <c r="F318" s="228"/>
    </row>
    <row r="319" spans="1:6" ht="26.4" x14ac:dyDescent="0.3">
      <c r="A319" s="269" t="s">
        <v>1619</v>
      </c>
      <c r="B319" s="236" t="s">
        <v>1617</v>
      </c>
      <c r="C319" s="225">
        <v>1</v>
      </c>
      <c r="D319" s="226" t="s">
        <v>38</v>
      </c>
      <c r="E319" s="253"/>
      <c r="F319" s="228"/>
    </row>
    <row r="320" spans="1:6" x14ac:dyDescent="0.3">
      <c r="A320" s="226"/>
      <c r="B320" s="229"/>
      <c r="C320" s="225"/>
      <c r="D320" s="226"/>
      <c r="E320" s="239"/>
      <c r="F320" s="240"/>
    </row>
    <row r="321" spans="1:6" x14ac:dyDescent="0.3">
      <c r="A321" s="226"/>
      <c r="B321" s="241" t="s">
        <v>1542</v>
      </c>
      <c r="C321" s="225"/>
      <c r="D321" s="226"/>
      <c r="E321" s="242" t="s">
        <v>1543</v>
      </c>
      <c r="F321" s="243">
        <f>SUM(F280:F319)</f>
        <v>0</v>
      </c>
    </row>
    <row r="322" spans="1:6" x14ac:dyDescent="0.3">
      <c r="A322" s="244"/>
      <c r="B322" s="245"/>
      <c r="C322" s="246"/>
      <c r="D322" s="244"/>
      <c r="E322" s="247"/>
      <c r="F322" s="248"/>
    </row>
    <row r="323" spans="1:6" x14ac:dyDescent="0.3">
      <c r="A323" s="220" t="s">
        <v>1257</v>
      </c>
      <c r="B323" s="221" t="s">
        <v>1258</v>
      </c>
      <c r="C323" s="222" t="s">
        <v>1528</v>
      </c>
      <c r="D323" s="221" t="s">
        <v>1259</v>
      </c>
      <c r="E323" s="222" t="s">
        <v>1260</v>
      </c>
      <c r="F323" s="222" t="s">
        <v>1529</v>
      </c>
    </row>
    <row r="324" spans="1:6" x14ac:dyDescent="0.3">
      <c r="A324" s="223"/>
      <c r="B324" s="249" t="str">
        <f>$B$65</f>
        <v xml:space="preserve">01 00 00 GENERAL REQUIREMENTS </v>
      </c>
      <c r="C324" s="250"/>
      <c r="D324" s="251"/>
      <c r="E324" s="260"/>
      <c r="F324" s="228"/>
    </row>
    <row r="325" spans="1:6" x14ac:dyDescent="0.3">
      <c r="A325" s="224"/>
      <c r="B325" s="229"/>
      <c r="C325" s="225"/>
      <c r="D325" s="226"/>
      <c r="E325" s="258"/>
      <c r="F325" s="228"/>
    </row>
    <row r="326" spans="1:6" x14ac:dyDescent="0.3">
      <c r="A326" s="264"/>
      <c r="B326" s="236"/>
      <c r="C326" s="225"/>
      <c r="D326" s="226"/>
      <c r="E326" s="253"/>
      <c r="F326" s="228"/>
    </row>
    <row r="327" spans="1:6" x14ac:dyDescent="0.3">
      <c r="A327" s="266"/>
      <c r="B327" s="235" t="s">
        <v>1620</v>
      </c>
      <c r="C327" s="225"/>
      <c r="D327" s="226"/>
      <c r="E327" s="255"/>
      <c r="F327" s="228"/>
    </row>
    <row r="328" spans="1:6" ht="26.4" x14ac:dyDescent="0.3">
      <c r="A328" s="226" t="s">
        <v>1293</v>
      </c>
      <c r="B328" s="236" t="s">
        <v>1621</v>
      </c>
      <c r="C328" s="225">
        <v>1</v>
      </c>
      <c r="D328" s="226" t="s">
        <v>38</v>
      </c>
      <c r="E328" s="255"/>
      <c r="F328" s="228">
        <f>C328*E328</f>
        <v>0</v>
      </c>
    </row>
    <row r="329" spans="1:6" x14ac:dyDescent="0.3">
      <c r="A329" s="226"/>
      <c r="B329" s="236"/>
      <c r="C329" s="225"/>
      <c r="D329" s="226"/>
      <c r="E329" s="255"/>
      <c r="F329" s="228"/>
    </row>
    <row r="330" spans="1:6" ht="26.4" x14ac:dyDescent="0.3">
      <c r="A330" s="226" t="s">
        <v>1377</v>
      </c>
      <c r="B330" s="236" t="s">
        <v>1622</v>
      </c>
      <c r="C330" s="225">
        <v>1</v>
      </c>
      <c r="D330" s="226" t="s">
        <v>38</v>
      </c>
      <c r="E330" s="255"/>
      <c r="F330" s="228">
        <f>C330*E330</f>
        <v>0</v>
      </c>
    </row>
    <row r="331" spans="1:6" x14ac:dyDescent="0.3">
      <c r="A331" s="226"/>
      <c r="B331" s="236"/>
      <c r="C331" s="225"/>
      <c r="D331" s="226"/>
      <c r="E331" s="255"/>
      <c r="F331" s="228"/>
    </row>
    <row r="332" spans="1:6" x14ac:dyDescent="0.3">
      <c r="A332" s="226" t="s">
        <v>1464</v>
      </c>
      <c r="B332" s="236" t="s">
        <v>1623</v>
      </c>
      <c r="C332" s="225">
        <v>1</v>
      </c>
      <c r="D332" s="226" t="s">
        <v>38</v>
      </c>
      <c r="E332" s="255"/>
      <c r="F332" s="228"/>
    </row>
    <row r="333" spans="1:6" x14ac:dyDescent="0.3">
      <c r="A333" s="269"/>
      <c r="B333" s="236"/>
      <c r="C333" s="225"/>
      <c r="D333" s="226"/>
      <c r="E333" s="253"/>
      <c r="F333" s="228"/>
    </row>
    <row r="334" spans="1:6" x14ac:dyDescent="0.3">
      <c r="A334" s="269"/>
      <c r="B334" s="235" t="s">
        <v>1624</v>
      </c>
      <c r="C334" s="225"/>
      <c r="D334" s="226"/>
      <c r="E334" s="253"/>
      <c r="F334" s="228"/>
    </row>
    <row r="335" spans="1:6" ht="26.4" x14ac:dyDescent="0.3">
      <c r="A335" s="269" t="s">
        <v>1466</v>
      </c>
      <c r="B335" s="236" t="s">
        <v>1625</v>
      </c>
      <c r="C335" s="225">
        <v>1</v>
      </c>
      <c r="D335" s="226" t="s">
        <v>38</v>
      </c>
      <c r="E335" s="255"/>
      <c r="F335" s="228">
        <f>C335*E335</f>
        <v>0</v>
      </c>
    </row>
    <row r="336" spans="1:6" x14ac:dyDescent="0.3">
      <c r="A336" s="264"/>
      <c r="B336" s="236"/>
      <c r="C336" s="225"/>
      <c r="D336" s="226"/>
      <c r="E336" s="253"/>
      <c r="F336" s="228"/>
    </row>
    <row r="337" spans="1:6" x14ac:dyDescent="0.3">
      <c r="A337" s="226"/>
      <c r="B337" s="235" t="s">
        <v>1626</v>
      </c>
      <c r="C337" s="225"/>
      <c r="D337" s="226"/>
      <c r="E337" s="239"/>
      <c r="F337" s="228"/>
    </row>
    <row r="338" spans="1:6" ht="5.4" customHeight="1" x14ac:dyDescent="0.3">
      <c r="A338" s="226"/>
      <c r="B338" s="236"/>
      <c r="C338" s="225"/>
      <c r="D338" s="226"/>
      <c r="E338" s="239"/>
      <c r="F338" s="228"/>
    </row>
    <row r="339" spans="1:6" ht="66.45" customHeight="1" x14ac:dyDescent="0.3">
      <c r="A339" s="226" t="s">
        <v>1468</v>
      </c>
      <c r="B339" s="236" t="s">
        <v>1627</v>
      </c>
      <c r="C339" s="225">
        <v>1</v>
      </c>
      <c r="D339" s="226" t="s">
        <v>1546</v>
      </c>
      <c r="E339" s="258"/>
      <c r="F339" s="228"/>
    </row>
    <row r="340" spans="1:6" x14ac:dyDescent="0.3">
      <c r="A340" s="226"/>
      <c r="B340" s="237"/>
      <c r="C340" s="225"/>
      <c r="D340" s="226"/>
      <c r="E340" s="255"/>
      <c r="F340" s="228"/>
    </row>
    <row r="341" spans="1:6" ht="39.6" x14ac:dyDescent="0.3">
      <c r="A341" s="226" t="s">
        <v>1300</v>
      </c>
      <c r="B341" s="236" t="s">
        <v>1628</v>
      </c>
      <c r="C341" s="225">
        <v>1</v>
      </c>
      <c r="D341" s="226" t="s">
        <v>1546</v>
      </c>
      <c r="E341" s="253"/>
      <c r="F341" s="228"/>
    </row>
    <row r="342" spans="1:6" x14ac:dyDescent="0.3">
      <c r="A342" s="269"/>
      <c r="B342" s="236"/>
      <c r="C342" s="225"/>
      <c r="D342" s="226"/>
      <c r="E342" s="253"/>
      <c r="F342" s="228"/>
    </row>
    <row r="343" spans="1:6" ht="26.4" x14ac:dyDescent="0.3">
      <c r="A343" s="269" t="s">
        <v>1471</v>
      </c>
      <c r="B343" s="236" t="s">
        <v>1612</v>
      </c>
      <c r="C343" s="225">
        <v>1</v>
      </c>
      <c r="D343" s="226" t="s">
        <v>1447</v>
      </c>
      <c r="E343" s="253"/>
      <c r="F343" s="228"/>
    </row>
    <row r="344" spans="1:6" x14ac:dyDescent="0.3">
      <c r="A344" s="269"/>
      <c r="B344" s="236"/>
      <c r="C344" s="225"/>
      <c r="D344" s="226"/>
      <c r="E344" s="253"/>
      <c r="F344" s="228"/>
    </row>
    <row r="345" spans="1:6" ht="28.05" customHeight="1" x14ac:dyDescent="0.3">
      <c r="A345" s="269" t="s">
        <v>1473</v>
      </c>
      <c r="B345" s="236" t="s">
        <v>1629</v>
      </c>
      <c r="C345" s="225">
        <v>1</v>
      </c>
      <c r="D345" s="226" t="s">
        <v>1447</v>
      </c>
      <c r="E345" s="253"/>
      <c r="F345" s="228"/>
    </row>
    <row r="346" spans="1:6" ht="11.1" customHeight="1" x14ac:dyDescent="0.3">
      <c r="A346" s="269"/>
      <c r="B346" s="236"/>
      <c r="C346" s="225"/>
      <c r="D346" s="226"/>
      <c r="E346" s="253"/>
      <c r="F346" s="228"/>
    </row>
    <row r="347" spans="1:6" ht="28.5" customHeight="1" x14ac:dyDescent="0.3">
      <c r="A347" s="269" t="s">
        <v>1475</v>
      </c>
      <c r="B347" s="236" t="s">
        <v>1630</v>
      </c>
      <c r="C347" s="271" t="s">
        <v>1631</v>
      </c>
      <c r="D347" s="226"/>
      <c r="E347" s="253"/>
      <c r="F347" s="228"/>
    </row>
    <row r="348" spans="1:6" ht="10.5" customHeight="1" x14ac:dyDescent="0.3">
      <c r="A348" s="269"/>
      <c r="B348" s="236"/>
      <c r="C348" s="225"/>
      <c r="D348" s="226"/>
      <c r="E348" s="253"/>
      <c r="F348" s="228"/>
    </row>
    <row r="349" spans="1:6" x14ac:dyDescent="0.3">
      <c r="A349" s="272"/>
      <c r="B349" s="235" t="s">
        <v>1632</v>
      </c>
      <c r="C349" s="225"/>
      <c r="D349" s="226"/>
      <c r="E349" s="253"/>
      <c r="F349" s="228"/>
    </row>
    <row r="350" spans="1:6" s="273" customFormat="1" ht="39.6" x14ac:dyDescent="0.3">
      <c r="A350" s="269" t="s">
        <v>1477</v>
      </c>
      <c r="B350" s="236" t="s">
        <v>1633</v>
      </c>
      <c r="C350" s="271" t="s">
        <v>1631</v>
      </c>
      <c r="D350" s="226"/>
      <c r="E350" s="253"/>
      <c r="F350" s="228"/>
    </row>
    <row r="351" spans="1:6" s="273" customFormat="1" x14ac:dyDescent="0.3">
      <c r="A351" s="269"/>
      <c r="B351" s="236"/>
      <c r="C351" s="271"/>
      <c r="D351" s="226"/>
      <c r="E351" s="255"/>
      <c r="F351" s="228"/>
    </row>
    <row r="352" spans="1:6" s="273" customFormat="1" x14ac:dyDescent="0.3">
      <c r="A352" s="269"/>
      <c r="B352" s="236"/>
      <c r="C352" s="271"/>
      <c r="D352" s="226"/>
      <c r="E352" s="255"/>
      <c r="F352" s="228"/>
    </row>
    <row r="353" spans="1:6" s="273" customFormat="1" x14ac:dyDescent="0.3">
      <c r="A353" s="269"/>
      <c r="B353" s="236"/>
      <c r="C353" s="271"/>
      <c r="D353" s="226"/>
      <c r="E353" s="255"/>
      <c r="F353" s="228"/>
    </row>
    <row r="354" spans="1:6" s="273" customFormat="1" x14ac:dyDescent="0.3">
      <c r="A354" s="269"/>
      <c r="B354" s="236"/>
      <c r="C354" s="271"/>
      <c r="D354" s="226"/>
      <c r="E354" s="255"/>
      <c r="F354" s="228"/>
    </row>
    <row r="355" spans="1:6" s="273" customFormat="1" x14ac:dyDescent="0.3">
      <c r="A355" s="269"/>
      <c r="B355" s="236"/>
      <c r="C355" s="271"/>
      <c r="D355" s="226"/>
      <c r="E355" s="255"/>
      <c r="F355" s="228"/>
    </row>
    <row r="356" spans="1:6" s="273" customFormat="1" x14ac:dyDescent="0.3">
      <c r="A356" s="269"/>
      <c r="B356" s="236"/>
      <c r="C356" s="271"/>
      <c r="D356" s="226"/>
      <c r="E356" s="255"/>
      <c r="F356" s="228"/>
    </row>
    <row r="357" spans="1:6" s="273" customFormat="1" x14ac:dyDescent="0.3">
      <c r="A357" s="269"/>
      <c r="B357" s="236"/>
      <c r="C357" s="271"/>
      <c r="D357" s="226"/>
      <c r="E357" s="255"/>
      <c r="F357" s="228"/>
    </row>
    <row r="358" spans="1:6" s="273" customFormat="1" x14ac:dyDescent="0.3">
      <c r="A358" s="269"/>
      <c r="B358" s="236"/>
      <c r="C358" s="271"/>
      <c r="D358" s="226"/>
      <c r="E358" s="255"/>
      <c r="F358" s="228"/>
    </row>
    <row r="359" spans="1:6" x14ac:dyDescent="0.3">
      <c r="A359" s="226"/>
      <c r="B359" s="229"/>
      <c r="C359" s="225"/>
      <c r="D359" s="226"/>
      <c r="E359" s="239"/>
      <c r="F359" s="240"/>
    </row>
    <row r="360" spans="1:6" x14ac:dyDescent="0.3">
      <c r="A360" s="226"/>
      <c r="B360" s="241" t="s">
        <v>1542</v>
      </c>
      <c r="C360" s="225"/>
      <c r="D360" s="226"/>
      <c r="E360" s="242" t="s">
        <v>1543</v>
      </c>
      <c r="F360" s="243">
        <f>SUM(F324:F350)</f>
        <v>0</v>
      </c>
    </row>
    <row r="361" spans="1:6" x14ac:dyDescent="0.3">
      <c r="A361" s="244"/>
      <c r="B361" s="245"/>
      <c r="C361" s="246"/>
      <c r="D361" s="244"/>
      <c r="E361" s="247"/>
      <c r="F361" s="248"/>
    </row>
    <row r="362" spans="1:6" x14ac:dyDescent="0.3">
      <c r="A362" s="220" t="s">
        <v>1257</v>
      </c>
      <c r="B362" s="221" t="s">
        <v>1258</v>
      </c>
      <c r="C362" s="222" t="s">
        <v>1528</v>
      </c>
      <c r="D362" s="221" t="s">
        <v>1259</v>
      </c>
      <c r="E362" s="222" t="s">
        <v>1260</v>
      </c>
      <c r="F362" s="222" t="s">
        <v>1529</v>
      </c>
    </row>
    <row r="363" spans="1:6" s="273" customFormat="1" ht="13.5" customHeight="1" x14ac:dyDescent="0.3">
      <c r="A363" s="269"/>
      <c r="B363" s="249" t="str">
        <f>$B$65</f>
        <v xml:space="preserve">01 00 00 GENERAL REQUIREMENTS </v>
      </c>
      <c r="C363" s="271"/>
      <c r="D363" s="226"/>
      <c r="E363" s="253"/>
      <c r="F363" s="228"/>
    </row>
    <row r="364" spans="1:6" x14ac:dyDescent="0.3">
      <c r="A364" s="226"/>
      <c r="B364" s="236"/>
      <c r="C364" s="225"/>
      <c r="D364" s="226"/>
      <c r="E364" s="239"/>
      <c r="F364" s="228"/>
    </row>
    <row r="365" spans="1:6" x14ac:dyDescent="0.3">
      <c r="A365" s="226"/>
      <c r="B365" s="235" t="s">
        <v>1634</v>
      </c>
      <c r="C365" s="225"/>
      <c r="D365" s="226"/>
      <c r="E365" s="239"/>
      <c r="F365" s="228"/>
    </row>
    <row r="366" spans="1:6" ht="6.75" customHeight="1" x14ac:dyDescent="0.3">
      <c r="A366" s="224"/>
      <c r="B366" s="229"/>
      <c r="C366" s="225"/>
      <c r="D366" s="226"/>
      <c r="E366" s="258"/>
      <c r="F366" s="228"/>
    </row>
    <row r="367" spans="1:6" ht="49.5" customHeight="1" x14ac:dyDescent="0.3">
      <c r="A367" s="226" t="s">
        <v>1293</v>
      </c>
      <c r="B367" s="236" t="s">
        <v>1635</v>
      </c>
      <c r="C367" s="225">
        <v>1</v>
      </c>
      <c r="D367" s="226" t="s">
        <v>1546</v>
      </c>
      <c r="E367" s="258"/>
      <c r="F367" s="228"/>
    </row>
    <row r="368" spans="1:6" ht="10.050000000000001" customHeight="1" x14ac:dyDescent="0.3">
      <c r="A368" s="224"/>
      <c r="B368" s="229"/>
      <c r="C368" s="225"/>
      <c r="D368" s="226"/>
      <c r="E368" s="253"/>
      <c r="F368" s="228"/>
    </row>
    <row r="369" spans="1:6" x14ac:dyDescent="0.3">
      <c r="A369" s="226"/>
      <c r="B369" s="235" t="s">
        <v>1636</v>
      </c>
      <c r="C369" s="225"/>
      <c r="D369" s="226"/>
      <c r="E369" s="255"/>
      <c r="F369" s="228"/>
    </row>
    <row r="370" spans="1:6" ht="6.75" customHeight="1" x14ac:dyDescent="0.3">
      <c r="A370" s="224"/>
      <c r="B370" s="229"/>
      <c r="C370" s="225"/>
      <c r="D370" s="226"/>
      <c r="E370" s="253"/>
      <c r="F370" s="228"/>
    </row>
    <row r="371" spans="1:6" ht="26.4" x14ac:dyDescent="0.3">
      <c r="A371" s="226" t="s">
        <v>1377</v>
      </c>
      <c r="B371" s="236" t="s">
        <v>1637</v>
      </c>
      <c r="C371" s="225">
        <v>1</v>
      </c>
      <c r="D371" s="226" t="s">
        <v>1546</v>
      </c>
      <c r="E371" s="258"/>
      <c r="F371" s="228"/>
    </row>
    <row r="372" spans="1:6" ht="10.050000000000001" customHeight="1" x14ac:dyDescent="0.3">
      <c r="A372" s="224"/>
      <c r="B372" s="229"/>
      <c r="C372" s="225"/>
      <c r="D372" s="226"/>
      <c r="E372" s="253"/>
      <c r="F372" s="228"/>
    </row>
    <row r="373" spans="1:6" ht="47.1" customHeight="1" x14ac:dyDescent="0.3">
      <c r="A373" s="226" t="s">
        <v>1464</v>
      </c>
      <c r="B373" s="236" t="s">
        <v>1638</v>
      </c>
      <c r="C373" s="225">
        <v>1</v>
      </c>
      <c r="D373" s="226" t="s">
        <v>1546</v>
      </c>
      <c r="E373" s="253"/>
      <c r="F373" s="228"/>
    </row>
    <row r="374" spans="1:6" ht="6.75" customHeight="1" x14ac:dyDescent="0.3">
      <c r="A374" s="224"/>
      <c r="B374" s="229"/>
      <c r="C374" s="225"/>
      <c r="D374" s="226"/>
      <c r="E374" s="253"/>
      <c r="F374" s="228"/>
    </row>
    <row r="375" spans="1:6" ht="43.5" customHeight="1" x14ac:dyDescent="0.3">
      <c r="A375" s="226" t="s">
        <v>1466</v>
      </c>
      <c r="B375" s="236" t="s">
        <v>1639</v>
      </c>
      <c r="C375" s="225">
        <v>1</v>
      </c>
      <c r="D375" s="226" t="s">
        <v>1546</v>
      </c>
      <c r="E375" s="253"/>
      <c r="F375" s="228"/>
    </row>
    <row r="376" spans="1:6" ht="7.5" customHeight="1" x14ac:dyDescent="0.3">
      <c r="A376" s="226"/>
      <c r="B376" s="236"/>
      <c r="C376" s="225"/>
      <c r="D376" s="226"/>
      <c r="E376" s="255"/>
      <c r="F376" s="228"/>
    </row>
    <row r="377" spans="1:6" x14ac:dyDescent="0.3">
      <c r="A377" s="226"/>
      <c r="B377" s="235" t="s">
        <v>1640</v>
      </c>
      <c r="C377" s="225"/>
      <c r="D377" s="226"/>
      <c r="E377" s="255"/>
      <c r="F377" s="228"/>
    </row>
    <row r="378" spans="1:6" ht="5.4" customHeight="1" x14ac:dyDescent="0.3">
      <c r="A378" s="224"/>
      <c r="B378" s="229"/>
      <c r="C378" s="225"/>
      <c r="D378" s="226"/>
      <c r="E378" s="253"/>
      <c r="F378" s="228"/>
    </row>
    <row r="379" spans="1:6" x14ac:dyDescent="0.3">
      <c r="A379" s="226" t="s">
        <v>1468</v>
      </c>
      <c r="B379" s="236" t="s">
        <v>1641</v>
      </c>
      <c r="C379" s="225">
        <v>1</v>
      </c>
      <c r="D379" s="226" t="s">
        <v>1546</v>
      </c>
      <c r="E379" s="258"/>
      <c r="F379" s="228"/>
    </row>
    <row r="380" spans="1:6" x14ac:dyDescent="0.3">
      <c r="A380" s="226"/>
      <c r="B380" s="236"/>
      <c r="C380" s="225"/>
      <c r="D380" s="226"/>
      <c r="E380" s="255"/>
      <c r="F380" s="228"/>
    </row>
    <row r="381" spans="1:6" x14ac:dyDescent="0.3">
      <c r="A381" s="226"/>
      <c r="B381" s="235" t="s">
        <v>1642</v>
      </c>
      <c r="C381" s="225"/>
      <c r="D381" s="226"/>
      <c r="E381" s="239"/>
      <c r="F381" s="228"/>
    </row>
    <row r="382" spans="1:6" ht="7.5" customHeight="1" x14ac:dyDescent="0.3">
      <c r="A382" s="226"/>
      <c r="B382" s="236"/>
      <c r="C382" s="225"/>
      <c r="D382" s="226"/>
      <c r="E382" s="239"/>
      <c r="F382" s="228"/>
    </row>
    <row r="383" spans="1:6" ht="40.5" customHeight="1" x14ac:dyDescent="0.3">
      <c r="A383" s="226" t="s">
        <v>1300</v>
      </c>
      <c r="B383" s="236" t="s">
        <v>1643</v>
      </c>
      <c r="C383" s="225">
        <v>1</v>
      </c>
      <c r="D383" s="226" t="s">
        <v>1546</v>
      </c>
      <c r="E383" s="253"/>
      <c r="F383" s="228"/>
    </row>
    <row r="384" spans="1:6" ht="8.25" customHeight="1" x14ac:dyDescent="0.3">
      <c r="A384" s="226"/>
      <c r="B384" s="236"/>
      <c r="C384" s="225"/>
      <c r="D384" s="226"/>
      <c r="E384" s="239"/>
      <c r="F384" s="228"/>
    </row>
    <row r="385" spans="1:6" ht="52.2" customHeight="1" x14ac:dyDescent="0.3">
      <c r="A385" s="226" t="s">
        <v>1471</v>
      </c>
      <c r="B385" s="236" t="s">
        <v>1644</v>
      </c>
      <c r="C385" s="225">
        <v>1</v>
      </c>
      <c r="D385" s="226" t="s">
        <v>1546</v>
      </c>
      <c r="E385" s="253"/>
      <c r="F385" s="228"/>
    </row>
    <row r="386" spans="1:6" ht="7.5" customHeight="1" x14ac:dyDescent="0.3">
      <c r="A386" s="226"/>
      <c r="B386" s="236"/>
      <c r="C386" s="225"/>
      <c r="D386" s="226"/>
      <c r="E386" s="239"/>
      <c r="F386" s="228"/>
    </row>
    <row r="387" spans="1:6" ht="78.75" customHeight="1" x14ac:dyDescent="0.3">
      <c r="A387" s="226" t="s">
        <v>1473</v>
      </c>
      <c r="B387" s="236" t="s">
        <v>1645</v>
      </c>
      <c r="C387" s="225">
        <v>1</v>
      </c>
      <c r="D387" s="226" t="s">
        <v>1546</v>
      </c>
      <c r="E387" s="253"/>
      <c r="F387" s="228"/>
    </row>
    <row r="388" spans="1:6" ht="21.6" customHeight="1" x14ac:dyDescent="0.3">
      <c r="A388" s="226"/>
      <c r="B388" s="236"/>
      <c r="C388" s="225"/>
      <c r="D388" s="226"/>
      <c r="E388" s="255"/>
      <c r="F388" s="228"/>
    </row>
    <row r="389" spans="1:6" ht="21.6" customHeight="1" x14ac:dyDescent="0.3">
      <c r="A389" s="226"/>
      <c r="B389" s="236"/>
      <c r="C389" s="225"/>
      <c r="D389" s="226"/>
      <c r="E389" s="255"/>
      <c r="F389" s="228"/>
    </row>
    <row r="390" spans="1:6" ht="21.6" customHeight="1" x14ac:dyDescent="0.3">
      <c r="A390" s="226"/>
      <c r="B390" s="236"/>
      <c r="C390" s="225"/>
      <c r="D390" s="226"/>
      <c r="E390" s="255"/>
      <c r="F390" s="228"/>
    </row>
    <row r="391" spans="1:6" ht="21.6" customHeight="1" x14ac:dyDescent="0.3">
      <c r="A391" s="226"/>
      <c r="B391" s="236"/>
      <c r="C391" s="225"/>
      <c r="D391" s="226"/>
      <c r="E391" s="255"/>
      <c r="F391" s="228"/>
    </row>
    <row r="392" spans="1:6" ht="21.6" customHeight="1" x14ac:dyDescent="0.3">
      <c r="A392" s="226"/>
      <c r="B392" s="236"/>
      <c r="C392" s="225"/>
      <c r="D392" s="226"/>
      <c r="E392" s="255"/>
      <c r="F392" s="228"/>
    </row>
    <row r="393" spans="1:6" ht="21.6" customHeight="1" x14ac:dyDescent="0.3">
      <c r="A393" s="226"/>
      <c r="B393" s="236"/>
      <c r="C393" s="225"/>
      <c r="D393" s="226"/>
      <c r="E393" s="255"/>
      <c r="F393" s="228"/>
    </row>
    <row r="394" spans="1:6" ht="21.6" customHeight="1" x14ac:dyDescent="0.3">
      <c r="A394" s="226"/>
      <c r="B394" s="236"/>
      <c r="C394" s="225"/>
      <c r="D394" s="226"/>
      <c r="E394" s="255"/>
      <c r="F394" s="228"/>
    </row>
    <row r="395" spans="1:6" x14ac:dyDescent="0.3">
      <c r="A395" s="226"/>
      <c r="B395" s="236"/>
      <c r="C395" s="225"/>
      <c r="D395" s="226"/>
      <c r="E395" s="255"/>
      <c r="F395" s="274"/>
    </row>
    <row r="396" spans="1:6" x14ac:dyDescent="0.3">
      <c r="A396" s="226"/>
      <c r="B396" s="241" t="s">
        <v>1542</v>
      </c>
      <c r="C396" s="225"/>
      <c r="D396" s="226"/>
      <c r="E396" s="242" t="s">
        <v>1543</v>
      </c>
      <c r="F396" s="243">
        <f>SUM(F363:F387)</f>
        <v>0</v>
      </c>
    </row>
    <row r="397" spans="1:6" x14ac:dyDescent="0.3">
      <c r="A397" s="244"/>
      <c r="B397" s="245"/>
      <c r="C397" s="246"/>
      <c r="D397" s="244"/>
      <c r="E397" s="247"/>
      <c r="F397" s="248"/>
    </row>
    <row r="398" spans="1:6" x14ac:dyDescent="0.3">
      <c r="A398" s="220" t="s">
        <v>1257</v>
      </c>
      <c r="B398" s="221" t="s">
        <v>1258</v>
      </c>
      <c r="C398" s="222" t="s">
        <v>1528</v>
      </c>
      <c r="D398" s="221" t="s">
        <v>1259</v>
      </c>
      <c r="E398" s="222" t="s">
        <v>1260</v>
      </c>
      <c r="F398" s="222" t="s">
        <v>1529</v>
      </c>
    </row>
    <row r="399" spans="1:6" x14ac:dyDescent="0.3">
      <c r="A399" s="223"/>
      <c r="B399" s="249" t="str">
        <f>$B$65</f>
        <v xml:space="preserve">01 00 00 GENERAL REQUIREMENTS </v>
      </c>
      <c r="C399" s="250"/>
      <c r="D399" s="251"/>
      <c r="E399" s="260"/>
      <c r="F399" s="228"/>
    </row>
    <row r="400" spans="1:6" x14ac:dyDescent="0.3">
      <c r="A400" s="226"/>
      <c r="B400" s="236"/>
      <c r="C400" s="225"/>
      <c r="D400" s="226"/>
      <c r="E400" s="239"/>
      <c r="F400" s="228"/>
    </row>
    <row r="401" spans="1:6" ht="54" customHeight="1" x14ac:dyDescent="0.3">
      <c r="A401" s="226" t="s">
        <v>1293</v>
      </c>
      <c r="B401" s="236" t="s">
        <v>1646</v>
      </c>
      <c r="C401" s="225">
        <v>1</v>
      </c>
      <c r="D401" s="226" t="s">
        <v>1546</v>
      </c>
      <c r="E401" s="253"/>
      <c r="F401" s="228"/>
    </row>
    <row r="402" spans="1:6" x14ac:dyDescent="0.3">
      <c r="A402" s="226"/>
      <c r="B402" s="236"/>
      <c r="C402" s="225"/>
      <c r="D402" s="226"/>
      <c r="E402" s="255"/>
      <c r="F402" s="228"/>
    </row>
    <row r="403" spans="1:6" x14ac:dyDescent="0.3">
      <c r="A403" s="226"/>
      <c r="B403" s="235" t="s">
        <v>1647</v>
      </c>
      <c r="C403" s="225"/>
      <c r="D403" s="226"/>
      <c r="E403" s="239"/>
      <c r="F403" s="228"/>
    </row>
    <row r="404" spans="1:6" x14ac:dyDescent="0.3">
      <c r="A404" s="226"/>
      <c r="B404" s="229"/>
      <c r="C404" s="225"/>
      <c r="D404" s="226"/>
      <c r="E404" s="239"/>
      <c r="F404" s="228"/>
    </row>
    <row r="405" spans="1:6" ht="52.8" x14ac:dyDescent="0.3">
      <c r="A405" s="226" t="s">
        <v>1377</v>
      </c>
      <c r="B405" s="236" t="s">
        <v>1648</v>
      </c>
      <c r="C405" s="225">
        <v>1</v>
      </c>
      <c r="D405" s="226" t="s">
        <v>1546</v>
      </c>
      <c r="E405" s="253"/>
      <c r="F405" s="228"/>
    </row>
    <row r="406" spans="1:6" ht="9.15" customHeight="1" x14ac:dyDescent="0.3">
      <c r="A406" s="226"/>
      <c r="B406" s="229"/>
      <c r="C406" s="225"/>
      <c r="D406" s="226"/>
      <c r="E406" s="239"/>
      <c r="F406" s="228"/>
    </row>
    <row r="407" spans="1:6" ht="145.19999999999999" x14ac:dyDescent="0.3">
      <c r="A407" s="226" t="s">
        <v>1464</v>
      </c>
      <c r="B407" s="236" t="s">
        <v>1649</v>
      </c>
      <c r="C407" s="225">
        <v>1</v>
      </c>
      <c r="D407" s="226" t="s">
        <v>1546</v>
      </c>
      <c r="E407" s="253"/>
      <c r="F407" s="228"/>
    </row>
    <row r="408" spans="1:6" ht="13.5" customHeight="1" x14ac:dyDescent="0.3">
      <c r="A408" s="226"/>
      <c r="B408" s="236"/>
      <c r="C408" s="225"/>
      <c r="D408" s="226"/>
      <c r="E408" s="253"/>
      <c r="F408" s="228"/>
    </row>
    <row r="409" spans="1:6" ht="66" x14ac:dyDescent="0.3">
      <c r="A409" s="226" t="s">
        <v>1466</v>
      </c>
      <c r="B409" s="236" t="s">
        <v>1650</v>
      </c>
      <c r="C409" s="225">
        <v>1</v>
      </c>
      <c r="D409" s="226" t="s">
        <v>1546</v>
      </c>
      <c r="E409" s="253"/>
      <c r="F409" s="228"/>
    </row>
    <row r="410" spans="1:6" x14ac:dyDescent="0.3">
      <c r="A410" s="226"/>
      <c r="B410" s="229"/>
      <c r="C410" s="225"/>
      <c r="D410" s="226"/>
      <c r="E410" s="239"/>
      <c r="F410" s="228"/>
    </row>
    <row r="411" spans="1:6" ht="43.5" customHeight="1" x14ac:dyDescent="0.3">
      <c r="A411" s="226" t="s">
        <v>1468</v>
      </c>
      <c r="B411" s="236" t="s">
        <v>1651</v>
      </c>
      <c r="C411" s="225">
        <v>1</v>
      </c>
      <c r="D411" s="226" t="s">
        <v>1546</v>
      </c>
      <c r="E411" s="253"/>
      <c r="F411" s="228"/>
    </row>
    <row r="412" spans="1:6" ht="9.15" customHeight="1" x14ac:dyDescent="0.3">
      <c r="A412" s="226"/>
      <c r="B412" s="236"/>
      <c r="C412" s="225"/>
      <c r="D412" s="226"/>
      <c r="E412" s="239"/>
      <c r="F412" s="228"/>
    </row>
    <row r="413" spans="1:6" ht="14.55" customHeight="1" x14ac:dyDescent="0.3">
      <c r="A413" s="226"/>
      <c r="B413" s="235" t="s">
        <v>1652</v>
      </c>
      <c r="C413" s="225"/>
      <c r="D413" s="226"/>
      <c r="E413" s="239"/>
      <c r="F413" s="228"/>
    </row>
    <row r="414" spans="1:6" x14ac:dyDescent="0.3">
      <c r="A414" s="226"/>
      <c r="B414" s="237"/>
      <c r="C414" s="225"/>
      <c r="D414" s="226"/>
      <c r="E414" s="239"/>
      <c r="F414" s="228"/>
    </row>
    <row r="415" spans="1:6" ht="132" x14ac:dyDescent="0.3">
      <c r="A415" s="226" t="s">
        <v>1300</v>
      </c>
      <c r="B415" s="236" t="s">
        <v>1653</v>
      </c>
      <c r="C415" s="225">
        <v>1</v>
      </c>
      <c r="D415" s="226" t="s">
        <v>1546</v>
      </c>
      <c r="E415" s="258"/>
      <c r="F415" s="228"/>
    </row>
    <row r="416" spans="1:6" x14ac:dyDescent="0.3">
      <c r="A416" s="226"/>
      <c r="B416" s="236"/>
      <c r="C416" s="225"/>
      <c r="D416" s="226"/>
      <c r="E416" s="255"/>
      <c r="F416" s="228"/>
    </row>
    <row r="417" spans="1:6" ht="26.4" x14ac:dyDescent="0.3">
      <c r="A417" s="226" t="s">
        <v>1471</v>
      </c>
      <c r="B417" s="236" t="s">
        <v>1654</v>
      </c>
      <c r="C417" s="225">
        <v>1</v>
      </c>
      <c r="D417" s="226" t="s">
        <v>1546</v>
      </c>
      <c r="E417" s="258"/>
      <c r="F417" s="228"/>
    </row>
    <row r="418" spans="1:6" x14ac:dyDescent="0.3">
      <c r="A418" s="226"/>
      <c r="B418" s="236"/>
      <c r="C418" s="225"/>
      <c r="D418" s="226"/>
      <c r="E418" s="255"/>
      <c r="F418" s="228"/>
    </row>
    <row r="419" spans="1:6" ht="55.5" customHeight="1" x14ac:dyDescent="0.3">
      <c r="A419" s="226" t="s">
        <v>1473</v>
      </c>
      <c r="B419" s="236" t="s">
        <v>1655</v>
      </c>
      <c r="C419" s="225">
        <v>1</v>
      </c>
      <c r="D419" s="226" t="s">
        <v>1546</v>
      </c>
      <c r="E419" s="258"/>
      <c r="F419" s="228"/>
    </row>
    <row r="420" spans="1:6" x14ac:dyDescent="0.3">
      <c r="A420" s="226"/>
      <c r="B420" s="236"/>
      <c r="C420" s="225"/>
      <c r="D420" s="226"/>
      <c r="E420" s="239"/>
      <c r="F420" s="228"/>
    </row>
    <row r="421" spans="1:6" x14ac:dyDescent="0.3">
      <c r="A421" s="226"/>
      <c r="B421" s="236"/>
      <c r="C421" s="225"/>
      <c r="D421" s="226"/>
      <c r="E421" s="255"/>
      <c r="F421" s="228"/>
    </row>
    <row r="422" spans="1:6" x14ac:dyDescent="0.3">
      <c r="A422" s="226"/>
      <c r="B422" s="236"/>
      <c r="C422" s="225"/>
      <c r="D422" s="226"/>
      <c r="E422" s="255"/>
      <c r="F422" s="274"/>
    </row>
    <row r="423" spans="1:6" x14ac:dyDescent="0.3">
      <c r="A423" s="226"/>
      <c r="B423" s="241" t="s">
        <v>1542</v>
      </c>
      <c r="C423" s="225"/>
      <c r="D423" s="226"/>
      <c r="E423" s="242" t="s">
        <v>1543</v>
      </c>
      <c r="F423" s="243">
        <f>SUM(F399:F421)</f>
        <v>0</v>
      </c>
    </row>
    <row r="424" spans="1:6" x14ac:dyDescent="0.3">
      <c r="A424" s="244"/>
      <c r="B424" s="245"/>
      <c r="C424" s="246"/>
      <c r="D424" s="244"/>
      <c r="E424" s="247"/>
      <c r="F424" s="248"/>
    </row>
    <row r="425" spans="1:6" x14ac:dyDescent="0.3">
      <c r="A425" s="220" t="s">
        <v>1257</v>
      </c>
      <c r="B425" s="221" t="s">
        <v>1258</v>
      </c>
      <c r="C425" s="222" t="s">
        <v>1528</v>
      </c>
      <c r="D425" s="221" t="s">
        <v>1259</v>
      </c>
      <c r="E425" s="222" t="s">
        <v>1260</v>
      </c>
      <c r="F425" s="222" t="s">
        <v>1529</v>
      </c>
    </row>
    <row r="426" spans="1:6" x14ac:dyDescent="0.3">
      <c r="A426" s="223"/>
      <c r="B426" s="249" t="str">
        <f>$B$65</f>
        <v xml:space="preserve">01 00 00 GENERAL REQUIREMENTS </v>
      </c>
      <c r="C426" s="250"/>
      <c r="D426" s="251"/>
      <c r="E426" s="260"/>
      <c r="F426" s="228"/>
    </row>
    <row r="427" spans="1:6" x14ac:dyDescent="0.3">
      <c r="A427" s="226"/>
      <c r="B427" s="236"/>
      <c r="C427" s="225"/>
      <c r="D427" s="226"/>
      <c r="E427" s="239"/>
      <c r="F427" s="228"/>
    </row>
    <row r="428" spans="1:6" x14ac:dyDescent="0.3">
      <c r="A428" s="226"/>
      <c r="B428" s="275" t="s">
        <v>1656</v>
      </c>
      <c r="C428" s="225"/>
      <c r="D428" s="226"/>
      <c r="E428" s="255"/>
      <c r="F428" s="228"/>
    </row>
    <row r="429" spans="1:6" ht="26.4" x14ac:dyDescent="0.3">
      <c r="A429" s="226" t="s">
        <v>1293</v>
      </c>
      <c r="B429" s="236" t="s">
        <v>1657</v>
      </c>
      <c r="C429" s="225">
        <v>1</v>
      </c>
      <c r="D429" s="226" t="s">
        <v>38</v>
      </c>
      <c r="E429" s="255"/>
      <c r="F429" s="228"/>
    </row>
    <row r="430" spans="1:6" x14ac:dyDescent="0.3">
      <c r="A430" s="226"/>
      <c r="B430" s="236"/>
      <c r="C430" s="225"/>
      <c r="D430" s="226"/>
      <c r="E430" s="255"/>
      <c r="F430" s="228"/>
    </row>
    <row r="431" spans="1:6" ht="56.25" customHeight="1" x14ac:dyDescent="0.3">
      <c r="A431" s="226" t="s">
        <v>1377</v>
      </c>
      <c r="B431" s="236" t="s">
        <v>1655</v>
      </c>
      <c r="C431" s="225">
        <v>1</v>
      </c>
      <c r="D431" s="226" t="s">
        <v>38</v>
      </c>
      <c r="E431" s="255"/>
      <c r="F431" s="228"/>
    </row>
    <row r="432" spans="1:6" x14ac:dyDescent="0.3">
      <c r="A432" s="226"/>
      <c r="B432" s="236"/>
      <c r="C432" s="225"/>
      <c r="D432" s="226"/>
      <c r="E432" s="255"/>
      <c r="F432" s="228"/>
    </row>
    <row r="433" spans="1:6" x14ac:dyDescent="0.3">
      <c r="A433" s="226"/>
      <c r="B433" s="275" t="s">
        <v>1658</v>
      </c>
      <c r="C433" s="225"/>
      <c r="D433" s="226"/>
      <c r="E433" s="255"/>
      <c r="F433" s="228"/>
    </row>
    <row r="434" spans="1:6" x14ac:dyDescent="0.3">
      <c r="A434" s="226" t="s">
        <v>1464</v>
      </c>
      <c r="B434" s="236" t="s">
        <v>1659</v>
      </c>
      <c r="C434" s="225">
        <v>1</v>
      </c>
      <c r="D434" s="226" t="s">
        <v>38</v>
      </c>
      <c r="E434" s="255"/>
      <c r="F434" s="228"/>
    </row>
    <row r="435" spans="1:6" x14ac:dyDescent="0.3">
      <c r="A435" s="226"/>
      <c r="B435" s="236"/>
      <c r="C435" s="225"/>
      <c r="D435" s="226"/>
      <c r="E435" s="239"/>
      <c r="F435" s="228"/>
    </row>
    <row r="436" spans="1:6" ht="14.55" customHeight="1" x14ac:dyDescent="0.3">
      <c r="A436" s="226"/>
      <c r="B436" s="235" t="s">
        <v>1660</v>
      </c>
      <c r="C436" s="225"/>
      <c r="D436" s="226"/>
      <c r="E436" s="239"/>
      <c r="F436" s="228"/>
    </row>
    <row r="437" spans="1:6" ht="7.5" customHeight="1" x14ac:dyDescent="0.3">
      <c r="A437" s="226"/>
      <c r="B437" s="236"/>
      <c r="C437" s="225"/>
      <c r="D437" s="226"/>
      <c r="E437" s="239"/>
      <c r="F437" s="228"/>
    </row>
    <row r="438" spans="1:6" ht="53.7" customHeight="1" x14ac:dyDescent="0.3">
      <c r="A438" s="226" t="s">
        <v>1466</v>
      </c>
      <c r="B438" s="236" t="s">
        <v>1661</v>
      </c>
      <c r="C438" s="225">
        <v>1</v>
      </c>
      <c r="D438" s="226" t="s">
        <v>1546</v>
      </c>
      <c r="E438" s="253"/>
      <c r="F438" s="228"/>
    </row>
    <row r="439" spans="1:6" x14ac:dyDescent="0.3">
      <c r="A439" s="226"/>
      <c r="B439" s="236"/>
      <c r="C439" s="225"/>
      <c r="D439" s="226"/>
      <c r="E439" s="239"/>
      <c r="F439" s="228"/>
    </row>
    <row r="440" spans="1:6" x14ac:dyDescent="0.3">
      <c r="A440" s="226"/>
      <c r="B440" s="275" t="s">
        <v>1662</v>
      </c>
      <c r="C440" s="225"/>
      <c r="D440" s="226"/>
      <c r="E440" s="255"/>
      <c r="F440" s="228"/>
    </row>
    <row r="441" spans="1:6" ht="39.6" x14ac:dyDescent="0.3">
      <c r="A441" s="226" t="s">
        <v>1468</v>
      </c>
      <c r="B441" s="236" t="s">
        <v>1663</v>
      </c>
      <c r="C441" s="225">
        <v>1</v>
      </c>
      <c r="D441" s="226" t="s">
        <v>1546</v>
      </c>
      <c r="E441" s="255"/>
      <c r="F441" s="228"/>
    </row>
    <row r="442" spans="1:6" x14ac:dyDescent="0.3">
      <c r="A442" s="226"/>
      <c r="B442" s="236"/>
      <c r="C442" s="225"/>
      <c r="D442" s="226"/>
      <c r="E442" s="255"/>
      <c r="F442" s="228"/>
    </row>
    <row r="443" spans="1:6" x14ac:dyDescent="0.3">
      <c r="A443" s="226" t="s">
        <v>1300</v>
      </c>
      <c r="B443" s="236" t="s">
        <v>1664</v>
      </c>
      <c r="C443" s="225">
        <v>1</v>
      </c>
      <c r="D443" s="226" t="s">
        <v>1546</v>
      </c>
      <c r="E443" s="255"/>
      <c r="F443" s="228"/>
    </row>
    <row r="444" spans="1:6" x14ac:dyDescent="0.3">
      <c r="A444" s="226"/>
      <c r="B444" s="236"/>
      <c r="C444" s="225"/>
      <c r="D444" s="226"/>
      <c r="E444" s="255"/>
      <c r="F444" s="228"/>
    </row>
    <row r="445" spans="1:6" x14ac:dyDescent="0.3">
      <c r="A445" s="226" t="s">
        <v>1471</v>
      </c>
      <c r="B445" s="236" t="s">
        <v>1665</v>
      </c>
      <c r="C445" s="225">
        <v>1</v>
      </c>
      <c r="D445" s="226" t="s">
        <v>1546</v>
      </c>
      <c r="E445" s="255"/>
      <c r="F445" s="228"/>
    </row>
    <row r="446" spans="1:6" x14ac:dyDescent="0.3">
      <c r="A446" s="226"/>
      <c r="B446" s="236"/>
      <c r="C446" s="225"/>
      <c r="D446" s="226"/>
      <c r="E446" s="255"/>
      <c r="F446" s="228"/>
    </row>
    <row r="447" spans="1:6" ht="14.55" customHeight="1" x14ac:dyDescent="0.3">
      <c r="A447" s="226"/>
      <c r="B447" s="235" t="s">
        <v>1666</v>
      </c>
      <c r="C447" s="225"/>
      <c r="D447" s="226"/>
      <c r="E447" s="239"/>
      <c r="F447" s="228"/>
    </row>
    <row r="448" spans="1:6" ht="14.55" customHeight="1" x14ac:dyDescent="0.3">
      <c r="A448" s="226"/>
      <c r="B448" s="236"/>
      <c r="C448" s="225"/>
      <c r="D448" s="226"/>
      <c r="E448" s="239"/>
      <c r="F448" s="228"/>
    </row>
    <row r="449" spans="1:6" ht="53.7" customHeight="1" x14ac:dyDescent="0.3">
      <c r="A449" s="226" t="s">
        <v>1473</v>
      </c>
      <c r="B449" s="236" t="s">
        <v>1667</v>
      </c>
      <c r="C449" s="225">
        <v>1</v>
      </c>
      <c r="D449" s="226" t="s">
        <v>1546</v>
      </c>
      <c r="E449" s="258"/>
      <c r="F449" s="228"/>
    </row>
    <row r="450" spans="1:6" x14ac:dyDescent="0.3">
      <c r="A450" s="226"/>
      <c r="B450" s="236"/>
      <c r="C450" s="225"/>
      <c r="D450" s="226"/>
      <c r="E450" s="239"/>
      <c r="F450" s="228"/>
    </row>
    <row r="451" spans="1:6" x14ac:dyDescent="0.3">
      <c r="A451" s="226"/>
      <c r="B451" s="235" t="s">
        <v>1668</v>
      </c>
      <c r="C451" s="225"/>
      <c r="D451" s="226"/>
      <c r="E451" s="255"/>
      <c r="F451" s="228"/>
    </row>
    <row r="452" spans="1:6" ht="26.4" x14ac:dyDescent="0.3">
      <c r="A452" s="226" t="s">
        <v>1475</v>
      </c>
      <c r="B452" s="236" t="s">
        <v>1669</v>
      </c>
      <c r="C452" s="225">
        <v>1</v>
      </c>
      <c r="D452" s="226" t="s">
        <v>1546</v>
      </c>
      <c r="E452" s="255"/>
      <c r="F452" s="228"/>
    </row>
    <row r="453" spans="1:6" x14ac:dyDescent="0.3">
      <c r="A453" s="226"/>
      <c r="B453" s="236"/>
      <c r="C453" s="225"/>
      <c r="D453" s="226"/>
      <c r="E453" s="239"/>
      <c r="F453" s="228"/>
    </row>
    <row r="454" spans="1:6" ht="13.5" customHeight="1" x14ac:dyDescent="0.3">
      <c r="A454" s="226"/>
      <c r="B454" s="236"/>
      <c r="C454" s="225"/>
      <c r="D454" s="226"/>
      <c r="E454" s="239"/>
      <c r="F454" s="228"/>
    </row>
    <row r="455" spans="1:6" ht="13.5" customHeight="1" x14ac:dyDescent="0.3">
      <c r="A455" s="226"/>
      <c r="B455" s="236"/>
      <c r="C455" s="225"/>
      <c r="D455" s="226"/>
      <c r="E455" s="239"/>
      <c r="F455" s="228"/>
    </row>
    <row r="456" spans="1:6" ht="13.5" customHeight="1" x14ac:dyDescent="0.3">
      <c r="A456" s="226"/>
      <c r="B456" s="236"/>
      <c r="C456" s="225"/>
      <c r="D456" s="226"/>
      <c r="E456" s="239"/>
      <c r="F456" s="228"/>
    </row>
    <row r="457" spans="1:6" ht="13.5" customHeight="1" x14ac:dyDescent="0.3">
      <c r="A457" s="226"/>
      <c r="B457" s="236"/>
      <c r="C457" s="225"/>
      <c r="D457" s="226"/>
      <c r="E457" s="239"/>
      <c r="F457" s="228"/>
    </row>
    <row r="458" spans="1:6" ht="13.5" customHeight="1" x14ac:dyDescent="0.3">
      <c r="A458" s="226"/>
      <c r="B458" s="236"/>
      <c r="C458" s="225"/>
      <c r="D458" s="226"/>
      <c r="E458" s="239"/>
      <c r="F458" s="228"/>
    </row>
    <row r="459" spans="1:6" ht="13.5" customHeight="1" x14ac:dyDescent="0.3">
      <c r="A459" s="226"/>
      <c r="B459" s="236"/>
      <c r="C459" s="225"/>
      <c r="D459" s="226"/>
      <c r="E459" s="239"/>
      <c r="F459" s="228"/>
    </row>
    <row r="460" spans="1:6" ht="13.5" customHeight="1" x14ac:dyDescent="0.3">
      <c r="A460" s="226"/>
      <c r="B460" s="236"/>
      <c r="C460" s="225"/>
      <c r="D460" s="226"/>
      <c r="E460" s="239"/>
      <c r="F460" s="228"/>
    </row>
    <row r="461" spans="1:6" ht="13.5" customHeight="1" x14ac:dyDescent="0.3">
      <c r="A461" s="226"/>
      <c r="B461" s="236"/>
      <c r="C461" s="225"/>
      <c r="D461" s="226"/>
      <c r="E461" s="239"/>
      <c r="F461" s="228"/>
    </row>
    <row r="462" spans="1:6" ht="13.5" customHeight="1" x14ac:dyDescent="0.3">
      <c r="A462" s="226"/>
      <c r="B462" s="236"/>
      <c r="C462" s="225"/>
      <c r="D462" s="226"/>
      <c r="E462" s="239"/>
      <c r="F462" s="228"/>
    </row>
    <row r="463" spans="1:6" ht="13.5" customHeight="1" x14ac:dyDescent="0.3">
      <c r="A463" s="226"/>
      <c r="B463" s="236"/>
      <c r="C463" s="225"/>
      <c r="D463" s="226"/>
      <c r="E463" s="239"/>
      <c r="F463" s="228"/>
    </row>
    <row r="464" spans="1:6" ht="13.5" customHeight="1" x14ac:dyDescent="0.3">
      <c r="A464" s="226"/>
      <c r="B464" s="236"/>
      <c r="C464" s="225"/>
      <c r="D464" s="226"/>
      <c r="E464" s="239"/>
      <c r="F464" s="228"/>
    </row>
    <row r="465" spans="1:6" ht="13.5" customHeight="1" x14ac:dyDescent="0.3">
      <c r="A465" s="226"/>
      <c r="B465" s="236"/>
      <c r="C465" s="225"/>
      <c r="D465" s="226"/>
      <c r="E465" s="239"/>
      <c r="F465" s="228"/>
    </row>
    <row r="466" spans="1:6" ht="13.5" customHeight="1" x14ac:dyDescent="0.3">
      <c r="A466" s="226"/>
      <c r="B466" s="236"/>
      <c r="C466" s="225"/>
      <c r="D466" s="226"/>
      <c r="E466" s="239"/>
      <c r="F466" s="228"/>
    </row>
    <row r="467" spans="1:6" ht="13.5" customHeight="1" x14ac:dyDescent="0.3">
      <c r="A467" s="226"/>
      <c r="B467" s="236"/>
      <c r="C467" s="225"/>
      <c r="D467" s="226"/>
      <c r="E467" s="239"/>
      <c r="F467" s="228"/>
    </row>
    <row r="468" spans="1:6" ht="13.5" customHeight="1" x14ac:dyDescent="0.3">
      <c r="A468" s="226"/>
      <c r="B468" s="236"/>
      <c r="C468" s="225"/>
      <c r="D468" s="226"/>
      <c r="E468" s="239"/>
      <c r="F468" s="228"/>
    </row>
    <row r="469" spans="1:6" ht="13.5" customHeight="1" x14ac:dyDescent="0.3">
      <c r="A469" s="226"/>
      <c r="B469" s="236"/>
      <c r="C469" s="225"/>
      <c r="D469" s="226"/>
      <c r="E469" s="239"/>
      <c r="F469" s="228"/>
    </row>
    <row r="470" spans="1:6" ht="13.5" customHeight="1" x14ac:dyDescent="0.3">
      <c r="A470" s="226"/>
      <c r="B470" s="229"/>
      <c r="C470" s="225"/>
      <c r="D470" s="226"/>
      <c r="E470" s="239"/>
      <c r="F470" s="240"/>
    </row>
    <row r="471" spans="1:6" x14ac:dyDescent="0.3">
      <c r="A471" s="226"/>
      <c r="B471" s="241" t="s">
        <v>1542</v>
      </c>
      <c r="C471" s="225"/>
      <c r="D471" s="226"/>
      <c r="E471" s="242" t="s">
        <v>1543</v>
      </c>
      <c r="F471" s="276">
        <f>SUM(F426:F469)</f>
        <v>0</v>
      </c>
    </row>
    <row r="472" spans="1:6" x14ac:dyDescent="0.3">
      <c r="A472" s="244"/>
      <c r="B472" s="245"/>
      <c r="C472" s="246"/>
      <c r="D472" s="244"/>
      <c r="E472" s="247"/>
      <c r="F472" s="248"/>
    </row>
    <row r="473" spans="1:6" x14ac:dyDescent="0.3">
      <c r="A473" s="220" t="s">
        <v>1257</v>
      </c>
      <c r="B473" s="221" t="s">
        <v>1258</v>
      </c>
      <c r="C473" s="222" t="s">
        <v>1528</v>
      </c>
      <c r="D473" s="221" t="s">
        <v>1259</v>
      </c>
      <c r="E473" s="222" t="s">
        <v>1260</v>
      </c>
      <c r="F473" s="222" t="s">
        <v>1529</v>
      </c>
    </row>
    <row r="474" spans="1:6" x14ac:dyDescent="0.3">
      <c r="A474" s="223"/>
      <c r="B474" s="249" t="str">
        <f>$B$65</f>
        <v xml:space="preserve">01 00 00 GENERAL REQUIREMENTS </v>
      </c>
      <c r="C474" s="250"/>
      <c r="D474" s="251"/>
      <c r="E474" s="252"/>
      <c r="F474" s="228"/>
    </row>
    <row r="475" spans="1:6" x14ac:dyDescent="0.3">
      <c r="A475" s="224"/>
      <c r="B475" s="236"/>
      <c r="C475" s="225"/>
      <c r="D475" s="226"/>
      <c r="E475" s="239"/>
      <c r="F475" s="228"/>
    </row>
    <row r="476" spans="1:6" ht="14.55" customHeight="1" x14ac:dyDescent="0.3">
      <c r="A476" s="226"/>
      <c r="B476" s="235" t="s">
        <v>1670</v>
      </c>
      <c r="C476" s="225"/>
      <c r="D476" s="226"/>
      <c r="E476" s="239"/>
      <c r="F476" s="228"/>
    </row>
    <row r="477" spans="1:6" ht="105.6" x14ac:dyDescent="0.3">
      <c r="A477" s="226" t="s">
        <v>1293</v>
      </c>
      <c r="B477" s="236" t="s">
        <v>1671</v>
      </c>
      <c r="C477" s="225">
        <v>1</v>
      </c>
      <c r="D477" s="226" t="s">
        <v>1546</v>
      </c>
      <c r="E477" s="253"/>
      <c r="F477" s="228"/>
    </row>
    <row r="478" spans="1:6" x14ac:dyDescent="0.3">
      <c r="A478" s="226"/>
      <c r="B478" s="236"/>
      <c r="C478" s="225"/>
      <c r="D478" s="226"/>
      <c r="E478" s="255"/>
      <c r="F478" s="228"/>
    </row>
    <row r="479" spans="1:6" x14ac:dyDescent="0.3">
      <c r="A479" s="226"/>
      <c r="B479" s="235" t="s">
        <v>1672</v>
      </c>
      <c r="C479" s="225"/>
      <c r="D479" s="226"/>
      <c r="E479" s="239"/>
      <c r="F479" s="228"/>
    </row>
    <row r="480" spans="1:6" ht="52.5" customHeight="1" x14ac:dyDescent="0.3">
      <c r="A480" s="226" t="s">
        <v>1377</v>
      </c>
      <c r="B480" s="236" t="s">
        <v>1673</v>
      </c>
      <c r="C480" s="225">
        <v>1</v>
      </c>
      <c r="D480" s="226" t="s">
        <v>1546</v>
      </c>
      <c r="E480" s="258"/>
      <c r="F480" s="228"/>
    </row>
    <row r="481" spans="1:6" x14ac:dyDescent="0.3">
      <c r="A481" s="226"/>
      <c r="B481" s="236"/>
      <c r="C481" s="225"/>
      <c r="D481" s="226"/>
      <c r="E481" s="239"/>
      <c r="F481" s="228"/>
    </row>
    <row r="482" spans="1:6" ht="26.4" x14ac:dyDescent="0.3">
      <c r="A482" s="226" t="s">
        <v>1464</v>
      </c>
      <c r="B482" s="236" t="s">
        <v>1674</v>
      </c>
      <c r="C482" s="225">
        <v>1</v>
      </c>
      <c r="D482" s="226" t="s">
        <v>1546</v>
      </c>
      <c r="E482" s="255"/>
      <c r="F482" s="228"/>
    </row>
    <row r="483" spans="1:6" x14ac:dyDescent="0.3">
      <c r="A483" s="226"/>
      <c r="B483" s="236"/>
      <c r="C483" s="225"/>
      <c r="D483" s="226"/>
      <c r="E483" s="239"/>
      <c r="F483" s="228"/>
    </row>
    <row r="484" spans="1:6" x14ac:dyDescent="0.3">
      <c r="A484" s="226"/>
      <c r="B484" s="235" t="s">
        <v>1675</v>
      </c>
      <c r="C484" s="225"/>
      <c r="D484" s="226"/>
      <c r="E484" s="239"/>
      <c r="F484" s="228"/>
    </row>
    <row r="485" spans="1:6" ht="34.5" customHeight="1" x14ac:dyDescent="0.3">
      <c r="A485" s="226" t="s">
        <v>1466</v>
      </c>
      <c r="B485" s="236" t="s">
        <v>1676</v>
      </c>
      <c r="C485" s="225">
        <v>1</v>
      </c>
      <c r="D485" s="226" t="s">
        <v>1546</v>
      </c>
      <c r="E485" s="253"/>
      <c r="F485" s="228"/>
    </row>
    <row r="486" spans="1:6" x14ac:dyDescent="0.3">
      <c r="A486" s="226"/>
      <c r="B486" s="236"/>
      <c r="C486" s="225"/>
      <c r="D486" s="226"/>
      <c r="E486" s="239"/>
      <c r="F486" s="228"/>
    </row>
    <row r="487" spans="1:6" x14ac:dyDescent="0.3">
      <c r="A487" s="226"/>
      <c r="B487" s="235" t="s">
        <v>1677</v>
      </c>
      <c r="C487" s="225"/>
      <c r="D487" s="226"/>
      <c r="E487" s="239"/>
      <c r="F487" s="228"/>
    </row>
    <row r="488" spans="1:6" ht="26.4" x14ac:dyDescent="0.3">
      <c r="A488" s="226" t="s">
        <v>1468</v>
      </c>
      <c r="B488" s="236" t="s">
        <v>1678</v>
      </c>
      <c r="C488" s="225">
        <v>1</v>
      </c>
      <c r="D488" s="226" t="s">
        <v>1546</v>
      </c>
      <c r="E488" s="253"/>
      <c r="F488" s="228"/>
    </row>
    <row r="489" spans="1:6" x14ac:dyDescent="0.3">
      <c r="A489" s="226"/>
      <c r="B489" s="236"/>
      <c r="C489" s="225"/>
      <c r="D489" s="226"/>
      <c r="E489" s="239"/>
      <c r="F489" s="228"/>
    </row>
    <row r="490" spans="1:6" x14ac:dyDescent="0.3">
      <c r="A490" s="226"/>
      <c r="B490" s="235" t="s">
        <v>1679</v>
      </c>
      <c r="C490" s="225"/>
      <c r="D490" s="226"/>
      <c r="E490" s="239"/>
      <c r="F490" s="228"/>
    </row>
    <row r="491" spans="1:6" ht="26.4" x14ac:dyDescent="0.3">
      <c r="A491" s="226" t="s">
        <v>1300</v>
      </c>
      <c r="B491" s="236" t="s">
        <v>1680</v>
      </c>
      <c r="C491" s="225">
        <v>1</v>
      </c>
      <c r="D491" s="226" t="s">
        <v>1546</v>
      </c>
      <c r="E491" s="253"/>
      <c r="F491" s="228"/>
    </row>
    <row r="492" spans="1:6" ht="11.25" customHeight="1" x14ac:dyDescent="0.3">
      <c r="A492" s="226"/>
      <c r="B492" s="236"/>
      <c r="C492" s="225"/>
      <c r="D492" s="226"/>
      <c r="E492" s="239"/>
      <c r="F492" s="228"/>
    </row>
    <row r="493" spans="1:6" ht="17.25" customHeight="1" x14ac:dyDescent="0.3">
      <c r="A493" s="226"/>
      <c r="B493" s="235" t="s">
        <v>1681</v>
      </c>
      <c r="C493" s="225"/>
      <c r="D493" s="226"/>
      <c r="E493" s="258"/>
      <c r="F493" s="228"/>
    </row>
    <row r="494" spans="1:6" ht="13.5" customHeight="1" x14ac:dyDescent="0.3">
      <c r="A494" s="226" t="s">
        <v>1471</v>
      </c>
      <c r="B494" s="236" t="s">
        <v>1682</v>
      </c>
      <c r="C494" s="225">
        <v>1</v>
      </c>
      <c r="D494" s="226" t="s">
        <v>1546</v>
      </c>
      <c r="E494" s="253"/>
      <c r="F494" s="228"/>
    </row>
    <row r="495" spans="1:6" x14ac:dyDescent="0.3">
      <c r="A495" s="226"/>
      <c r="B495" s="236"/>
      <c r="C495" s="225"/>
      <c r="D495" s="226"/>
      <c r="E495" s="258"/>
      <c r="F495" s="228"/>
    </row>
    <row r="496" spans="1:6" x14ac:dyDescent="0.3">
      <c r="A496" s="226" t="s">
        <v>1473</v>
      </c>
      <c r="B496" s="236" t="s">
        <v>1683</v>
      </c>
      <c r="C496" s="225">
        <v>1</v>
      </c>
      <c r="D496" s="226" t="s">
        <v>1546</v>
      </c>
      <c r="E496" s="253"/>
      <c r="F496" s="228"/>
    </row>
    <row r="497" spans="1:6" x14ac:dyDescent="0.3">
      <c r="A497" s="226"/>
      <c r="B497" s="236"/>
      <c r="C497" s="225"/>
      <c r="D497" s="226"/>
      <c r="E497" s="258"/>
      <c r="F497" s="228"/>
    </row>
    <row r="498" spans="1:6" ht="26.4" x14ac:dyDescent="0.3">
      <c r="A498" s="226" t="s">
        <v>1475</v>
      </c>
      <c r="B498" s="236" t="s">
        <v>1684</v>
      </c>
      <c r="C498" s="225">
        <v>1</v>
      </c>
      <c r="D498" s="226" t="s">
        <v>1546</v>
      </c>
      <c r="E498" s="253"/>
      <c r="F498" s="228"/>
    </row>
    <row r="499" spans="1:6" x14ac:dyDescent="0.3">
      <c r="A499" s="226"/>
      <c r="B499" s="235"/>
      <c r="C499" s="225"/>
      <c r="D499" s="226"/>
      <c r="E499" s="258"/>
      <c r="F499" s="228"/>
    </row>
    <row r="500" spans="1:6" ht="26.4" x14ac:dyDescent="0.3">
      <c r="A500" s="226" t="s">
        <v>1477</v>
      </c>
      <c r="B500" s="236" t="s">
        <v>1685</v>
      </c>
      <c r="C500" s="225">
        <v>1</v>
      </c>
      <c r="D500" s="226" t="s">
        <v>1546</v>
      </c>
      <c r="E500" s="253"/>
      <c r="F500" s="228"/>
    </row>
    <row r="501" spans="1:6" x14ac:dyDescent="0.3">
      <c r="A501" s="226"/>
      <c r="B501" s="236"/>
      <c r="C501" s="225"/>
      <c r="D501" s="226"/>
      <c r="E501" s="255"/>
      <c r="F501" s="228"/>
    </row>
    <row r="502" spans="1:6" x14ac:dyDescent="0.3">
      <c r="A502" s="226" t="s">
        <v>1479</v>
      </c>
      <c r="B502" s="236" t="s">
        <v>1686</v>
      </c>
      <c r="C502" s="225">
        <v>1</v>
      </c>
      <c r="D502" s="226" t="s">
        <v>1546</v>
      </c>
      <c r="E502" s="255"/>
      <c r="F502" s="228"/>
    </row>
    <row r="503" spans="1:6" x14ac:dyDescent="0.3">
      <c r="A503" s="226"/>
      <c r="B503" s="236"/>
      <c r="C503" s="225"/>
      <c r="D503" s="226"/>
      <c r="E503" s="255"/>
      <c r="F503" s="228"/>
    </row>
    <row r="504" spans="1:6" x14ac:dyDescent="0.3">
      <c r="A504" s="226" t="s">
        <v>1395</v>
      </c>
      <c r="B504" s="236" t="s">
        <v>1687</v>
      </c>
      <c r="C504" s="225">
        <v>1</v>
      </c>
      <c r="D504" s="226" t="s">
        <v>1546</v>
      </c>
      <c r="E504" s="255"/>
      <c r="F504" s="228"/>
    </row>
    <row r="505" spans="1:6" x14ac:dyDescent="0.3">
      <c r="A505" s="226"/>
      <c r="B505" s="236"/>
      <c r="C505" s="225"/>
      <c r="D505" s="226"/>
      <c r="E505" s="239"/>
      <c r="F505" s="228"/>
    </row>
    <row r="506" spans="1:6" x14ac:dyDescent="0.3">
      <c r="A506" s="226"/>
      <c r="B506" s="235" t="s">
        <v>1688</v>
      </c>
      <c r="C506" s="225"/>
      <c r="D506" s="226"/>
      <c r="E506" s="239"/>
      <c r="F506" s="228"/>
    </row>
    <row r="507" spans="1:6" ht="24.6" customHeight="1" x14ac:dyDescent="0.3">
      <c r="A507" s="226" t="s">
        <v>1482</v>
      </c>
      <c r="B507" s="236" t="s">
        <v>1689</v>
      </c>
      <c r="C507" s="225">
        <v>1</v>
      </c>
      <c r="D507" s="226" t="s">
        <v>1546</v>
      </c>
      <c r="E507" s="253"/>
      <c r="F507" s="228"/>
    </row>
    <row r="508" spans="1:6" x14ac:dyDescent="0.3">
      <c r="A508" s="226"/>
      <c r="B508" s="236"/>
      <c r="C508" s="225"/>
      <c r="D508" s="226"/>
      <c r="E508" s="239"/>
      <c r="F508" s="228"/>
    </row>
    <row r="509" spans="1:6" ht="26.4" x14ac:dyDescent="0.3">
      <c r="A509" s="226" t="s">
        <v>1484</v>
      </c>
      <c r="B509" s="236" t="s">
        <v>1690</v>
      </c>
      <c r="C509" s="225">
        <v>1</v>
      </c>
      <c r="D509" s="226" t="s">
        <v>1546</v>
      </c>
      <c r="E509" s="253"/>
      <c r="F509" s="228"/>
    </row>
    <row r="510" spans="1:6" x14ac:dyDescent="0.3">
      <c r="A510" s="226"/>
      <c r="B510" s="236"/>
      <c r="C510" s="225"/>
      <c r="D510" s="226"/>
      <c r="E510" s="255"/>
      <c r="F510" s="228"/>
    </row>
    <row r="511" spans="1:6" x14ac:dyDescent="0.3">
      <c r="A511" s="226"/>
      <c r="B511" s="236"/>
      <c r="C511" s="225"/>
      <c r="D511" s="226"/>
      <c r="E511" s="255"/>
      <c r="F511" s="228"/>
    </row>
    <row r="512" spans="1:6" x14ac:dyDescent="0.3">
      <c r="A512" s="226"/>
      <c r="B512" s="236"/>
      <c r="C512" s="225"/>
      <c r="D512" s="226"/>
      <c r="E512" s="255"/>
      <c r="F512" s="228"/>
    </row>
    <row r="513" spans="1:6" x14ac:dyDescent="0.3">
      <c r="A513" s="226"/>
      <c r="B513" s="236"/>
      <c r="C513" s="225"/>
      <c r="D513" s="226"/>
      <c r="E513" s="239"/>
      <c r="F513" s="228"/>
    </row>
    <row r="514" spans="1:6" x14ac:dyDescent="0.3">
      <c r="A514" s="226"/>
      <c r="B514" s="229"/>
      <c r="C514" s="225"/>
      <c r="D514" s="226"/>
      <c r="E514" s="239"/>
      <c r="F514" s="240"/>
    </row>
    <row r="515" spans="1:6" x14ac:dyDescent="0.3">
      <c r="A515" s="226"/>
      <c r="B515" s="241" t="s">
        <v>1542</v>
      </c>
      <c r="C515" s="225"/>
      <c r="D515" s="226"/>
      <c r="E515" s="242" t="s">
        <v>1543</v>
      </c>
      <c r="F515" s="243">
        <f>SUM(F474:F513)</f>
        <v>0</v>
      </c>
    </row>
    <row r="516" spans="1:6" x14ac:dyDescent="0.3">
      <c r="A516" s="244"/>
      <c r="B516" s="245"/>
      <c r="C516" s="246"/>
      <c r="D516" s="244"/>
      <c r="E516" s="247"/>
      <c r="F516" s="248"/>
    </row>
    <row r="517" spans="1:6" x14ac:dyDescent="0.3">
      <c r="A517" s="220" t="s">
        <v>1257</v>
      </c>
      <c r="B517" s="221" t="s">
        <v>1258</v>
      </c>
      <c r="C517" s="222" t="s">
        <v>1528</v>
      </c>
      <c r="D517" s="221" t="s">
        <v>1259</v>
      </c>
      <c r="E517" s="222" t="s">
        <v>1260</v>
      </c>
      <c r="F517" s="222" t="s">
        <v>1529</v>
      </c>
    </row>
    <row r="518" spans="1:6" x14ac:dyDescent="0.3">
      <c r="A518" s="223"/>
      <c r="B518" s="249" t="str">
        <f>$B$65</f>
        <v xml:space="preserve">01 00 00 GENERAL REQUIREMENTS </v>
      </c>
      <c r="C518" s="250"/>
      <c r="D518" s="251"/>
      <c r="E518" s="260"/>
      <c r="F518" s="228"/>
    </row>
    <row r="519" spans="1:6" x14ac:dyDescent="0.3">
      <c r="A519" s="226"/>
      <c r="B519" s="236"/>
      <c r="C519" s="225"/>
      <c r="D519" s="226"/>
      <c r="E519" s="239"/>
      <c r="F519" s="228"/>
    </row>
    <row r="520" spans="1:6" x14ac:dyDescent="0.3">
      <c r="A520" s="226"/>
      <c r="B520" s="235" t="s">
        <v>1691</v>
      </c>
      <c r="C520" s="225"/>
      <c r="D520" s="226"/>
      <c r="E520" s="239"/>
      <c r="F520" s="228"/>
    </row>
    <row r="521" spans="1:6" ht="41.4" customHeight="1" x14ac:dyDescent="0.3">
      <c r="A521" s="226" t="s">
        <v>1293</v>
      </c>
      <c r="B521" s="236" t="s">
        <v>1692</v>
      </c>
      <c r="C521" s="225">
        <v>1</v>
      </c>
      <c r="D521" s="226" t="s">
        <v>100</v>
      </c>
      <c r="E521" s="253"/>
      <c r="F521" s="228"/>
    </row>
    <row r="522" spans="1:6" x14ac:dyDescent="0.3">
      <c r="A522" s="226"/>
      <c r="B522" s="236"/>
      <c r="C522" s="225"/>
      <c r="D522" s="226"/>
      <c r="E522" s="239"/>
      <c r="F522" s="228"/>
    </row>
    <row r="523" spans="1:6" x14ac:dyDescent="0.3">
      <c r="A523" s="226"/>
      <c r="B523" s="235" t="s">
        <v>1693</v>
      </c>
      <c r="C523" s="225"/>
      <c r="D523" s="226"/>
      <c r="E523" s="239"/>
      <c r="F523" s="228"/>
    </row>
    <row r="524" spans="1:6" ht="54.6" customHeight="1" x14ac:dyDescent="0.3">
      <c r="A524" s="226" t="s">
        <v>1377</v>
      </c>
      <c r="B524" s="236" t="s">
        <v>1694</v>
      </c>
      <c r="C524" s="225">
        <v>1</v>
      </c>
      <c r="D524" s="226" t="s">
        <v>1546</v>
      </c>
      <c r="E524" s="253"/>
      <c r="F524" s="228"/>
    </row>
    <row r="525" spans="1:6" x14ac:dyDescent="0.3">
      <c r="A525" s="226"/>
      <c r="B525" s="235"/>
      <c r="C525" s="225"/>
      <c r="D525" s="226"/>
      <c r="E525" s="239"/>
      <c r="F525" s="228"/>
    </row>
    <row r="526" spans="1:6" x14ac:dyDescent="0.3">
      <c r="A526" s="226"/>
      <c r="B526" s="235" t="s">
        <v>1695</v>
      </c>
      <c r="C526" s="225"/>
      <c r="D526" s="226"/>
      <c r="E526" s="255"/>
      <c r="F526" s="228"/>
    </row>
    <row r="527" spans="1:6" ht="26.4" x14ac:dyDescent="0.3">
      <c r="A527" s="226" t="s">
        <v>1464</v>
      </c>
      <c r="B527" s="236" t="s">
        <v>1696</v>
      </c>
      <c r="C527" s="225">
        <v>1</v>
      </c>
      <c r="D527" s="226" t="s">
        <v>38</v>
      </c>
      <c r="E527" s="255"/>
      <c r="F527" s="228"/>
    </row>
    <row r="528" spans="1:6" x14ac:dyDescent="0.3">
      <c r="A528" s="226"/>
      <c r="B528" s="236"/>
      <c r="C528" s="225"/>
      <c r="D528" s="226"/>
      <c r="E528" s="239"/>
      <c r="F528" s="228"/>
    </row>
    <row r="529" spans="1:6" ht="39" customHeight="1" x14ac:dyDescent="0.3">
      <c r="A529" s="226" t="s">
        <v>1466</v>
      </c>
      <c r="B529" s="236" t="s">
        <v>1697</v>
      </c>
      <c r="C529" s="225">
        <v>1</v>
      </c>
      <c r="D529" s="226" t="s">
        <v>1546</v>
      </c>
      <c r="E529" s="253"/>
      <c r="F529" s="228"/>
    </row>
    <row r="530" spans="1:6" x14ac:dyDescent="0.3">
      <c r="A530" s="226"/>
      <c r="B530" s="236"/>
      <c r="C530" s="225"/>
      <c r="D530" s="226"/>
      <c r="E530" s="239"/>
      <c r="F530" s="228"/>
    </row>
    <row r="531" spans="1:6" x14ac:dyDescent="0.3">
      <c r="A531" s="226"/>
      <c r="B531" s="235" t="s">
        <v>1698</v>
      </c>
      <c r="C531" s="225"/>
      <c r="D531" s="226"/>
      <c r="E531" s="255"/>
      <c r="F531" s="228"/>
    </row>
    <row r="532" spans="1:6" x14ac:dyDescent="0.3">
      <c r="A532" s="226"/>
      <c r="B532" s="236"/>
      <c r="C532" s="225"/>
      <c r="D532" s="226"/>
      <c r="E532" s="255"/>
      <c r="F532" s="228"/>
    </row>
    <row r="533" spans="1:6" ht="92.55" customHeight="1" x14ac:dyDescent="0.3">
      <c r="A533" s="226" t="s">
        <v>1468</v>
      </c>
      <c r="B533" s="236" t="s">
        <v>1699</v>
      </c>
      <c r="C533" s="225">
        <v>1</v>
      </c>
      <c r="D533" s="226" t="s">
        <v>1546</v>
      </c>
      <c r="E533" s="253"/>
      <c r="F533" s="228"/>
    </row>
    <row r="534" spans="1:6" x14ac:dyDescent="0.3">
      <c r="A534" s="277"/>
      <c r="B534" s="236"/>
      <c r="C534" s="278"/>
      <c r="D534" s="226"/>
      <c r="E534" s="279"/>
      <c r="F534" s="228"/>
    </row>
    <row r="535" spans="1:6" x14ac:dyDescent="0.3">
      <c r="A535" s="226"/>
      <c r="B535" s="235" t="s">
        <v>1700</v>
      </c>
      <c r="C535" s="225"/>
      <c r="D535" s="226"/>
      <c r="E535" s="239"/>
      <c r="F535" s="228"/>
    </row>
    <row r="536" spans="1:6" ht="4.5" customHeight="1" x14ac:dyDescent="0.3">
      <c r="A536" s="226"/>
      <c r="B536" s="236"/>
      <c r="C536" s="225"/>
      <c r="D536" s="226"/>
      <c r="E536" s="239"/>
      <c r="F536" s="228"/>
    </row>
    <row r="537" spans="1:6" x14ac:dyDescent="0.3">
      <c r="A537" s="226" t="s">
        <v>1300</v>
      </c>
      <c r="B537" s="236" t="s">
        <v>1701</v>
      </c>
      <c r="C537" s="225">
        <v>1</v>
      </c>
      <c r="D537" s="226" t="s">
        <v>1546</v>
      </c>
      <c r="E537" s="253"/>
      <c r="F537" s="228"/>
    </row>
    <row r="538" spans="1:6" x14ac:dyDescent="0.3">
      <c r="A538" s="226"/>
      <c r="B538" s="236"/>
      <c r="C538" s="225"/>
      <c r="D538" s="226"/>
      <c r="E538" s="239"/>
      <c r="F538" s="228"/>
    </row>
    <row r="539" spans="1:6" x14ac:dyDescent="0.3">
      <c r="A539" s="226"/>
      <c r="B539" s="235" t="s">
        <v>1702</v>
      </c>
      <c r="C539" s="225"/>
      <c r="D539" s="226"/>
      <c r="E539" s="255"/>
      <c r="F539" s="228"/>
    </row>
    <row r="540" spans="1:6" ht="26.4" x14ac:dyDescent="0.3">
      <c r="A540" s="226" t="s">
        <v>1471</v>
      </c>
      <c r="B540" s="236" t="s">
        <v>1703</v>
      </c>
      <c r="C540" s="225">
        <v>1</v>
      </c>
      <c r="D540" s="226" t="s">
        <v>1546</v>
      </c>
      <c r="E540" s="255"/>
      <c r="F540" s="228"/>
    </row>
    <row r="541" spans="1:6" x14ac:dyDescent="0.3">
      <c r="A541" s="226"/>
      <c r="B541" s="236"/>
      <c r="C541" s="225"/>
      <c r="D541" s="226"/>
      <c r="E541" s="239"/>
      <c r="F541" s="228"/>
    </row>
    <row r="542" spans="1:6" x14ac:dyDescent="0.3">
      <c r="A542" s="226"/>
      <c r="B542" s="235" t="s">
        <v>1704</v>
      </c>
      <c r="C542" s="225"/>
      <c r="D542" s="226"/>
      <c r="E542" s="239"/>
      <c r="F542" s="228"/>
    </row>
    <row r="543" spans="1:6" x14ac:dyDescent="0.3">
      <c r="A543" s="226"/>
      <c r="B543" s="236"/>
      <c r="C543" s="225"/>
      <c r="D543" s="226"/>
      <c r="E543" s="239"/>
      <c r="F543" s="228"/>
    </row>
    <row r="544" spans="1:6" ht="52.8" x14ac:dyDescent="0.3">
      <c r="A544" s="226" t="s">
        <v>1473</v>
      </c>
      <c r="B544" s="236" t="s">
        <v>1705</v>
      </c>
      <c r="C544" s="225">
        <v>1</v>
      </c>
      <c r="D544" s="226" t="s">
        <v>1546</v>
      </c>
      <c r="E544" s="253"/>
      <c r="F544" s="228"/>
    </row>
    <row r="545" spans="1:6" x14ac:dyDescent="0.3">
      <c r="A545" s="226"/>
      <c r="B545" s="236"/>
      <c r="C545" s="225"/>
      <c r="D545" s="226"/>
      <c r="E545" s="239"/>
      <c r="F545" s="228"/>
    </row>
    <row r="546" spans="1:6" x14ac:dyDescent="0.3">
      <c r="A546" s="226"/>
      <c r="B546" s="235" t="s">
        <v>1706</v>
      </c>
      <c r="C546" s="225"/>
      <c r="D546" s="226"/>
      <c r="E546" s="239"/>
      <c r="F546" s="228"/>
    </row>
    <row r="547" spans="1:6" x14ac:dyDescent="0.3">
      <c r="A547" s="226"/>
      <c r="B547" s="236"/>
      <c r="C547" s="225"/>
      <c r="D547" s="226"/>
      <c r="E547" s="239"/>
      <c r="F547" s="228"/>
    </row>
    <row r="548" spans="1:6" ht="24.6" customHeight="1" x14ac:dyDescent="0.3">
      <c r="A548" s="226" t="s">
        <v>1475</v>
      </c>
      <c r="B548" s="236" t="s">
        <v>1707</v>
      </c>
      <c r="C548" s="225"/>
      <c r="D548" s="226"/>
      <c r="E548" s="239"/>
      <c r="F548" s="228"/>
    </row>
    <row r="549" spans="1:6" x14ac:dyDescent="0.3">
      <c r="A549" s="226"/>
      <c r="B549" s="236"/>
      <c r="C549" s="225"/>
      <c r="D549" s="226"/>
      <c r="E549" s="239"/>
      <c r="F549" s="228"/>
    </row>
    <row r="550" spans="1:6" x14ac:dyDescent="0.3">
      <c r="A550" s="226"/>
      <c r="B550" s="235" t="s">
        <v>1708</v>
      </c>
      <c r="C550" s="225"/>
      <c r="D550" s="226"/>
      <c r="E550" s="239"/>
      <c r="F550" s="228"/>
    </row>
    <row r="551" spans="1:6" x14ac:dyDescent="0.3">
      <c r="A551" s="226"/>
      <c r="B551" s="236"/>
      <c r="C551" s="225"/>
      <c r="D551" s="226"/>
      <c r="E551" s="239"/>
      <c r="F551" s="228"/>
    </row>
    <row r="552" spans="1:6" ht="38.549999999999997" customHeight="1" x14ac:dyDescent="0.3">
      <c r="A552" s="226" t="s">
        <v>1477</v>
      </c>
      <c r="B552" s="236" t="s">
        <v>1709</v>
      </c>
      <c r="C552" s="225">
        <v>1</v>
      </c>
      <c r="D552" s="226" t="s">
        <v>1546</v>
      </c>
      <c r="E552" s="253"/>
      <c r="F552" s="228"/>
    </row>
    <row r="553" spans="1:6" x14ac:dyDescent="0.3">
      <c r="A553" s="226"/>
      <c r="B553" s="236"/>
      <c r="C553" s="225"/>
      <c r="D553" s="226"/>
      <c r="E553" s="255"/>
      <c r="F553" s="228"/>
    </row>
    <row r="554" spans="1:6" x14ac:dyDescent="0.3">
      <c r="A554" s="226"/>
      <c r="B554" s="236"/>
      <c r="C554" s="225"/>
      <c r="D554" s="226"/>
      <c r="E554" s="239"/>
      <c r="F554" s="228"/>
    </row>
    <row r="555" spans="1:6" ht="13.5" customHeight="1" x14ac:dyDescent="0.3">
      <c r="A555" s="226"/>
      <c r="B555" s="236"/>
      <c r="C555" s="280"/>
      <c r="D555" s="226"/>
      <c r="E555" s="239"/>
      <c r="F555" s="281"/>
    </row>
    <row r="556" spans="1:6" x14ac:dyDescent="0.3">
      <c r="A556" s="226"/>
      <c r="B556" s="236"/>
      <c r="C556" s="280"/>
      <c r="D556" s="226"/>
      <c r="E556" s="239"/>
      <c r="F556" s="228"/>
    </row>
    <row r="557" spans="1:6" x14ac:dyDescent="0.3">
      <c r="A557" s="226"/>
      <c r="B557" s="241" t="s">
        <v>1542</v>
      </c>
      <c r="C557" s="225"/>
      <c r="D557" s="226"/>
      <c r="E557" s="242" t="s">
        <v>1543</v>
      </c>
      <c r="F557" s="243">
        <f>SUM(F518:F555)</f>
        <v>0</v>
      </c>
    </row>
    <row r="558" spans="1:6" x14ac:dyDescent="0.3">
      <c r="A558" s="244"/>
      <c r="B558" s="245"/>
      <c r="C558" s="246"/>
      <c r="D558" s="244"/>
      <c r="E558" s="247"/>
      <c r="F558" s="248"/>
    </row>
    <row r="559" spans="1:6" x14ac:dyDescent="0.3">
      <c r="A559" s="220" t="s">
        <v>1257</v>
      </c>
      <c r="B559" s="221" t="s">
        <v>1258</v>
      </c>
      <c r="C559" s="222" t="s">
        <v>1528</v>
      </c>
      <c r="D559" s="221" t="s">
        <v>1259</v>
      </c>
      <c r="E559" s="222" t="s">
        <v>1260</v>
      </c>
      <c r="F559" s="222" t="s">
        <v>1529</v>
      </c>
    </row>
    <row r="560" spans="1:6" x14ac:dyDescent="0.3">
      <c r="A560" s="223"/>
      <c r="B560" s="249" t="str">
        <f>$B$65</f>
        <v xml:space="preserve">01 00 00 GENERAL REQUIREMENTS </v>
      </c>
      <c r="C560" s="250"/>
      <c r="D560" s="251"/>
      <c r="E560" s="260"/>
      <c r="F560" s="282"/>
    </row>
    <row r="561" spans="1:6" x14ac:dyDescent="0.3">
      <c r="A561" s="226"/>
      <c r="B561" s="236"/>
      <c r="C561" s="225"/>
      <c r="D561" s="226"/>
      <c r="E561" s="239"/>
      <c r="F561" s="228"/>
    </row>
    <row r="562" spans="1:6" x14ac:dyDescent="0.3">
      <c r="A562" s="226"/>
      <c r="B562" s="235" t="s">
        <v>1710</v>
      </c>
      <c r="C562" s="225"/>
      <c r="D562" s="226"/>
      <c r="E562" s="239"/>
      <c r="F562" s="228"/>
    </row>
    <row r="563" spans="1:6" x14ac:dyDescent="0.3">
      <c r="A563" s="226"/>
      <c r="B563" s="235"/>
      <c r="C563" s="225"/>
      <c r="D563" s="226"/>
      <c r="E563" s="239"/>
      <c r="F563" s="228"/>
    </row>
    <row r="564" spans="1:6" ht="26.4" x14ac:dyDescent="0.3">
      <c r="A564" s="226"/>
      <c r="B564" s="236" t="s">
        <v>1711</v>
      </c>
      <c r="C564" s="225"/>
      <c r="D564" s="226"/>
      <c r="E564" s="239"/>
      <c r="F564" s="228"/>
    </row>
    <row r="565" spans="1:6" x14ac:dyDescent="0.3">
      <c r="A565" s="226"/>
      <c r="B565" s="236"/>
      <c r="C565" s="225"/>
      <c r="D565" s="226"/>
      <c r="E565" s="239"/>
      <c r="F565" s="228"/>
    </row>
    <row r="566" spans="1:6" x14ac:dyDescent="0.3">
      <c r="A566" s="226" t="s">
        <v>1293</v>
      </c>
      <c r="B566" s="236" t="s">
        <v>1712</v>
      </c>
      <c r="C566" s="225">
        <v>1</v>
      </c>
      <c r="D566" s="226" t="s">
        <v>1546</v>
      </c>
      <c r="E566" s="258"/>
      <c r="F566" s="228"/>
    </row>
    <row r="567" spans="1:6" x14ac:dyDescent="0.3">
      <c r="A567" s="226"/>
      <c r="B567" s="236"/>
      <c r="C567" s="225"/>
      <c r="D567" s="226"/>
      <c r="E567" s="239"/>
      <c r="F567" s="228"/>
    </row>
    <row r="568" spans="1:6" x14ac:dyDescent="0.3">
      <c r="A568" s="226" t="s">
        <v>1377</v>
      </c>
      <c r="B568" s="236" t="s">
        <v>1713</v>
      </c>
      <c r="C568" s="225">
        <v>1</v>
      </c>
      <c r="D568" s="226" t="s">
        <v>1546</v>
      </c>
      <c r="E568" s="253"/>
      <c r="F568" s="228"/>
    </row>
    <row r="569" spans="1:6" x14ac:dyDescent="0.3">
      <c r="A569" s="226"/>
      <c r="B569" s="236"/>
      <c r="C569" s="225"/>
      <c r="D569" s="226"/>
      <c r="E569" s="239"/>
      <c r="F569" s="228"/>
    </row>
    <row r="570" spans="1:6" x14ac:dyDescent="0.3">
      <c r="A570" s="226" t="s">
        <v>1464</v>
      </c>
      <c r="B570" s="236" t="s">
        <v>1714</v>
      </c>
      <c r="C570" s="225">
        <v>1</v>
      </c>
      <c r="D570" s="226" t="s">
        <v>1546</v>
      </c>
      <c r="E570" s="253"/>
      <c r="F570" s="228"/>
    </row>
    <row r="571" spans="1:6" x14ac:dyDescent="0.3">
      <c r="A571" s="226"/>
      <c r="B571" s="236"/>
      <c r="C571" s="225"/>
      <c r="D571" s="226"/>
      <c r="E571" s="239"/>
      <c r="F571" s="228"/>
    </row>
    <row r="572" spans="1:6" x14ac:dyDescent="0.3">
      <c r="A572" s="226" t="s">
        <v>1466</v>
      </c>
      <c r="B572" s="236" t="s">
        <v>1715</v>
      </c>
      <c r="C572" s="225">
        <v>1</v>
      </c>
      <c r="D572" s="226" t="s">
        <v>1546</v>
      </c>
      <c r="E572" s="253"/>
      <c r="F572" s="228"/>
    </row>
    <row r="573" spans="1:6" x14ac:dyDescent="0.3">
      <c r="A573" s="226"/>
      <c r="B573" s="236"/>
      <c r="C573" s="225"/>
      <c r="D573" s="226"/>
      <c r="E573" s="239"/>
      <c r="F573" s="228"/>
    </row>
    <row r="574" spans="1:6" ht="26.4" x14ac:dyDescent="0.3">
      <c r="A574" s="226" t="s">
        <v>1468</v>
      </c>
      <c r="B574" s="236" t="s">
        <v>1716</v>
      </c>
      <c r="C574" s="225">
        <v>1</v>
      </c>
      <c r="D574" s="226" t="s">
        <v>1546</v>
      </c>
      <c r="E574" s="253"/>
      <c r="F574" s="228"/>
    </row>
    <row r="575" spans="1:6" x14ac:dyDescent="0.3">
      <c r="A575" s="226"/>
      <c r="B575" s="236"/>
      <c r="C575" s="225"/>
      <c r="D575" s="226"/>
      <c r="E575" s="239"/>
      <c r="F575" s="228"/>
    </row>
    <row r="576" spans="1:6" ht="30.75" customHeight="1" x14ac:dyDescent="0.3">
      <c r="A576" s="226" t="s">
        <v>1300</v>
      </c>
      <c r="B576" s="236" t="s">
        <v>1717</v>
      </c>
      <c r="C576" s="225">
        <v>1</v>
      </c>
      <c r="D576" s="226" t="s">
        <v>1546</v>
      </c>
      <c r="E576" s="253"/>
      <c r="F576" s="228"/>
    </row>
    <row r="577" spans="1:6" x14ac:dyDescent="0.3">
      <c r="A577" s="226"/>
      <c r="B577" s="236"/>
      <c r="C577" s="225"/>
      <c r="D577" s="226"/>
      <c r="E577" s="253"/>
      <c r="F577" s="228"/>
    </row>
    <row r="578" spans="1:6" x14ac:dyDescent="0.3">
      <c r="A578" s="226" t="s">
        <v>1471</v>
      </c>
      <c r="B578" s="236" t="s">
        <v>1718</v>
      </c>
      <c r="C578" s="225">
        <v>1</v>
      </c>
      <c r="D578" s="226" t="s">
        <v>1546</v>
      </c>
      <c r="E578" s="253"/>
      <c r="F578" s="228"/>
    </row>
    <row r="579" spans="1:6" x14ac:dyDescent="0.3">
      <c r="A579" s="226"/>
      <c r="B579" s="236"/>
      <c r="C579" s="225"/>
      <c r="D579" s="226"/>
      <c r="E579" s="239"/>
      <c r="F579" s="228"/>
    </row>
    <row r="580" spans="1:6" x14ac:dyDescent="0.3">
      <c r="A580" s="226" t="s">
        <v>1473</v>
      </c>
      <c r="B580" s="236" t="s">
        <v>1719</v>
      </c>
      <c r="C580" s="225">
        <v>1</v>
      </c>
      <c r="D580" s="226" t="s">
        <v>1546</v>
      </c>
      <c r="E580" s="258"/>
      <c r="F580" s="228"/>
    </row>
    <row r="581" spans="1:6" x14ac:dyDescent="0.3">
      <c r="A581" s="226"/>
      <c r="B581" s="236"/>
      <c r="C581" s="225"/>
      <c r="D581" s="226"/>
      <c r="E581" s="239"/>
      <c r="F581" s="228"/>
    </row>
    <row r="582" spans="1:6" ht="26.4" x14ac:dyDescent="0.3">
      <c r="A582" s="226" t="s">
        <v>1475</v>
      </c>
      <c r="B582" s="236" t="s">
        <v>1720</v>
      </c>
      <c r="C582" s="225">
        <v>1</v>
      </c>
      <c r="D582" s="226" t="s">
        <v>1546</v>
      </c>
      <c r="E582" s="253"/>
      <c r="F582" s="228"/>
    </row>
    <row r="583" spans="1:6" x14ac:dyDescent="0.3">
      <c r="A583" s="226"/>
      <c r="B583" s="236"/>
      <c r="C583" s="225"/>
      <c r="D583" s="226"/>
      <c r="E583" s="239"/>
      <c r="F583" s="228"/>
    </row>
    <row r="584" spans="1:6" x14ac:dyDescent="0.3">
      <c r="A584" s="226"/>
      <c r="B584" s="235" t="s">
        <v>1721</v>
      </c>
      <c r="C584" s="225"/>
      <c r="D584" s="226"/>
      <c r="E584" s="258"/>
      <c r="F584" s="228"/>
    </row>
    <row r="585" spans="1:6" ht="6.75" customHeight="1" x14ac:dyDescent="0.3">
      <c r="A585" s="226"/>
      <c r="B585" s="283"/>
      <c r="C585" s="225"/>
      <c r="D585" s="226"/>
      <c r="E585" s="284"/>
      <c r="F585" s="228"/>
    </row>
    <row r="586" spans="1:6" ht="26.4" x14ac:dyDescent="0.3">
      <c r="A586" s="226" t="s">
        <v>1477</v>
      </c>
      <c r="B586" s="236" t="s">
        <v>1722</v>
      </c>
      <c r="C586" s="225">
        <v>1</v>
      </c>
      <c r="D586" s="226" t="s">
        <v>1546</v>
      </c>
      <c r="E586" s="258"/>
      <c r="F586" s="228"/>
    </row>
    <row r="587" spans="1:6" x14ac:dyDescent="0.3">
      <c r="A587" s="226"/>
      <c r="B587" s="236"/>
      <c r="C587" s="225"/>
      <c r="D587" s="226"/>
      <c r="E587" s="253"/>
      <c r="F587" s="228"/>
    </row>
    <row r="588" spans="1:6" ht="26.4" x14ac:dyDescent="0.3">
      <c r="A588" s="226" t="s">
        <v>1479</v>
      </c>
      <c r="B588" s="236" t="s">
        <v>1723</v>
      </c>
      <c r="C588" s="225">
        <v>1</v>
      </c>
      <c r="D588" s="226" t="s">
        <v>1546</v>
      </c>
      <c r="E588" s="258"/>
      <c r="F588" s="228"/>
    </row>
    <row r="589" spans="1:6" x14ac:dyDescent="0.3">
      <c r="A589" s="226"/>
      <c r="B589" s="236"/>
      <c r="C589" s="225"/>
      <c r="D589" s="226"/>
      <c r="E589" s="255"/>
      <c r="F589" s="228"/>
    </row>
    <row r="590" spans="1:6" ht="26.4" x14ac:dyDescent="0.3">
      <c r="A590" s="277" t="s">
        <v>1395</v>
      </c>
      <c r="B590" s="236" t="s">
        <v>1724</v>
      </c>
      <c r="C590" s="278">
        <v>1</v>
      </c>
      <c r="D590" s="226" t="s">
        <v>1546</v>
      </c>
      <c r="E590" s="258"/>
      <c r="F590" s="285"/>
    </row>
    <row r="591" spans="1:6" x14ac:dyDescent="0.3">
      <c r="A591" s="226"/>
      <c r="B591" s="236"/>
      <c r="C591" s="225"/>
      <c r="D591" s="226"/>
      <c r="E591" s="239"/>
      <c r="F591" s="228"/>
    </row>
    <row r="592" spans="1:6" x14ac:dyDescent="0.3">
      <c r="A592" s="226"/>
      <c r="B592" s="236"/>
      <c r="C592" s="225"/>
      <c r="D592" s="226"/>
      <c r="E592" s="239"/>
      <c r="F592" s="228"/>
    </row>
    <row r="593" spans="1:6" x14ac:dyDescent="0.3">
      <c r="A593" s="226"/>
      <c r="B593" s="236"/>
      <c r="C593" s="225"/>
      <c r="D593" s="226"/>
      <c r="E593" s="239"/>
      <c r="F593" s="228"/>
    </row>
    <row r="594" spans="1:6" x14ac:dyDescent="0.3">
      <c r="A594" s="226"/>
      <c r="B594" s="236"/>
      <c r="C594" s="225"/>
      <c r="D594" s="226"/>
      <c r="E594" s="239"/>
      <c r="F594" s="228"/>
    </row>
    <row r="595" spans="1:6" x14ac:dyDescent="0.3">
      <c r="A595" s="226"/>
      <c r="B595" s="236"/>
      <c r="C595" s="225"/>
      <c r="D595" s="226"/>
      <c r="E595" s="239"/>
      <c r="F595" s="228"/>
    </row>
    <row r="596" spans="1:6" x14ac:dyDescent="0.3">
      <c r="A596" s="226"/>
      <c r="B596" s="236"/>
      <c r="C596" s="225"/>
      <c r="D596" s="226"/>
      <c r="E596" s="239"/>
      <c r="F596" s="228"/>
    </row>
    <row r="597" spans="1:6" x14ac:dyDescent="0.3">
      <c r="A597" s="226"/>
      <c r="B597" s="236"/>
      <c r="C597" s="225"/>
      <c r="D597" s="226"/>
      <c r="E597" s="239"/>
      <c r="F597" s="228"/>
    </row>
    <row r="598" spans="1:6" x14ac:dyDescent="0.3">
      <c r="A598" s="226"/>
      <c r="B598" s="236"/>
      <c r="C598" s="225"/>
      <c r="D598" s="226"/>
      <c r="E598" s="239"/>
      <c r="F598" s="228"/>
    </row>
    <row r="599" spans="1:6" x14ac:dyDescent="0.3">
      <c r="A599" s="226"/>
      <c r="B599" s="236"/>
      <c r="C599" s="225"/>
      <c r="D599" s="226"/>
      <c r="E599" s="239"/>
      <c r="F599" s="228"/>
    </row>
    <row r="600" spans="1:6" ht="13.5" customHeight="1" x14ac:dyDescent="0.3">
      <c r="A600" s="226"/>
      <c r="B600" s="236"/>
      <c r="C600" s="280"/>
      <c r="D600" s="226"/>
      <c r="E600" s="239"/>
      <c r="F600" s="281"/>
    </row>
    <row r="601" spans="1:6" x14ac:dyDescent="0.3">
      <c r="A601" s="226"/>
      <c r="B601" s="236"/>
      <c r="C601" s="280"/>
      <c r="D601" s="226"/>
      <c r="E601" s="239"/>
      <c r="F601" s="228"/>
    </row>
    <row r="602" spans="1:6" x14ac:dyDescent="0.3">
      <c r="A602" s="226"/>
      <c r="B602" s="241" t="s">
        <v>1542</v>
      </c>
      <c r="C602" s="225"/>
      <c r="D602" s="226"/>
      <c r="E602" s="242" t="s">
        <v>1543</v>
      </c>
      <c r="F602" s="243">
        <f>SUM(F555:F600)</f>
        <v>0</v>
      </c>
    </row>
    <row r="603" spans="1:6" x14ac:dyDescent="0.3">
      <c r="A603" s="244"/>
      <c r="B603" s="245"/>
      <c r="C603" s="246"/>
      <c r="D603" s="244"/>
      <c r="E603" s="247"/>
      <c r="F603" s="248"/>
    </row>
    <row r="604" spans="1:6" x14ac:dyDescent="0.3">
      <c r="A604" s="220" t="s">
        <v>1257</v>
      </c>
      <c r="B604" s="221" t="s">
        <v>1258</v>
      </c>
      <c r="C604" s="222" t="s">
        <v>1528</v>
      </c>
      <c r="D604" s="221" t="s">
        <v>1259</v>
      </c>
      <c r="E604" s="222" t="s">
        <v>1260</v>
      </c>
      <c r="F604" s="222" t="s">
        <v>1529</v>
      </c>
    </row>
    <row r="605" spans="1:6" x14ac:dyDescent="0.3">
      <c r="A605" s="226"/>
      <c r="B605" s="229"/>
      <c r="C605" s="225"/>
      <c r="D605" s="226"/>
      <c r="E605" s="239"/>
      <c r="F605" s="228"/>
    </row>
    <row r="606" spans="1:6" x14ac:dyDescent="0.3">
      <c r="A606" s="226"/>
      <c r="B606" s="283" t="s">
        <v>1228</v>
      </c>
      <c r="C606" s="225"/>
      <c r="D606" s="226"/>
      <c r="E606" s="239"/>
      <c r="F606" s="228"/>
    </row>
    <row r="607" spans="1:6" x14ac:dyDescent="0.3">
      <c r="A607" s="226"/>
      <c r="B607" s="229"/>
      <c r="C607" s="225"/>
      <c r="D607" s="226"/>
      <c r="E607" s="239"/>
      <c r="F607" s="228"/>
    </row>
    <row r="608" spans="1:6" x14ac:dyDescent="0.3">
      <c r="A608" s="226"/>
      <c r="B608" s="237" t="s">
        <v>1229</v>
      </c>
      <c r="C608" s="225"/>
      <c r="D608" s="226"/>
      <c r="E608" s="239"/>
      <c r="F608" s="228"/>
    </row>
    <row r="609" spans="1:6" x14ac:dyDescent="0.3">
      <c r="A609" s="226"/>
      <c r="B609" s="229"/>
      <c r="C609" s="225"/>
      <c r="D609" s="226"/>
      <c r="E609" s="239"/>
      <c r="F609" s="228"/>
    </row>
    <row r="610" spans="1:6" ht="48" customHeight="1" x14ac:dyDescent="0.3">
      <c r="A610" s="226" t="s">
        <v>1293</v>
      </c>
      <c r="B610" s="236" t="s">
        <v>1230</v>
      </c>
      <c r="C610" s="225">
        <v>1</v>
      </c>
      <c r="D610" s="226" t="s">
        <v>1546</v>
      </c>
      <c r="E610" s="258"/>
      <c r="F610" s="228"/>
    </row>
    <row r="611" spans="1:6" x14ac:dyDescent="0.3">
      <c r="A611" s="225"/>
      <c r="B611" s="286"/>
      <c r="C611" s="225"/>
      <c r="D611" s="225"/>
      <c r="E611" s="239"/>
      <c r="F611" s="228"/>
    </row>
    <row r="612" spans="1:6" x14ac:dyDescent="0.3">
      <c r="A612" s="225"/>
      <c r="B612" s="286"/>
      <c r="C612" s="225"/>
      <c r="D612" s="225"/>
      <c r="E612" s="239"/>
      <c r="F612" s="228"/>
    </row>
    <row r="613" spans="1:6" x14ac:dyDescent="0.3">
      <c r="A613" s="225"/>
      <c r="B613" s="286"/>
      <c r="C613" s="225"/>
      <c r="D613" s="225"/>
      <c r="E613" s="239"/>
      <c r="F613" s="228"/>
    </row>
    <row r="614" spans="1:6" x14ac:dyDescent="0.3">
      <c r="A614" s="225"/>
      <c r="B614" s="286"/>
      <c r="C614" s="225"/>
      <c r="D614" s="225"/>
      <c r="E614" s="239"/>
      <c r="F614" s="228"/>
    </row>
    <row r="615" spans="1:6" x14ac:dyDescent="0.3">
      <c r="A615" s="225"/>
      <c r="B615" s="286"/>
      <c r="C615" s="225"/>
      <c r="D615" s="225"/>
      <c r="E615" s="239"/>
      <c r="F615" s="228"/>
    </row>
    <row r="616" spans="1:6" x14ac:dyDescent="0.3">
      <c r="A616" s="225"/>
      <c r="B616" s="286"/>
      <c r="C616" s="225"/>
      <c r="D616" s="225"/>
      <c r="E616" s="239"/>
      <c r="F616" s="228"/>
    </row>
    <row r="617" spans="1:6" x14ac:dyDescent="0.3">
      <c r="A617" s="225"/>
      <c r="B617" s="286"/>
      <c r="C617" s="225"/>
      <c r="D617" s="225"/>
      <c r="E617" s="239"/>
      <c r="F617" s="228"/>
    </row>
    <row r="618" spans="1:6" x14ac:dyDescent="0.3">
      <c r="A618" s="225"/>
      <c r="B618" s="286"/>
      <c r="C618" s="225"/>
      <c r="D618" s="225"/>
      <c r="E618" s="239"/>
      <c r="F618" s="228"/>
    </row>
    <row r="619" spans="1:6" x14ac:dyDescent="0.3">
      <c r="A619" s="225"/>
      <c r="B619" s="286"/>
      <c r="C619" s="225"/>
      <c r="D619" s="225"/>
      <c r="E619" s="239"/>
      <c r="F619" s="228"/>
    </row>
    <row r="620" spans="1:6" x14ac:dyDescent="0.3">
      <c r="A620" s="225"/>
      <c r="B620" s="286"/>
      <c r="C620" s="225"/>
      <c r="D620" s="225"/>
      <c r="E620" s="239"/>
      <c r="F620" s="228"/>
    </row>
    <row r="621" spans="1:6" x14ac:dyDescent="0.3">
      <c r="A621" s="225"/>
      <c r="B621" s="286"/>
      <c r="C621" s="225"/>
      <c r="D621" s="225"/>
      <c r="E621" s="239"/>
      <c r="F621" s="228"/>
    </row>
    <row r="622" spans="1:6" x14ac:dyDescent="0.3">
      <c r="A622" s="225"/>
      <c r="B622" s="286"/>
      <c r="C622" s="225"/>
      <c r="D622" s="225"/>
      <c r="E622" s="239"/>
      <c r="F622" s="228"/>
    </row>
    <row r="623" spans="1:6" x14ac:dyDescent="0.3">
      <c r="A623" s="225"/>
      <c r="B623" s="286"/>
      <c r="C623" s="225"/>
      <c r="D623" s="225"/>
      <c r="E623" s="239"/>
      <c r="F623" s="228"/>
    </row>
    <row r="624" spans="1:6" x14ac:dyDescent="0.3">
      <c r="A624" s="225"/>
      <c r="B624" s="286"/>
      <c r="C624" s="225"/>
      <c r="D624" s="225"/>
      <c r="E624" s="239"/>
      <c r="F624" s="228"/>
    </row>
    <row r="625" spans="1:6" x14ac:dyDescent="0.3">
      <c r="A625" s="225"/>
      <c r="B625" s="286"/>
      <c r="C625" s="225"/>
      <c r="D625" s="225"/>
      <c r="E625" s="239"/>
      <c r="F625" s="228"/>
    </row>
    <row r="626" spans="1:6" x14ac:dyDescent="0.3">
      <c r="A626" s="225"/>
      <c r="B626" s="286"/>
      <c r="C626" s="225"/>
      <c r="D626" s="225"/>
      <c r="E626" s="239"/>
      <c r="F626" s="228"/>
    </row>
    <row r="627" spans="1:6" x14ac:dyDescent="0.3">
      <c r="A627" s="225"/>
      <c r="B627" s="286"/>
      <c r="C627" s="225"/>
      <c r="D627" s="225"/>
      <c r="E627" s="239"/>
      <c r="F627" s="228"/>
    </row>
    <row r="628" spans="1:6" x14ac:dyDescent="0.3">
      <c r="A628" s="225"/>
      <c r="B628" s="286"/>
      <c r="C628" s="225"/>
      <c r="D628" s="225"/>
      <c r="E628" s="239"/>
      <c r="F628" s="228"/>
    </row>
    <row r="629" spans="1:6" x14ac:dyDescent="0.3">
      <c r="A629" s="225"/>
      <c r="B629" s="286"/>
      <c r="C629" s="225"/>
      <c r="D629" s="225"/>
      <c r="E629" s="239"/>
      <c r="F629" s="228"/>
    </row>
    <row r="630" spans="1:6" x14ac:dyDescent="0.3">
      <c r="A630" s="225"/>
      <c r="B630" s="286"/>
      <c r="C630" s="225"/>
      <c r="D630" s="225"/>
      <c r="E630" s="239"/>
      <c r="F630" s="228"/>
    </row>
    <row r="631" spans="1:6" x14ac:dyDescent="0.3">
      <c r="A631" s="225"/>
      <c r="B631" s="286"/>
      <c r="C631" s="225"/>
      <c r="D631" s="225"/>
      <c r="E631" s="239"/>
      <c r="F631" s="228"/>
    </row>
    <row r="632" spans="1:6" x14ac:dyDescent="0.3">
      <c r="A632" s="225"/>
      <c r="B632" s="286"/>
      <c r="C632" s="225"/>
      <c r="D632" s="225"/>
      <c r="E632" s="239"/>
      <c r="F632" s="228"/>
    </row>
    <row r="633" spans="1:6" x14ac:dyDescent="0.3">
      <c r="A633" s="225"/>
      <c r="B633" s="286"/>
      <c r="C633" s="225"/>
      <c r="D633" s="225"/>
      <c r="E633" s="239"/>
      <c r="F633" s="228"/>
    </row>
    <row r="634" spans="1:6" x14ac:dyDescent="0.3">
      <c r="A634" s="225"/>
      <c r="B634" s="286"/>
      <c r="C634" s="225"/>
      <c r="D634" s="225"/>
      <c r="E634" s="239"/>
      <c r="F634" s="228"/>
    </row>
    <row r="635" spans="1:6" x14ac:dyDescent="0.3">
      <c r="A635" s="225"/>
      <c r="B635" s="286"/>
      <c r="C635" s="225"/>
      <c r="D635" s="225"/>
      <c r="E635" s="239"/>
      <c r="F635" s="228"/>
    </row>
    <row r="636" spans="1:6" x14ac:dyDescent="0.3">
      <c r="A636" s="225"/>
      <c r="B636" s="286"/>
      <c r="C636" s="225"/>
      <c r="D636" s="225"/>
      <c r="E636" s="239"/>
      <c r="F636" s="228"/>
    </row>
    <row r="637" spans="1:6" x14ac:dyDescent="0.3">
      <c r="A637" s="225"/>
      <c r="B637" s="286"/>
      <c r="C637" s="225"/>
      <c r="D637" s="225"/>
      <c r="E637" s="239"/>
      <c r="F637" s="228"/>
    </row>
    <row r="638" spans="1:6" x14ac:dyDescent="0.3">
      <c r="A638" s="225"/>
      <c r="B638" s="286"/>
      <c r="C638" s="225"/>
      <c r="D638" s="225"/>
      <c r="E638" s="239"/>
      <c r="F638" s="228"/>
    </row>
    <row r="639" spans="1:6" x14ac:dyDescent="0.3">
      <c r="A639" s="225"/>
      <c r="B639" s="286"/>
      <c r="C639" s="225"/>
      <c r="D639" s="225"/>
      <c r="E639" s="239"/>
      <c r="F639" s="228"/>
    </row>
    <row r="640" spans="1:6" x14ac:dyDescent="0.3">
      <c r="A640" s="225"/>
      <c r="B640" s="286"/>
      <c r="C640" s="225"/>
      <c r="D640" s="225"/>
      <c r="E640" s="239"/>
      <c r="F640" s="228"/>
    </row>
    <row r="641" spans="1:6" x14ac:dyDescent="0.3">
      <c r="A641" s="225"/>
      <c r="B641" s="286"/>
      <c r="C641" s="225"/>
      <c r="D641" s="225"/>
      <c r="E641" s="239"/>
      <c r="F641" s="228"/>
    </row>
    <row r="642" spans="1:6" x14ac:dyDescent="0.3">
      <c r="A642" s="225"/>
      <c r="B642" s="286"/>
      <c r="C642" s="225"/>
      <c r="D642" s="225"/>
      <c r="E642" s="239"/>
      <c r="F642" s="228"/>
    </row>
    <row r="643" spans="1:6" x14ac:dyDescent="0.3">
      <c r="A643" s="225"/>
      <c r="B643" s="286"/>
      <c r="C643" s="225"/>
      <c r="D643" s="225"/>
      <c r="E643" s="239"/>
      <c r="F643" s="228"/>
    </row>
    <row r="644" spans="1:6" x14ac:dyDescent="0.3">
      <c r="A644" s="225"/>
      <c r="B644" s="286"/>
      <c r="C644" s="225"/>
      <c r="D644" s="225"/>
      <c r="E644" s="239"/>
      <c r="F644" s="228"/>
    </row>
    <row r="645" spans="1:6" x14ac:dyDescent="0.3">
      <c r="A645" s="225"/>
      <c r="B645" s="286"/>
      <c r="C645" s="225"/>
      <c r="D645" s="225"/>
      <c r="E645" s="239"/>
      <c r="F645" s="228"/>
    </row>
    <row r="646" spans="1:6" x14ac:dyDescent="0.3">
      <c r="A646" s="225"/>
      <c r="B646" s="286"/>
      <c r="C646" s="225"/>
      <c r="D646" s="225"/>
      <c r="E646" s="239"/>
      <c r="F646" s="228"/>
    </row>
    <row r="647" spans="1:6" x14ac:dyDescent="0.3">
      <c r="A647" s="225"/>
      <c r="B647" s="286"/>
      <c r="C647" s="225"/>
      <c r="D647" s="225"/>
      <c r="E647" s="239"/>
      <c r="F647" s="228"/>
    </row>
    <row r="648" spans="1:6" x14ac:dyDescent="0.3">
      <c r="A648" s="225"/>
      <c r="B648" s="286"/>
      <c r="C648" s="225"/>
      <c r="D648" s="225"/>
      <c r="E648" s="239"/>
      <c r="F648" s="228"/>
    </row>
    <row r="649" spans="1:6" x14ac:dyDescent="0.3">
      <c r="A649" s="225"/>
      <c r="B649" s="286"/>
      <c r="C649" s="225"/>
      <c r="D649" s="225"/>
      <c r="E649" s="239"/>
      <c r="F649" s="228"/>
    </row>
    <row r="650" spans="1:6" x14ac:dyDescent="0.3">
      <c r="A650" s="225"/>
      <c r="B650" s="286"/>
      <c r="C650" s="225"/>
      <c r="D650" s="225"/>
      <c r="E650" s="239"/>
      <c r="F650" s="228"/>
    </row>
    <row r="651" spans="1:6" x14ac:dyDescent="0.3">
      <c r="A651" s="226"/>
      <c r="B651" s="236"/>
      <c r="C651" s="225"/>
      <c r="D651" s="226"/>
      <c r="E651" s="239"/>
      <c r="F651" s="281" t="str">
        <f t="shared" ref="F651" si="3">IF(ISBLANK(E651),"",C651*E651)</f>
        <v/>
      </c>
    </row>
    <row r="652" spans="1:6" x14ac:dyDescent="0.3">
      <c r="A652" s="226"/>
      <c r="B652" s="229"/>
      <c r="C652" s="225"/>
      <c r="D652" s="226"/>
      <c r="E652" s="239"/>
      <c r="F652" s="240"/>
    </row>
    <row r="653" spans="1:6" x14ac:dyDescent="0.3">
      <c r="A653" s="226"/>
      <c r="B653" s="241" t="s">
        <v>1542</v>
      </c>
      <c r="C653" s="225"/>
      <c r="D653" s="226"/>
      <c r="E653" s="242" t="s">
        <v>1543</v>
      </c>
      <c r="F653" s="243">
        <f>SUM(F605:F651)</f>
        <v>0</v>
      </c>
    </row>
    <row r="654" spans="1:6" x14ac:dyDescent="0.3">
      <c r="A654" s="244"/>
      <c r="B654" s="245"/>
      <c r="C654" s="246"/>
      <c r="D654" s="244"/>
      <c r="E654" s="247"/>
      <c r="F654" s="248"/>
    </row>
    <row r="655" spans="1:6" x14ac:dyDescent="0.3">
      <c r="A655" s="220" t="s">
        <v>1257</v>
      </c>
      <c r="B655" s="221" t="s">
        <v>1258</v>
      </c>
      <c r="C655" s="222" t="s">
        <v>1528</v>
      </c>
      <c r="D655" s="221" t="s">
        <v>1259</v>
      </c>
      <c r="E655" s="222" t="s">
        <v>1260</v>
      </c>
      <c r="F655" s="222" t="s">
        <v>1529</v>
      </c>
    </row>
    <row r="656" spans="1:6" x14ac:dyDescent="0.3">
      <c r="A656" s="251"/>
      <c r="B656" s="249" t="str">
        <f>$B$65</f>
        <v xml:space="preserve">01 00 00 GENERAL REQUIREMENTS </v>
      </c>
      <c r="C656" s="250"/>
      <c r="D656" s="251"/>
      <c r="E656" s="287"/>
      <c r="F656" s="288"/>
    </row>
    <row r="657" spans="1:6" x14ac:dyDescent="0.3">
      <c r="A657" s="226"/>
      <c r="B657" s="272"/>
      <c r="C657" s="225"/>
      <c r="D657" s="226"/>
      <c r="E657" s="284"/>
      <c r="F657" s="289"/>
    </row>
    <row r="658" spans="1:6" x14ac:dyDescent="0.3">
      <c r="A658" s="226"/>
      <c r="B658" s="290" t="s">
        <v>1725</v>
      </c>
      <c r="C658" s="291" t="s">
        <v>1726</v>
      </c>
      <c r="D658" s="226"/>
      <c r="E658" s="284"/>
      <c r="F658" s="289"/>
    </row>
    <row r="659" spans="1:6" x14ac:dyDescent="0.3">
      <c r="A659" s="226"/>
      <c r="B659" s="272"/>
      <c r="C659" s="225"/>
      <c r="D659" s="226"/>
      <c r="E659" s="284"/>
      <c r="F659" s="289"/>
    </row>
    <row r="660" spans="1:6" x14ac:dyDescent="0.3">
      <c r="A660" s="226"/>
      <c r="B660" s="292" t="s">
        <v>1727</v>
      </c>
      <c r="C660" s="225">
        <v>2</v>
      </c>
      <c r="D660" s="226"/>
      <c r="E660" s="284"/>
      <c r="F660" s="289">
        <f>+F90</f>
        <v>0</v>
      </c>
    </row>
    <row r="661" spans="1:6" x14ac:dyDescent="0.3">
      <c r="A661" s="226"/>
      <c r="B661" s="224"/>
      <c r="C661" s="225"/>
      <c r="D661" s="226"/>
      <c r="E661" s="284"/>
      <c r="F661" s="293"/>
    </row>
    <row r="662" spans="1:6" x14ac:dyDescent="0.3">
      <c r="A662" s="226"/>
      <c r="B662" s="292" t="s">
        <v>1727</v>
      </c>
      <c r="C662" s="225">
        <f>C660+1</f>
        <v>3</v>
      </c>
      <c r="D662" s="226"/>
      <c r="E662" s="284"/>
      <c r="F662" s="293">
        <f>+F132</f>
        <v>0</v>
      </c>
    </row>
    <row r="663" spans="1:6" x14ac:dyDescent="0.3">
      <c r="A663" s="226"/>
      <c r="B663" s="224"/>
      <c r="C663" s="225"/>
      <c r="D663" s="226"/>
      <c r="E663" s="284"/>
      <c r="F663" s="293"/>
    </row>
    <row r="664" spans="1:6" x14ac:dyDescent="0.3">
      <c r="A664" s="226"/>
      <c r="B664" s="292" t="s">
        <v>1727</v>
      </c>
      <c r="C664" s="225">
        <f>C662+1</f>
        <v>4</v>
      </c>
      <c r="D664" s="226"/>
      <c r="E664" s="284"/>
      <c r="F664" s="293">
        <f>F175</f>
        <v>0</v>
      </c>
    </row>
    <row r="665" spans="1:6" x14ac:dyDescent="0.3">
      <c r="A665" s="226"/>
      <c r="B665" s="224"/>
      <c r="C665" s="225"/>
      <c r="D665" s="226"/>
      <c r="E665" s="284"/>
      <c r="F665" s="293"/>
    </row>
    <row r="666" spans="1:6" x14ac:dyDescent="0.3">
      <c r="A666" s="226"/>
      <c r="B666" s="292" t="s">
        <v>1727</v>
      </c>
      <c r="C666" s="225">
        <f>C664+1</f>
        <v>5</v>
      </c>
      <c r="D666" s="226"/>
      <c r="E666" s="284"/>
      <c r="F666" s="293">
        <f>F204</f>
        <v>0</v>
      </c>
    </row>
    <row r="667" spans="1:6" x14ac:dyDescent="0.3">
      <c r="A667" s="226"/>
      <c r="B667" s="224"/>
      <c r="C667" s="225"/>
      <c r="D667" s="226"/>
      <c r="E667" s="284"/>
      <c r="F667" s="293"/>
    </row>
    <row r="668" spans="1:6" x14ac:dyDescent="0.3">
      <c r="A668" s="226"/>
      <c r="B668" s="292" t="s">
        <v>1727</v>
      </c>
      <c r="C668" s="225">
        <f>C666+1</f>
        <v>6</v>
      </c>
      <c r="D668" s="226"/>
      <c r="E668" s="284"/>
      <c r="F668" s="293">
        <f>F239</f>
        <v>0</v>
      </c>
    </row>
    <row r="669" spans="1:6" x14ac:dyDescent="0.3">
      <c r="A669" s="226"/>
      <c r="B669" s="224"/>
      <c r="C669" s="225"/>
      <c r="D669" s="226"/>
      <c r="E669" s="284"/>
      <c r="F669" s="293"/>
    </row>
    <row r="670" spans="1:6" x14ac:dyDescent="0.3">
      <c r="A670" s="226"/>
      <c r="B670" s="292" t="s">
        <v>1727</v>
      </c>
      <c r="C670" s="225">
        <f>C668+1</f>
        <v>7</v>
      </c>
      <c r="D670" s="226"/>
      <c r="E670" s="284"/>
      <c r="F670" s="293">
        <f>F277</f>
        <v>0</v>
      </c>
    </row>
    <row r="671" spans="1:6" x14ac:dyDescent="0.3">
      <c r="A671" s="226"/>
      <c r="B671" s="224"/>
      <c r="C671" s="225"/>
      <c r="D671" s="226"/>
      <c r="E671" s="284"/>
      <c r="F671" s="293"/>
    </row>
    <row r="672" spans="1:6" x14ac:dyDescent="0.3">
      <c r="A672" s="226"/>
      <c r="B672" s="292" t="s">
        <v>1727</v>
      </c>
      <c r="C672" s="225">
        <f t="shared" ref="C672:C686" si="4">C670+1</f>
        <v>8</v>
      </c>
      <c r="D672" s="226"/>
      <c r="E672" s="284"/>
      <c r="F672" s="293">
        <f>+F321</f>
        <v>0</v>
      </c>
    </row>
    <row r="673" spans="1:6" x14ac:dyDescent="0.3">
      <c r="A673" s="226"/>
      <c r="B673" s="224"/>
      <c r="C673" s="225"/>
      <c r="D673" s="226"/>
      <c r="E673" s="284"/>
      <c r="F673" s="293"/>
    </row>
    <row r="674" spans="1:6" x14ac:dyDescent="0.3">
      <c r="A674" s="226"/>
      <c r="B674" s="292" t="s">
        <v>1727</v>
      </c>
      <c r="C674" s="225">
        <f t="shared" si="4"/>
        <v>9</v>
      </c>
      <c r="D674" s="226"/>
      <c r="E674" s="284"/>
      <c r="F674" s="293">
        <f>+F360</f>
        <v>0</v>
      </c>
    </row>
    <row r="675" spans="1:6" x14ac:dyDescent="0.3">
      <c r="A675" s="226"/>
      <c r="B675" s="224"/>
      <c r="C675" s="225"/>
      <c r="D675" s="226"/>
      <c r="E675" s="284"/>
      <c r="F675" s="293"/>
    </row>
    <row r="676" spans="1:6" x14ac:dyDescent="0.3">
      <c r="A676" s="226"/>
      <c r="B676" s="292" t="s">
        <v>1727</v>
      </c>
      <c r="C676" s="225">
        <f t="shared" si="4"/>
        <v>10</v>
      </c>
      <c r="D676" s="226"/>
      <c r="E676" s="284"/>
      <c r="F676" s="293">
        <f>+F396</f>
        <v>0</v>
      </c>
    </row>
    <row r="677" spans="1:6" x14ac:dyDescent="0.3">
      <c r="A677" s="226"/>
      <c r="B677" s="224"/>
      <c r="C677" s="225"/>
      <c r="D677" s="226"/>
      <c r="E677" s="284"/>
      <c r="F677" s="293"/>
    </row>
    <row r="678" spans="1:6" x14ac:dyDescent="0.3">
      <c r="A678" s="226"/>
      <c r="B678" s="292" t="s">
        <v>1727</v>
      </c>
      <c r="C678" s="225">
        <f>C676+1</f>
        <v>11</v>
      </c>
      <c r="D678" s="226"/>
      <c r="E678" s="284"/>
      <c r="F678" s="293">
        <f>+F423</f>
        <v>0</v>
      </c>
    </row>
    <row r="679" spans="1:6" x14ac:dyDescent="0.3">
      <c r="A679" s="226"/>
      <c r="B679" s="224"/>
      <c r="C679" s="225"/>
      <c r="D679" s="226"/>
      <c r="E679" s="284"/>
      <c r="F679" s="293"/>
    </row>
    <row r="680" spans="1:6" x14ac:dyDescent="0.3">
      <c r="A680" s="226"/>
      <c r="B680" s="292" t="s">
        <v>1727</v>
      </c>
      <c r="C680" s="225">
        <f t="shared" si="4"/>
        <v>12</v>
      </c>
      <c r="D680" s="226"/>
      <c r="E680" s="284"/>
      <c r="F680" s="293">
        <f>+F471</f>
        <v>0</v>
      </c>
    </row>
    <row r="681" spans="1:6" x14ac:dyDescent="0.3">
      <c r="A681" s="226"/>
      <c r="B681" s="224"/>
      <c r="C681" s="225"/>
      <c r="D681" s="226"/>
      <c r="E681" s="284"/>
      <c r="F681" s="293"/>
    </row>
    <row r="682" spans="1:6" x14ac:dyDescent="0.3">
      <c r="A682" s="226"/>
      <c r="B682" s="292" t="s">
        <v>1727</v>
      </c>
      <c r="C682" s="225">
        <f t="shared" si="4"/>
        <v>13</v>
      </c>
      <c r="D682" s="226"/>
      <c r="E682" s="284"/>
      <c r="F682" s="293">
        <f>+F515</f>
        <v>0</v>
      </c>
    </row>
    <row r="683" spans="1:6" x14ac:dyDescent="0.3">
      <c r="A683" s="226"/>
      <c r="B683" s="224"/>
      <c r="C683" s="225"/>
      <c r="D683" s="226"/>
      <c r="E683" s="284"/>
      <c r="F683" s="293"/>
    </row>
    <row r="684" spans="1:6" x14ac:dyDescent="0.3">
      <c r="A684" s="226"/>
      <c r="B684" s="292" t="s">
        <v>1727</v>
      </c>
      <c r="C684" s="225">
        <f t="shared" si="4"/>
        <v>14</v>
      </c>
      <c r="D684" s="226"/>
      <c r="E684" s="284"/>
      <c r="F684" s="293">
        <f>+F557</f>
        <v>0</v>
      </c>
    </row>
    <row r="685" spans="1:6" x14ac:dyDescent="0.3">
      <c r="A685" s="226"/>
      <c r="B685" s="224"/>
      <c r="C685" s="225"/>
      <c r="D685" s="226"/>
      <c r="E685" s="284"/>
      <c r="F685" s="293"/>
    </row>
    <row r="686" spans="1:6" x14ac:dyDescent="0.3">
      <c r="A686" s="226"/>
      <c r="B686" s="292" t="s">
        <v>1727</v>
      </c>
      <c r="C686" s="225">
        <f t="shared" si="4"/>
        <v>15</v>
      </c>
      <c r="D686" s="226"/>
      <c r="E686" s="284"/>
      <c r="F686" s="293">
        <f>+F653</f>
        <v>0</v>
      </c>
    </row>
    <row r="687" spans="1:6" x14ac:dyDescent="0.3">
      <c r="A687" s="226"/>
      <c r="B687" s="224"/>
      <c r="C687" s="225"/>
      <c r="D687" s="226"/>
      <c r="E687" s="284"/>
      <c r="F687" s="293"/>
    </row>
    <row r="688" spans="1:6" x14ac:dyDescent="0.3">
      <c r="A688" s="226"/>
      <c r="B688" s="292" t="s">
        <v>1728</v>
      </c>
      <c r="C688" s="225"/>
      <c r="D688" s="226"/>
      <c r="E688" s="284"/>
      <c r="F688" s="293">
        <v>0</v>
      </c>
    </row>
    <row r="689" spans="1:6" x14ac:dyDescent="0.3">
      <c r="A689" s="226"/>
      <c r="B689" s="224"/>
      <c r="C689" s="225"/>
      <c r="D689" s="226"/>
      <c r="E689" s="284"/>
      <c r="F689" s="293"/>
    </row>
    <row r="690" spans="1:6" x14ac:dyDescent="0.3">
      <c r="A690" s="226"/>
      <c r="B690" s="224"/>
      <c r="C690" s="225"/>
      <c r="D690" s="226"/>
      <c r="E690" s="284"/>
      <c r="F690" s="293"/>
    </row>
    <row r="691" spans="1:6" x14ac:dyDescent="0.3">
      <c r="A691" s="226"/>
      <c r="B691" s="224"/>
      <c r="C691" s="225"/>
      <c r="D691" s="226"/>
      <c r="E691" s="284"/>
      <c r="F691" s="293"/>
    </row>
    <row r="692" spans="1:6" x14ac:dyDescent="0.3">
      <c r="A692" s="226"/>
      <c r="B692" s="224"/>
      <c r="C692" s="225"/>
      <c r="D692" s="226"/>
      <c r="E692" s="284"/>
      <c r="F692" s="293"/>
    </row>
    <row r="693" spans="1:6" x14ac:dyDescent="0.3">
      <c r="A693" s="226"/>
      <c r="B693" s="224"/>
      <c r="C693" s="225"/>
      <c r="D693" s="226"/>
      <c r="E693" s="284"/>
      <c r="F693" s="293"/>
    </row>
    <row r="694" spans="1:6" x14ac:dyDescent="0.3">
      <c r="A694" s="226"/>
      <c r="B694" s="224"/>
      <c r="C694" s="225"/>
      <c r="D694" s="226"/>
      <c r="E694" s="284"/>
      <c r="F694" s="293"/>
    </row>
    <row r="695" spans="1:6" x14ac:dyDescent="0.3">
      <c r="A695" s="226"/>
      <c r="B695" s="224"/>
      <c r="C695" s="225"/>
      <c r="D695" s="226"/>
      <c r="E695" s="284"/>
      <c r="F695" s="293"/>
    </row>
    <row r="696" spans="1:6" x14ac:dyDescent="0.3">
      <c r="A696" s="226"/>
      <c r="B696" s="224"/>
      <c r="C696" s="225"/>
      <c r="D696" s="226"/>
      <c r="E696" s="284"/>
      <c r="F696" s="293"/>
    </row>
    <row r="697" spans="1:6" x14ac:dyDescent="0.3">
      <c r="A697" s="226"/>
      <c r="B697" s="224"/>
      <c r="C697" s="225"/>
      <c r="D697" s="226"/>
      <c r="E697" s="284"/>
      <c r="F697" s="293"/>
    </row>
    <row r="698" spans="1:6" x14ac:dyDescent="0.3">
      <c r="A698" s="226"/>
      <c r="B698" s="224"/>
      <c r="C698" s="225"/>
      <c r="D698" s="226"/>
      <c r="E698" s="284"/>
      <c r="F698" s="293"/>
    </row>
    <row r="699" spans="1:6" x14ac:dyDescent="0.3">
      <c r="A699" s="226"/>
      <c r="B699" s="224"/>
      <c r="C699" s="225"/>
      <c r="D699" s="226"/>
      <c r="E699" s="284"/>
      <c r="F699" s="293"/>
    </row>
    <row r="700" spans="1:6" x14ac:dyDescent="0.3">
      <c r="A700" s="226"/>
      <c r="B700" s="224"/>
      <c r="C700" s="225"/>
      <c r="D700" s="226"/>
      <c r="E700" s="284"/>
      <c r="F700" s="293"/>
    </row>
    <row r="701" spans="1:6" x14ac:dyDescent="0.3">
      <c r="A701" s="226"/>
      <c r="B701" s="224"/>
      <c r="C701" s="225"/>
      <c r="D701" s="226"/>
      <c r="E701" s="284"/>
      <c r="F701" s="293"/>
    </row>
    <row r="702" spans="1:6" x14ac:dyDescent="0.3">
      <c r="A702" s="226"/>
      <c r="B702" s="224"/>
      <c r="C702" s="225"/>
      <c r="D702" s="226"/>
      <c r="E702" s="284"/>
      <c r="F702" s="293"/>
    </row>
    <row r="703" spans="1:6" x14ac:dyDescent="0.3">
      <c r="A703" s="226"/>
      <c r="B703" s="224"/>
      <c r="C703" s="225"/>
      <c r="D703" s="226"/>
      <c r="E703" s="284"/>
      <c r="F703" s="293"/>
    </row>
    <row r="704" spans="1:6" x14ac:dyDescent="0.3">
      <c r="A704" s="226"/>
      <c r="B704" s="224"/>
      <c r="C704" s="225"/>
      <c r="D704" s="226"/>
      <c r="E704" s="284"/>
      <c r="F704" s="293"/>
    </row>
    <row r="705" spans="1:6" x14ac:dyDescent="0.3">
      <c r="A705" s="226"/>
      <c r="B705" s="224"/>
      <c r="C705" s="225"/>
      <c r="D705" s="226"/>
      <c r="E705" s="284"/>
      <c r="F705" s="293"/>
    </row>
    <row r="706" spans="1:6" x14ac:dyDescent="0.3">
      <c r="A706" s="226"/>
      <c r="B706" s="224"/>
      <c r="C706" s="225"/>
      <c r="D706" s="226"/>
      <c r="E706" s="284"/>
      <c r="F706" s="293"/>
    </row>
    <row r="707" spans="1:6" x14ac:dyDescent="0.3">
      <c r="A707" s="226"/>
      <c r="B707" s="224"/>
      <c r="C707" s="225"/>
      <c r="D707" s="226"/>
      <c r="E707" s="284"/>
      <c r="F707" s="293"/>
    </row>
    <row r="708" spans="1:6" x14ac:dyDescent="0.3">
      <c r="A708" s="226"/>
      <c r="B708" s="224"/>
      <c r="C708" s="225"/>
      <c r="D708" s="226"/>
      <c r="E708" s="284"/>
      <c r="F708" s="293"/>
    </row>
    <row r="709" spans="1:6" x14ac:dyDescent="0.3">
      <c r="A709" s="226"/>
      <c r="B709" s="224"/>
      <c r="C709" s="225"/>
      <c r="D709" s="226"/>
      <c r="E709" s="284"/>
      <c r="F709" s="294"/>
    </row>
    <row r="710" spans="1:6" x14ac:dyDescent="0.3">
      <c r="A710" s="226"/>
      <c r="B710" s="229"/>
      <c r="C710" s="225"/>
      <c r="D710" s="226"/>
      <c r="E710" s="258"/>
      <c r="F710" s="240"/>
    </row>
    <row r="711" spans="1:6" x14ac:dyDescent="0.3">
      <c r="A711" s="226"/>
      <c r="B711" s="295" t="s">
        <v>1729</v>
      </c>
      <c r="C711" s="225"/>
      <c r="D711" s="226"/>
      <c r="E711" s="296" t="s">
        <v>1543</v>
      </c>
      <c r="F711" s="297">
        <f>SUM(F656:F709)</f>
        <v>0</v>
      </c>
    </row>
    <row r="712" spans="1:6" x14ac:dyDescent="0.3">
      <c r="A712" s="244"/>
      <c r="B712" s="298"/>
      <c r="C712" s="246"/>
      <c r="D712" s="244"/>
      <c r="E712" s="299"/>
      <c r="F712" s="300"/>
    </row>
    <row r="713" spans="1:6" x14ac:dyDescent="0.3">
      <c r="A713" s="301"/>
      <c r="B713" s="204"/>
      <c r="C713" s="301"/>
      <c r="D713" s="301"/>
      <c r="E713" s="302"/>
      <c r="F713" s="302"/>
    </row>
    <row r="715" spans="1:6" x14ac:dyDescent="0.3">
      <c r="F715" s="304"/>
    </row>
    <row r="716" spans="1:6" x14ac:dyDescent="0.3">
      <c r="F716" s="304"/>
    </row>
  </sheetData>
  <protectedRanges>
    <protectedRange sqref="C62:F712" name="Range1"/>
  </protectedRanges>
  <mergeCells count="2">
    <mergeCell ref="A30:F30"/>
    <mergeCell ref="A32:F3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052B4-B8F4-45DD-AC26-B0482213561D}">
  <dimension ref="A1:KN1536"/>
  <sheetViews>
    <sheetView tabSelected="1" topLeftCell="A1216" workbookViewId="0">
      <selection activeCell="D1164" sqref="D1164"/>
    </sheetView>
  </sheetViews>
  <sheetFormatPr defaultRowHeight="13.8" outlineLevelRow="1" x14ac:dyDescent="0.25"/>
  <cols>
    <col min="1" max="1" width="9.44140625" style="529" customWidth="1"/>
    <col min="2" max="3" width="2.21875" style="529" customWidth="1"/>
    <col min="4" max="4" width="60.77734375" style="529" customWidth="1"/>
    <col min="5" max="5" width="13.77734375" style="536" customWidth="1"/>
    <col min="6" max="6" width="8" style="528" customWidth="1"/>
    <col min="7" max="7" width="16.77734375" style="537" bestFit="1" customWidth="1"/>
    <col min="8" max="8" width="19.77734375" style="538" customWidth="1"/>
    <col min="9" max="9" width="36" style="539" customWidth="1"/>
    <col min="10" max="10" width="18.21875" style="529" customWidth="1"/>
    <col min="11" max="11" width="13.77734375" style="81" hidden="1" customWidth="1"/>
    <col min="12" max="12" width="8" style="73" hidden="1" customWidth="1"/>
    <col min="13" max="13" width="15.5546875" style="83" hidden="1" customWidth="1"/>
    <col min="14" max="14" width="23" style="82" hidden="1" customWidth="1"/>
    <col min="15" max="15" width="23" style="84" hidden="1" customWidth="1"/>
    <col min="16" max="16" width="17.44140625" style="80" customWidth="1"/>
    <col min="17" max="140" width="8.88671875" style="74"/>
    <col min="141" max="141" width="8" style="74" customWidth="1"/>
    <col min="142" max="142" width="45.44140625" style="74" customWidth="1"/>
    <col min="143" max="143" width="10.77734375" style="74" customWidth="1"/>
    <col min="144" max="144" width="6.21875" style="74" customWidth="1"/>
    <col min="145" max="145" width="12.5546875" style="74" customWidth="1"/>
    <col min="146" max="146" width="17.77734375" style="74" customWidth="1"/>
    <col min="147" max="147" width="45.77734375" style="74" customWidth="1"/>
    <col min="148" max="148" width="15" style="74" customWidth="1"/>
    <col min="149" max="149" width="11.77734375" style="74" customWidth="1"/>
    <col min="150" max="150" width="6.77734375" style="74" customWidth="1"/>
    <col min="151" max="151" width="7.77734375" style="74" customWidth="1"/>
    <col min="152" max="152" width="8" style="74" bestFit="1" customWidth="1"/>
    <col min="153" max="153" width="10.77734375" style="74" customWidth="1"/>
    <col min="154" max="396" width="8.88671875" style="74"/>
    <col min="397" max="397" width="8" style="74" customWidth="1"/>
    <col min="398" max="398" width="45.44140625" style="74" customWidth="1"/>
    <col min="399" max="399" width="10.77734375" style="74" customWidth="1"/>
    <col min="400" max="400" width="6.21875" style="74" customWidth="1"/>
    <col min="401" max="401" width="12.5546875" style="74" customWidth="1"/>
    <col min="402" max="402" width="17.77734375" style="74" customWidth="1"/>
    <col min="403" max="403" width="45.77734375" style="74" customWidth="1"/>
    <col min="404" max="404" width="15" style="74" customWidth="1"/>
    <col min="405" max="405" width="11.77734375" style="74" customWidth="1"/>
    <col min="406" max="406" width="6.77734375" style="74" customWidth="1"/>
    <col min="407" max="407" width="7.77734375" style="74" customWidth="1"/>
    <col min="408" max="408" width="8" style="74" bestFit="1" customWidth="1"/>
    <col min="409" max="409" width="10.77734375" style="74" customWidth="1"/>
    <col min="410" max="652" width="8.88671875" style="74"/>
    <col min="653" max="653" width="8" style="74" customWidth="1"/>
    <col min="654" max="654" width="45.44140625" style="74" customWidth="1"/>
    <col min="655" max="655" width="10.77734375" style="74" customWidth="1"/>
    <col min="656" max="656" width="6.21875" style="74" customWidth="1"/>
    <col min="657" max="657" width="12.5546875" style="74" customWidth="1"/>
    <col min="658" max="658" width="17.77734375" style="74" customWidth="1"/>
    <col min="659" max="659" width="45.77734375" style="74" customWidth="1"/>
    <col min="660" max="660" width="15" style="74" customWidth="1"/>
    <col min="661" max="661" width="11.77734375" style="74" customWidth="1"/>
    <col min="662" max="662" width="6.77734375" style="74" customWidth="1"/>
    <col min="663" max="663" width="7.77734375" style="74" customWidth="1"/>
    <col min="664" max="664" width="8" style="74" bestFit="1" customWidth="1"/>
    <col min="665" max="665" width="10.77734375" style="74" customWidth="1"/>
    <col min="666" max="908" width="8.88671875" style="74"/>
    <col min="909" max="909" width="8" style="74" customWidth="1"/>
    <col min="910" max="910" width="45.44140625" style="74" customWidth="1"/>
    <col min="911" max="911" width="10.77734375" style="74" customWidth="1"/>
    <col min="912" max="912" width="6.21875" style="74" customWidth="1"/>
    <col min="913" max="913" width="12.5546875" style="74" customWidth="1"/>
    <col min="914" max="914" width="17.77734375" style="74" customWidth="1"/>
    <col min="915" max="915" width="45.77734375" style="74" customWidth="1"/>
    <col min="916" max="916" width="15" style="74" customWidth="1"/>
    <col min="917" max="917" width="11.77734375" style="74" customWidth="1"/>
    <col min="918" max="918" width="6.77734375" style="74" customWidth="1"/>
    <col min="919" max="919" width="7.77734375" style="74" customWidth="1"/>
    <col min="920" max="920" width="8" style="74" bestFit="1" customWidth="1"/>
    <col min="921" max="921" width="10.77734375" style="74" customWidth="1"/>
    <col min="922" max="1164" width="8.88671875" style="74"/>
    <col min="1165" max="1165" width="8" style="74" customWidth="1"/>
    <col min="1166" max="1166" width="45.44140625" style="74" customWidth="1"/>
    <col min="1167" max="1167" width="10.77734375" style="74" customWidth="1"/>
    <col min="1168" max="1168" width="6.21875" style="74" customWidth="1"/>
    <col min="1169" max="1169" width="12.5546875" style="74" customWidth="1"/>
    <col min="1170" max="1170" width="17.77734375" style="74" customWidth="1"/>
    <col min="1171" max="1171" width="45.77734375" style="74" customWidth="1"/>
    <col min="1172" max="1172" width="15" style="74" customWidth="1"/>
    <col min="1173" max="1173" width="11.77734375" style="74" customWidth="1"/>
    <col min="1174" max="1174" width="6.77734375" style="74" customWidth="1"/>
    <col min="1175" max="1175" width="7.77734375" style="74" customWidth="1"/>
    <col min="1176" max="1176" width="8" style="74" bestFit="1" customWidth="1"/>
    <col min="1177" max="1177" width="10.77734375" style="74" customWidth="1"/>
    <col min="1178" max="1420" width="8.88671875" style="74"/>
    <col min="1421" max="1421" width="8" style="74" customWidth="1"/>
    <col min="1422" max="1422" width="45.44140625" style="74" customWidth="1"/>
    <col min="1423" max="1423" width="10.77734375" style="74" customWidth="1"/>
    <col min="1424" max="1424" width="6.21875" style="74" customWidth="1"/>
    <col min="1425" max="1425" width="12.5546875" style="74" customWidth="1"/>
    <col min="1426" max="1426" width="17.77734375" style="74" customWidth="1"/>
    <col min="1427" max="1427" width="45.77734375" style="74" customWidth="1"/>
    <col min="1428" max="1428" width="15" style="74" customWidth="1"/>
    <col min="1429" max="1429" width="11.77734375" style="74" customWidth="1"/>
    <col min="1430" max="1430" width="6.77734375" style="74" customWidth="1"/>
    <col min="1431" max="1431" width="7.77734375" style="74" customWidth="1"/>
    <col min="1432" max="1432" width="8" style="74" bestFit="1" customWidth="1"/>
    <col min="1433" max="1433" width="10.77734375" style="74" customWidth="1"/>
    <col min="1434" max="1676" width="8.88671875" style="74"/>
    <col min="1677" max="1677" width="8" style="74" customWidth="1"/>
    <col min="1678" max="1678" width="45.44140625" style="74" customWidth="1"/>
    <col min="1679" max="1679" width="10.77734375" style="74" customWidth="1"/>
    <col min="1680" max="1680" width="6.21875" style="74" customWidth="1"/>
    <col min="1681" max="1681" width="12.5546875" style="74" customWidth="1"/>
    <col min="1682" max="1682" width="17.77734375" style="74" customWidth="1"/>
    <col min="1683" max="1683" width="45.77734375" style="74" customWidth="1"/>
    <col min="1684" max="1684" width="15" style="74" customWidth="1"/>
    <col min="1685" max="1685" width="11.77734375" style="74" customWidth="1"/>
    <col min="1686" max="1686" width="6.77734375" style="74" customWidth="1"/>
    <col min="1687" max="1687" width="7.77734375" style="74" customWidth="1"/>
    <col min="1688" max="1688" width="8" style="74" bestFit="1" customWidth="1"/>
    <col min="1689" max="1689" width="10.77734375" style="74" customWidth="1"/>
    <col min="1690" max="1932" width="8.88671875" style="74"/>
    <col min="1933" max="1933" width="8" style="74" customWidth="1"/>
    <col min="1934" max="1934" width="45.44140625" style="74" customWidth="1"/>
    <col min="1935" max="1935" width="10.77734375" style="74" customWidth="1"/>
    <col min="1936" max="1936" width="6.21875" style="74" customWidth="1"/>
    <col min="1937" max="1937" width="12.5546875" style="74" customWidth="1"/>
    <col min="1938" max="1938" width="17.77734375" style="74" customWidth="1"/>
    <col min="1939" max="1939" width="45.77734375" style="74" customWidth="1"/>
    <col min="1940" max="1940" width="15" style="74" customWidth="1"/>
    <col min="1941" max="1941" width="11.77734375" style="74" customWidth="1"/>
    <col min="1942" max="1942" width="6.77734375" style="74" customWidth="1"/>
    <col min="1943" max="1943" width="7.77734375" style="74" customWidth="1"/>
    <col min="1944" max="1944" width="8" style="74" bestFit="1" customWidth="1"/>
    <col min="1945" max="1945" width="10.77734375" style="74" customWidth="1"/>
    <col min="1946" max="2188" width="8.88671875" style="74"/>
    <col min="2189" max="2189" width="8" style="74" customWidth="1"/>
    <col min="2190" max="2190" width="45.44140625" style="74" customWidth="1"/>
    <col min="2191" max="2191" width="10.77734375" style="74" customWidth="1"/>
    <col min="2192" max="2192" width="6.21875" style="74" customWidth="1"/>
    <col min="2193" max="2193" width="12.5546875" style="74" customWidth="1"/>
    <col min="2194" max="2194" width="17.77734375" style="74" customWidth="1"/>
    <col min="2195" max="2195" width="45.77734375" style="74" customWidth="1"/>
    <col min="2196" max="2196" width="15" style="74" customWidth="1"/>
    <col min="2197" max="2197" width="11.77734375" style="74" customWidth="1"/>
    <col min="2198" max="2198" width="6.77734375" style="74" customWidth="1"/>
    <col min="2199" max="2199" width="7.77734375" style="74" customWidth="1"/>
    <col min="2200" max="2200" width="8" style="74" bestFit="1" customWidth="1"/>
    <col min="2201" max="2201" width="10.77734375" style="74" customWidth="1"/>
    <col min="2202" max="2444" width="8.88671875" style="74"/>
    <col min="2445" max="2445" width="8" style="74" customWidth="1"/>
    <col min="2446" max="2446" width="45.44140625" style="74" customWidth="1"/>
    <col min="2447" max="2447" width="10.77734375" style="74" customWidth="1"/>
    <col min="2448" max="2448" width="6.21875" style="74" customWidth="1"/>
    <col min="2449" max="2449" width="12.5546875" style="74" customWidth="1"/>
    <col min="2450" max="2450" width="17.77734375" style="74" customWidth="1"/>
    <col min="2451" max="2451" width="45.77734375" style="74" customWidth="1"/>
    <col min="2452" max="2452" width="15" style="74" customWidth="1"/>
    <col min="2453" max="2453" width="11.77734375" style="74" customWidth="1"/>
    <col min="2454" max="2454" width="6.77734375" style="74" customWidth="1"/>
    <col min="2455" max="2455" width="7.77734375" style="74" customWidth="1"/>
    <col min="2456" max="2456" width="8" style="74" bestFit="1" customWidth="1"/>
    <col min="2457" max="2457" width="10.77734375" style="74" customWidth="1"/>
    <col min="2458" max="2700" width="8.88671875" style="74"/>
    <col min="2701" max="2701" width="8" style="74" customWidth="1"/>
    <col min="2702" max="2702" width="45.44140625" style="74" customWidth="1"/>
    <col min="2703" max="2703" width="10.77734375" style="74" customWidth="1"/>
    <col min="2704" max="2704" width="6.21875" style="74" customWidth="1"/>
    <col min="2705" max="2705" width="12.5546875" style="74" customWidth="1"/>
    <col min="2706" max="2706" width="17.77734375" style="74" customWidth="1"/>
    <col min="2707" max="2707" width="45.77734375" style="74" customWidth="1"/>
    <col min="2708" max="2708" width="15" style="74" customWidth="1"/>
    <col min="2709" max="2709" width="11.77734375" style="74" customWidth="1"/>
    <col min="2710" max="2710" width="6.77734375" style="74" customWidth="1"/>
    <col min="2711" max="2711" width="7.77734375" style="74" customWidth="1"/>
    <col min="2712" max="2712" width="8" style="74" bestFit="1" customWidth="1"/>
    <col min="2713" max="2713" width="10.77734375" style="74" customWidth="1"/>
    <col min="2714" max="2956" width="8.88671875" style="74"/>
    <col min="2957" max="2957" width="8" style="74" customWidth="1"/>
    <col min="2958" max="2958" width="45.44140625" style="74" customWidth="1"/>
    <col min="2959" max="2959" width="10.77734375" style="74" customWidth="1"/>
    <col min="2960" max="2960" width="6.21875" style="74" customWidth="1"/>
    <col min="2961" max="2961" width="12.5546875" style="74" customWidth="1"/>
    <col min="2962" max="2962" width="17.77734375" style="74" customWidth="1"/>
    <col min="2963" max="2963" width="45.77734375" style="74" customWidth="1"/>
    <col min="2964" max="2964" width="15" style="74" customWidth="1"/>
    <col min="2965" max="2965" width="11.77734375" style="74" customWidth="1"/>
    <col min="2966" max="2966" width="6.77734375" style="74" customWidth="1"/>
    <col min="2967" max="2967" width="7.77734375" style="74" customWidth="1"/>
    <col min="2968" max="2968" width="8" style="74" bestFit="1" customWidth="1"/>
    <col min="2969" max="2969" width="10.77734375" style="74" customWidth="1"/>
    <col min="2970" max="3212" width="8.88671875" style="74"/>
    <col min="3213" max="3213" width="8" style="74" customWidth="1"/>
    <col min="3214" max="3214" width="45.44140625" style="74" customWidth="1"/>
    <col min="3215" max="3215" width="10.77734375" style="74" customWidth="1"/>
    <col min="3216" max="3216" width="6.21875" style="74" customWidth="1"/>
    <col min="3217" max="3217" width="12.5546875" style="74" customWidth="1"/>
    <col min="3218" max="3218" width="17.77734375" style="74" customWidth="1"/>
    <col min="3219" max="3219" width="45.77734375" style="74" customWidth="1"/>
    <col min="3220" max="3220" width="15" style="74" customWidth="1"/>
    <col min="3221" max="3221" width="11.77734375" style="74" customWidth="1"/>
    <col min="3222" max="3222" width="6.77734375" style="74" customWidth="1"/>
    <col min="3223" max="3223" width="7.77734375" style="74" customWidth="1"/>
    <col min="3224" max="3224" width="8" style="74" bestFit="1" customWidth="1"/>
    <col min="3225" max="3225" width="10.77734375" style="74" customWidth="1"/>
    <col min="3226" max="3468" width="8.88671875" style="74"/>
    <col min="3469" max="3469" width="8" style="74" customWidth="1"/>
    <col min="3470" max="3470" width="45.44140625" style="74" customWidth="1"/>
    <col min="3471" max="3471" width="10.77734375" style="74" customWidth="1"/>
    <col min="3472" max="3472" width="6.21875" style="74" customWidth="1"/>
    <col min="3473" max="3473" width="12.5546875" style="74" customWidth="1"/>
    <col min="3474" max="3474" width="17.77734375" style="74" customWidth="1"/>
    <col min="3475" max="3475" width="45.77734375" style="74" customWidth="1"/>
    <col min="3476" max="3476" width="15" style="74" customWidth="1"/>
    <col min="3477" max="3477" width="11.77734375" style="74" customWidth="1"/>
    <col min="3478" max="3478" width="6.77734375" style="74" customWidth="1"/>
    <col min="3479" max="3479" width="7.77734375" style="74" customWidth="1"/>
    <col min="3480" max="3480" width="8" style="74" bestFit="1" customWidth="1"/>
    <col min="3481" max="3481" width="10.77734375" style="74" customWidth="1"/>
    <col min="3482" max="3724" width="8.88671875" style="74"/>
    <col min="3725" max="3725" width="8" style="74" customWidth="1"/>
    <col min="3726" max="3726" width="45.44140625" style="74" customWidth="1"/>
    <col min="3727" max="3727" width="10.77734375" style="74" customWidth="1"/>
    <col min="3728" max="3728" width="6.21875" style="74" customWidth="1"/>
    <col min="3729" max="3729" width="12.5546875" style="74" customWidth="1"/>
    <col min="3730" max="3730" width="17.77734375" style="74" customWidth="1"/>
    <col min="3731" max="3731" width="45.77734375" style="74" customWidth="1"/>
    <col min="3732" max="3732" width="15" style="74" customWidth="1"/>
    <col min="3733" max="3733" width="11.77734375" style="74" customWidth="1"/>
    <col min="3734" max="3734" width="6.77734375" style="74" customWidth="1"/>
    <col min="3735" max="3735" width="7.77734375" style="74" customWidth="1"/>
    <col min="3736" max="3736" width="8" style="74" bestFit="1" customWidth="1"/>
    <col min="3737" max="3737" width="10.77734375" style="74" customWidth="1"/>
    <col min="3738" max="3980" width="8.88671875" style="74"/>
    <col min="3981" max="3981" width="8" style="74" customWidth="1"/>
    <col min="3982" max="3982" width="45.44140625" style="74" customWidth="1"/>
    <col min="3983" max="3983" width="10.77734375" style="74" customWidth="1"/>
    <col min="3984" max="3984" width="6.21875" style="74" customWidth="1"/>
    <col min="3985" max="3985" width="12.5546875" style="74" customWidth="1"/>
    <col min="3986" max="3986" width="17.77734375" style="74" customWidth="1"/>
    <col min="3987" max="3987" width="45.77734375" style="74" customWidth="1"/>
    <col min="3988" max="3988" width="15" style="74" customWidth="1"/>
    <col min="3989" max="3989" width="11.77734375" style="74" customWidth="1"/>
    <col min="3990" max="3990" width="6.77734375" style="74" customWidth="1"/>
    <col min="3991" max="3991" width="7.77734375" style="74" customWidth="1"/>
    <col min="3992" max="3992" width="8" style="74" bestFit="1" customWidth="1"/>
    <col min="3993" max="3993" width="10.77734375" style="74" customWidth="1"/>
    <col min="3994" max="4236" width="8.88671875" style="74"/>
    <col min="4237" max="4237" width="8" style="74" customWidth="1"/>
    <col min="4238" max="4238" width="45.44140625" style="74" customWidth="1"/>
    <col min="4239" max="4239" width="10.77734375" style="74" customWidth="1"/>
    <col min="4240" max="4240" width="6.21875" style="74" customWidth="1"/>
    <col min="4241" max="4241" width="12.5546875" style="74" customWidth="1"/>
    <col min="4242" max="4242" width="17.77734375" style="74" customWidth="1"/>
    <col min="4243" max="4243" width="45.77734375" style="74" customWidth="1"/>
    <col min="4244" max="4244" width="15" style="74" customWidth="1"/>
    <col min="4245" max="4245" width="11.77734375" style="74" customWidth="1"/>
    <col min="4246" max="4246" width="6.77734375" style="74" customWidth="1"/>
    <col min="4247" max="4247" width="7.77734375" style="74" customWidth="1"/>
    <col min="4248" max="4248" width="8" style="74" bestFit="1" customWidth="1"/>
    <col min="4249" max="4249" width="10.77734375" style="74" customWidth="1"/>
    <col min="4250" max="4492" width="8.88671875" style="74"/>
    <col min="4493" max="4493" width="8" style="74" customWidth="1"/>
    <col min="4494" max="4494" width="45.44140625" style="74" customWidth="1"/>
    <col min="4495" max="4495" width="10.77734375" style="74" customWidth="1"/>
    <col min="4496" max="4496" width="6.21875" style="74" customWidth="1"/>
    <col min="4497" max="4497" width="12.5546875" style="74" customWidth="1"/>
    <col min="4498" max="4498" width="17.77734375" style="74" customWidth="1"/>
    <col min="4499" max="4499" width="45.77734375" style="74" customWidth="1"/>
    <col min="4500" max="4500" width="15" style="74" customWidth="1"/>
    <col min="4501" max="4501" width="11.77734375" style="74" customWidth="1"/>
    <col min="4502" max="4502" width="6.77734375" style="74" customWidth="1"/>
    <col min="4503" max="4503" width="7.77734375" style="74" customWidth="1"/>
    <col min="4504" max="4504" width="8" style="74" bestFit="1" customWidth="1"/>
    <col min="4505" max="4505" width="10.77734375" style="74" customWidth="1"/>
    <col min="4506" max="4748" width="8.88671875" style="74"/>
    <col min="4749" max="4749" width="8" style="74" customWidth="1"/>
    <col min="4750" max="4750" width="45.44140625" style="74" customWidth="1"/>
    <col min="4751" max="4751" width="10.77734375" style="74" customWidth="1"/>
    <col min="4752" max="4752" width="6.21875" style="74" customWidth="1"/>
    <col min="4753" max="4753" width="12.5546875" style="74" customWidth="1"/>
    <col min="4754" max="4754" width="17.77734375" style="74" customWidth="1"/>
    <col min="4755" max="4755" width="45.77734375" style="74" customWidth="1"/>
    <col min="4756" max="4756" width="15" style="74" customWidth="1"/>
    <col min="4757" max="4757" width="11.77734375" style="74" customWidth="1"/>
    <col min="4758" max="4758" width="6.77734375" style="74" customWidth="1"/>
    <col min="4759" max="4759" width="7.77734375" style="74" customWidth="1"/>
    <col min="4760" max="4760" width="8" style="74" bestFit="1" customWidth="1"/>
    <col min="4761" max="4761" width="10.77734375" style="74" customWidth="1"/>
    <col min="4762" max="5004" width="8.88671875" style="74"/>
    <col min="5005" max="5005" width="8" style="74" customWidth="1"/>
    <col min="5006" max="5006" width="45.44140625" style="74" customWidth="1"/>
    <col min="5007" max="5007" width="10.77734375" style="74" customWidth="1"/>
    <col min="5008" max="5008" width="6.21875" style="74" customWidth="1"/>
    <col min="5009" max="5009" width="12.5546875" style="74" customWidth="1"/>
    <col min="5010" max="5010" width="17.77734375" style="74" customWidth="1"/>
    <col min="5011" max="5011" width="45.77734375" style="74" customWidth="1"/>
    <col min="5012" max="5012" width="15" style="74" customWidth="1"/>
    <col min="5013" max="5013" width="11.77734375" style="74" customWidth="1"/>
    <col min="5014" max="5014" width="6.77734375" style="74" customWidth="1"/>
    <col min="5015" max="5015" width="7.77734375" style="74" customWidth="1"/>
    <col min="5016" max="5016" width="8" style="74" bestFit="1" customWidth="1"/>
    <col min="5017" max="5017" width="10.77734375" style="74" customWidth="1"/>
    <col min="5018" max="5260" width="8.88671875" style="74"/>
    <col min="5261" max="5261" width="8" style="74" customWidth="1"/>
    <col min="5262" max="5262" width="45.44140625" style="74" customWidth="1"/>
    <col min="5263" max="5263" width="10.77734375" style="74" customWidth="1"/>
    <col min="5264" max="5264" width="6.21875" style="74" customWidth="1"/>
    <col min="5265" max="5265" width="12.5546875" style="74" customWidth="1"/>
    <col min="5266" max="5266" width="17.77734375" style="74" customWidth="1"/>
    <col min="5267" max="5267" width="45.77734375" style="74" customWidth="1"/>
    <col min="5268" max="5268" width="15" style="74" customWidth="1"/>
    <col min="5269" max="5269" width="11.77734375" style="74" customWidth="1"/>
    <col min="5270" max="5270" width="6.77734375" style="74" customWidth="1"/>
    <col min="5271" max="5271" width="7.77734375" style="74" customWidth="1"/>
    <col min="5272" max="5272" width="8" style="74" bestFit="1" customWidth="1"/>
    <col min="5273" max="5273" width="10.77734375" style="74" customWidth="1"/>
    <col min="5274" max="5516" width="8.88671875" style="74"/>
    <col min="5517" max="5517" width="8" style="74" customWidth="1"/>
    <col min="5518" max="5518" width="45.44140625" style="74" customWidth="1"/>
    <col min="5519" max="5519" width="10.77734375" style="74" customWidth="1"/>
    <col min="5520" max="5520" width="6.21875" style="74" customWidth="1"/>
    <col min="5521" max="5521" width="12.5546875" style="74" customWidth="1"/>
    <col min="5522" max="5522" width="17.77734375" style="74" customWidth="1"/>
    <col min="5523" max="5523" width="45.77734375" style="74" customWidth="1"/>
    <col min="5524" max="5524" width="15" style="74" customWidth="1"/>
    <col min="5525" max="5525" width="11.77734375" style="74" customWidth="1"/>
    <col min="5526" max="5526" width="6.77734375" style="74" customWidth="1"/>
    <col min="5527" max="5527" width="7.77734375" style="74" customWidth="1"/>
    <col min="5528" max="5528" width="8" style="74" bestFit="1" customWidth="1"/>
    <col min="5529" max="5529" width="10.77734375" style="74" customWidth="1"/>
    <col min="5530" max="5772" width="8.88671875" style="74"/>
    <col min="5773" max="5773" width="8" style="74" customWidth="1"/>
    <col min="5774" max="5774" width="45.44140625" style="74" customWidth="1"/>
    <col min="5775" max="5775" width="10.77734375" style="74" customWidth="1"/>
    <col min="5776" max="5776" width="6.21875" style="74" customWidth="1"/>
    <col min="5777" max="5777" width="12.5546875" style="74" customWidth="1"/>
    <col min="5778" max="5778" width="17.77734375" style="74" customWidth="1"/>
    <col min="5779" max="5779" width="45.77734375" style="74" customWidth="1"/>
    <col min="5780" max="5780" width="15" style="74" customWidth="1"/>
    <col min="5781" max="5781" width="11.77734375" style="74" customWidth="1"/>
    <col min="5782" max="5782" width="6.77734375" style="74" customWidth="1"/>
    <col min="5783" max="5783" width="7.77734375" style="74" customWidth="1"/>
    <col min="5784" max="5784" width="8" style="74" bestFit="1" customWidth="1"/>
    <col min="5785" max="5785" width="10.77734375" style="74" customWidth="1"/>
    <col min="5786" max="6028" width="8.88671875" style="74"/>
    <col min="6029" max="6029" width="8" style="74" customWidth="1"/>
    <col min="6030" max="6030" width="45.44140625" style="74" customWidth="1"/>
    <col min="6031" max="6031" width="10.77734375" style="74" customWidth="1"/>
    <col min="6032" max="6032" width="6.21875" style="74" customWidth="1"/>
    <col min="6033" max="6033" width="12.5546875" style="74" customWidth="1"/>
    <col min="6034" max="6034" width="17.77734375" style="74" customWidth="1"/>
    <col min="6035" max="6035" width="45.77734375" style="74" customWidth="1"/>
    <col min="6036" max="6036" width="15" style="74" customWidth="1"/>
    <col min="6037" max="6037" width="11.77734375" style="74" customWidth="1"/>
    <col min="6038" max="6038" width="6.77734375" style="74" customWidth="1"/>
    <col min="6039" max="6039" width="7.77734375" style="74" customWidth="1"/>
    <col min="6040" max="6040" width="8" style="74" bestFit="1" customWidth="1"/>
    <col min="6041" max="6041" width="10.77734375" style="74" customWidth="1"/>
    <col min="6042" max="6284" width="8.88671875" style="74"/>
    <col min="6285" max="6285" width="8" style="74" customWidth="1"/>
    <col min="6286" max="6286" width="45.44140625" style="74" customWidth="1"/>
    <col min="6287" max="6287" width="10.77734375" style="74" customWidth="1"/>
    <col min="6288" max="6288" width="6.21875" style="74" customWidth="1"/>
    <col min="6289" max="6289" width="12.5546875" style="74" customWidth="1"/>
    <col min="6290" max="6290" width="17.77734375" style="74" customWidth="1"/>
    <col min="6291" max="6291" width="45.77734375" style="74" customWidth="1"/>
    <col min="6292" max="6292" width="15" style="74" customWidth="1"/>
    <col min="6293" max="6293" width="11.77734375" style="74" customWidth="1"/>
    <col min="6294" max="6294" width="6.77734375" style="74" customWidth="1"/>
    <col min="6295" max="6295" width="7.77734375" style="74" customWidth="1"/>
    <col min="6296" max="6296" width="8" style="74" bestFit="1" customWidth="1"/>
    <col min="6297" max="6297" width="10.77734375" style="74" customWidth="1"/>
    <col min="6298" max="6540" width="8.88671875" style="74"/>
    <col min="6541" max="6541" width="8" style="74" customWidth="1"/>
    <col min="6542" max="6542" width="45.44140625" style="74" customWidth="1"/>
    <col min="6543" max="6543" width="10.77734375" style="74" customWidth="1"/>
    <col min="6544" max="6544" width="6.21875" style="74" customWidth="1"/>
    <col min="6545" max="6545" width="12.5546875" style="74" customWidth="1"/>
    <col min="6546" max="6546" width="17.77734375" style="74" customWidth="1"/>
    <col min="6547" max="6547" width="45.77734375" style="74" customWidth="1"/>
    <col min="6548" max="6548" width="15" style="74" customWidth="1"/>
    <col min="6549" max="6549" width="11.77734375" style="74" customWidth="1"/>
    <col min="6550" max="6550" width="6.77734375" style="74" customWidth="1"/>
    <col min="6551" max="6551" width="7.77734375" style="74" customWidth="1"/>
    <col min="6552" max="6552" width="8" style="74" bestFit="1" customWidth="1"/>
    <col min="6553" max="6553" width="10.77734375" style="74" customWidth="1"/>
    <col min="6554" max="6796" width="8.88671875" style="74"/>
    <col min="6797" max="6797" width="8" style="74" customWidth="1"/>
    <col min="6798" max="6798" width="45.44140625" style="74" customWidth="1"/>
    <col min="6799" max="6799" width="10.77734375" style="74" customWidth="1"/>
    <col min="6800" max="6800" width="6.21875" style="74" customWidth="1"/>
    <col min="6801" max="6801" width="12.5546875" style="74" customWidth="1"/>
    <col min="6802" max="6802" width="17.77734375" style="74" customWidth="1"/>
    <col min="6803" max="6803" width="45.77734375" style="74" customWidth="1"/>
    <col min="6804" max="6804" width="15" style="74" customWidth="1"/>
    <col min="6805" max="6805" width="11.77734375" style="74" customWidth="1"/>
    <col min="6806" max="6806" width="6.77734375" style="74" customWidth="1"/>
    <col min="6807" max="6807" width="7.77734375" style="74" customWidth="1"/>
    <col min="6808" max="6808" width="8" style="74" bestFit="1" customWidth="1"/>
    <col min="6809" max="6809" width="10.77734375" style="74" customWidth="1"/>
    <col min="6810" max="7052" width="8.88671875" style="74"/>
    <col min="7053" max="7053" width="8" style="74" customWidth="1"/>
    <col min="7054" max="7054" width="45.44140625" style="74" customWidth="1"/>
    <col min="7055" max="7055" width="10.77734375" style="74" customWidth="1"/>
    <col min="7056" max="7056" width="6.21875" style="74" customWidth="1"/>
    <col min="7057" max="7057" width="12.5546875" style="74" customWidth="1"/>
    <col min="7058" max="7058" width="17.77734375" style="74" customWidth="1"/>
    <col min="7059" max="7059" width="45.77734375" style="74" customWidth="1"/>
    <col min="7060" max="7060" width="15" style="74" customWidth="1"/>
    <col min="7061" max="7061" width="11.77734375" style="74" customWidth="1"/>
    <col min="7062" max="7062" width="6.77734375" style="74" customWidth="1"/>
    <col min="7063" max="7063" width="7.77734375" style="74" customWidth="1"/>
    <col min="7064" max="7064" width="8" style="74" bestFit="1" customWidth="1"/>
    <col min="7065" max="7065" width="10.77734375" style="74" customWidth="1"/>
    <col min="7066" max="7308" width="8.88671875" style="74"/>
    <col min="7309" max="7309" width="8" style="74" customWidth="1"/>
    <col min="7310" max="7310" width="45.44140625" style="74" customWidth="1"/>
    <col min="7311" max="7311" width="10.77734375" style="74" customWidth="1"/>
    <col min="7312" max="7312" width="6.21875" style="74" customWidth="1"/>
    <col min="7313" max="7313" width="12.5546875" style="74" customWidth="1"/>
    <col min="7314" max="7314" width="17.77734375" style="74" customWidth="1"/>
    <col min="7315" max="7315" width="45.77734375" style="74" customWidth="1"/>
    <col min="7316" max="7316" width="15" style="74" customWidth="1"/>
    <col min="7317" max="7317" width="11.77734375" style="74" customWidth="1"/>
    <col min="7318" max="7318" width="6.77734375" style="74" customWidth="1"/>
    <col min="7319" max="7319" width="7.77734375" style="74" customWidth="1"/>
    <col min="7320" max="7320" width="8" style="74" bestFit="1" customWidth="1"/>
    <col min="7321" max="7321" width="10.77734375" style="74" customWidth="1"/>
    <col min="7322" max="7564" width="8.88671875" style="74"/>
    <col min="7565" max="7565" width="8" style="74" customWidth="1"/>
    <col min="7566" max="7566" width="45.44140625" style="74" customWidth="1"/>
    <col min="7567" max="7567" width="10.77734375" style="74" customWidth="1"/>
    <col min="7568" max="7568" width="6.21875" style="74" customWidth="1"/>
    <col min="7569" max="7569" width="12.5546875" style="74" customWidth="1"/>
    <col min="7570" max="7570" width="17.77734375" style="74" customWidth="1"/>
    <col min="7571" max="7571" width="45.77734375" style="74" customWidth="1"/>
    <col min="7572" max="7572" width="15" style="74" customWidth="1"/>
    <col min="7573" max="7573" width="11.77734375" style="74" customWidth="1"/>
    <col min="7574" max="7574" width="6.77734375" style="74" customWidth="1"/>
    <col min="7575" max="7575" width="7.77734375" style="74" customWidth="1"/>
    <col min="7576" max="7576" width="8" style="74" bestFit="1" customWidth="1"/>
    <col min="7577" max="7577" width="10.77734375" style="74" customWidth="1"/>
    <col min="7578" max="7820" width="8.88671875" style="74"/>
    <col min="7821" max="7821" width="8" style="74" customWidth="1"/>
    <col min="7822" max="7822" width="45.44140625" style="74" customWidth="1"/>
    <col min="7823" max="7823" width="10.77734375" style="74" customWidth="1"/>
    <col min="7824" max="7824" width="6.21875" style="74" customWidth="1"/>
    <col min="7825" max="7825" width="12.5546875" style="74" customWidth="1"/>
    <col min="7826" max="7826" width="17.77734375" style="74" customWidth="1"/>
    <col min="7827" max="7827" width="45.77734375" style="74" customWidth="1"/>
    <col min="7828" max="7828" width="15" style="74" customWidth="1"/>
    <col min="7829" max="7829" width="11.77734375" style="74" customWidth="1"/>
    <col min="7830" max="7830" width="6.77734375" style="74" customWidth="1"/>
    <col min="7831" max="7831" width="7.77734375" style="74" customWidth="1"/>
    <col min="7832" max="7832" width="8" style="74" bestFit="1" customWidth="1"/>
    <col min="7833" max="7833" width="10.77734375" style="74" customWidth="1"/>
    <col min="7834" max="8076" width="8.88671875" style="74"/>
    <col min="8077" max="8077" width="8" style="74" customWidth="1"/>
    <col min="8078" max="8078" width="45.44140625" style="74" customWidth="1"/>
    <col min="8079" max="8079" width="10.77734375" style="74" customWidth="1"/>
    <col min="8080" max="8080" width="6.21875" style="74" customWidth="1"/>
    <col min="8081" max="8081" width="12.5546875" style="74" customWidth="1"/>
    <col min="8082" max="8082" width="17.77734375" style="74" customWidth="1"/>
    <col min="8083" max="8083" width="45.77734375" style="74" customWidth="1"/>
    <col min="8084" max="8084" width="15" style="74" customWidth="1"/>
    <col min="8085" max="8085" width="11.77734375" style="74" customWidth="1"/>
    <col min="8086" max="8086" width="6.77734375" style="74" customWidth="1"/>
    <col min="8087" max="8087" width="7.77734375" style="74" customWidth="1"/>
    <col min="8088" max="8088" width="8" style="74" bestFit="1" customWidth="1"/>
    <col min="8089" max="8089" width="10.77734375" style="74" customWidth="1"/>
    <col min="8090" max="8332" width="8.88671875" style="74"/>
    <col min="8333" max="8333" width="8" style="74" customWidth="1"/>
    <col min="8334" max="8334" width="45.44140625" style="74" customWidth="1"/>
    <col min="8335" max="8335" width="10.77734375" style="74" customWidth="1"/>
    <col min="8336" max="8336" width="6.21875" style="74" customWidth="1"/>
    <col min="8337" max="8337" width="12.5546875" style="74" customWidth="1"/>
    <col min="8338" max="8338" width="17.77734375" style="74" customWidth="1"/>
    <col min="8339" max="8339" width="45.77734375" style="74" customWidth="1"/>
    <col min="8340" max="8340" width="15" style="74" customWidth="1"/>
    <col min="8341" max="8341" width="11.77734375" style="74" customWidth="1"/>
    <col min="8342" max="8342" width="6.77734375" style="74" customWidth="1"/>
    <col min="8343" max="8343" width="7.77734375" style="74" customWidth="1"/>
    <col min="8344" max="8344" width="8" style="74" bestFit="1" customWidth="1"/>
    <col min="8345" max="8345" width="10.77734375" style="74" customWidth="1"/>
    <col min="8346" max="8588" width="8.88671875" style="74"/>
    <col min="8589" max="8589" width="8" style="74" customWidth="1"/>
    <col min="8590" max="8590" width="45.44140625" style="74" customWidth="1"/>
    <col min="8591" max="8591" width="10.77734375" style="74" customWidth="1"/>
    <col min="8592" max="8592" width="6.21875" style="74" customWidth="1"/>
    <col min="8593" max="8593" width="12.5546875" style="74" customWidth="1"/>
    <col min="8594" max="8594" width="17.77734375" style="74" customWidth="1"/>
    <col min="8595" max="8595" width="45.77734375" style="74" customWidth="1"/>
    <col min="8596" max="8596" width="15" style="74" customWidth="1"/>
    <col min="8597" max="8597" width="11.77734375" style="74" customWidth="1"/>
    <col min="8598" max="8598" width="6.77734375" style="74" customWidth="1"/>
    <col min="8599" max="8599" width="7.77734375" style="74" customWidth="1"/>
    <col min="8600" max="8600" width="8" style="74" bestFit="1" customWidth="1"/>
    <col min="8601" max="8601" width="10.77734375" style="74" customWidth="1"/>
    <col min="8602" max="8844" width="8.88671875" style="74"/>
    <col min="8845" max="8845" width="8" style="74" customWidth="1"/>
    <col min="8846" max="8846" width="45.44140625" style="74" customWidth="1"/>
    <col min="8847" max="8847" width="10.77734375" style="74" customWidth="1"/>
    <col min="8848" max="8848" width="6.21875" style="74" customWidth="1"/>
    <col min="8849" max="8849" width="12.5546875" style="74" customWidth="1"/>
    <col min="8850" max="8850" width="17.77734375" style="74" customWidth="1"/>
    <col min="8851" max="8851" width="45.77734375" style="74" customWidth="1"/>
    <col min="8852" max="8852" width="15" style="74" customWidth="1"/>
    <col min="8853" max="8853" width="11.77734375" style="74" customWidth="1"/>
    <col min="8854" max="8854" width="6.77734375" style="74" customWidth="1"/>
    <col min="8855" max="8855" width="7.77734375" style="74" customWidth="1"/>
    <col min="8856" max="8856" width="8" style="74" bestFit="1" customWidth="1"/>
    <col min="8857" max="8857" width="10.77734375" style="74" customWidth="1"/>
    <col min="8858" max="9100" width="8.88671875" style="74"/>
    <col min="9101" max="9101" width="8" style="74" customWidth="1"/>
    <col min="9102" max="9102" width="45.44140625" style="74" customWidth="1"/>
    <col min="9103" max="9103" width="10.77734375" style="74" customWidth="1"/>
    <col min="9104" max="9104" width="6.21875" style="74" customWidth="1"/>
    <col min="9105" max="9105" width="12.5546875" style="74" customWidth="1"/>
    <col min="9106" max="9106" width="17.77734375" style="74" customWidth="1"/>
    <col min="9107" max="9107" width="45.77734375" style="74" customWidth="1"/>
    <col min="9108" max="9108" width="15" style="74" customWidth="1"/>
    <col min="9109" max="9109" width="11.77734375" style="74" customWidth="1"/>
    <col min="9110" max="9110" width="6.77734375" style="74" customWidth="1"/>
    <col min="9111" max="9111" width="7.77734375" style="74" customWidth="1"/>
    <col min="9112" max="9112" width="8" style="74" bestFit="1" customWidth="1"/>
    <col min="9113" max="9113" width="10.77734375" style="74" customWidth="1"/>
    <col min="9114" max="9356" width="8.88671875" style="74"/>
    <col min="9357" max="9357" width="8" style="74" customWidth="1"/>
    <col min="9358" max="9358" width="45.44140625" style="74" customWidth="1"/>
    <col min="9359" max="9359" width="10.77734375" style="74" customWidth="1"/>
    <col min="9360" max="9360" width="6.21875" style="74" customWidth="1"/>
    <col min="9361" max="9361" width="12.5546875" style="74" customWidth="1"/>
    <col min="9362" max="9362" width="17.77734375" style="74" customWidth="1"/>
    <col min="9363" max="9363" width="45.77734375" style="74" customWidth="1"/>
    <col min="9364" max="9364" width="15" style="74" customWidth="1"/>
    <col min="9365" max="9365" width="11.77734375" style="74" customWidth="1"/>
    <col min="9366" max="9366" width="6.77734375" style="74" customWidth="1"/>
    <col min="9367" max="9367" width="7.77734375" style="74" customWidth="1"/>
    <col min="9368" max="9368" width="8" style="74" bestFit="1" customWidth="1"/>
    <col min="9369" max="9369" width="10.77734375" style="74" customWidth="1"/>
    <col min="9370" max="9612" width="8.88671875" style="74"/>
    <col min="9613" max="9613" width="8" style="74" customWidth="1"/>
    <col min="9614" max="9614" width="45.44140625" style="74" customWidth="1"/>
    <col min="9615" max="9615" width="10.77734375" style="74" customWidth="1"/>
    <col min="9616" max="9616" width="6.21875" style="74" customWidth="1"/>
    <col min="9617" max="9617" width="12.5546875" style="74" customWidth="1"/>
    <col min="9618" max="9618" width="17.77734375" style="74" customWidth="1"/>
    <col min="9619" max="9619" width="45.77734375" style="74" customWidth="1"/>
    <col min="9620" max="9620" width="15" style="74" customWidth="1"/>
    <col min="9621" max="9621" width="11.77734375" style="74" customWidth="1"/>
    <col min="9622" max="9622" width="6.77734375" style="74" customWidth="1"/>
    <col min="9623" max="9623" width="7.77734375" style="74" customWidth="1"/>
    <col min="9624" max="9624" width="8" style="74" bestFit="1" customWidth="1"/>
    <col min="9625" max="9625" width="10.77734375" style="74" customWidth="1"/>
    <col min="9626" max="9868" width="8.88671875" style="74"/>
    <col min="9869" max="9869" width="8" style="74" customWidth="1"/>
    <col min="9870" max="9870" width="45.44140625" style="74" customWidth="1"/>
    <col min="9871" max="9871" width="10.77734375" style="74" customWidth="1"/>
    <col min="9872" max="9872" width="6.21875" style="74" customWidth="1"/>
    <col min="9873" max="9873" width="12.5546875" style="74" customWidth="1"/>
    <col min="9874" max="9874" width="17.77734375" style="74" customWidth="1"/>
    <col min="9875" max="9875" width="45.77734375" style="74" customWidth="1"/>
    <col min="9876" max="9876" width="15" style="74" customWidth="1"/>
    <col min="9877" max="9877" width="11.77734375" style="74" customWidth="1"/>
    <col min="9878" max="9878" width="6.77734375" style="74" customWidth="1"/>
    <col min="9879" max="9879" width="7.77734375" style="74" customWidth="1"/>
    <col min="9880" max="9880" width="8" style="74" bestFit="1" customWidth="1"/>
    <col min="9881" max="9881" width="10.77734375" style="74" customWidth="1"/>
    <col min="9882" max="10124" width="8.88671875" style="74"/>
    <col min="10125" max="10125" width="8" style="74" customWidth="1"/>
    <col min="10126" max="10126" width="45.44140625" style="74" customWidth="1"/>
    <col min="10127" max="10127" width="10.77734375" style="74" customWidth="1"/>
    <col min="10128" max="10128" width="6.21875" style="74" customWidth="1"/>
    <col min="10129" max="10129" width="12.5546875" style="74" customWidth="1"/>
    <col min="10130" max="10130" width="17.77734375" style="74" customWidth="1"/>
    <col min="10131" max="10131" width="45.77734375" style="74" customWidth="1"/>
    <col min="10132" max="10132" width="15" style="74" customWidth="1"/>
    <col min="10133" max="10133" width="11.77734375" style="74" customWidth="1"/>
    <col min="10134" max="10134" width="6.77734375" style="74" customWidth="1"/>
    <col min="10135" max="10135" width="7.77734375" style="74" customWidth="1"/>
    <col min="10136" max="10136" width="8" style="74" bestFit="1" customWidth="1"/>
    <col min="10137" max="10137" width="10.77734375" style="74" customWidth="1"/>
    <col min="10138" max="10380" width="8.88671875" style="74"/>
    <col min="10381" max="10381" width="8" style="74" customWidth="1"/>
    <col min="10382" max="10382" width="45.44140625" style="74" customWidth="1"/>
    <col min="10383" max="10383" width="10.77734375" style="74" customWidth="1"/>
    <col min="10384" max="10384" width="6.21875" style="74" customWidth="1"/>
    <col min="10385" max="10385" width="12.5546875" style="74" customWidth="1"/>
    <col min="10386" max="10386" width="17.77734375" style="74" customWidth="1"/>
    <col min="10387" max="10387" width="45.77734375" style="74" customWidth="1"/>
    <col min="10388" max="10388" width="15" style="74" customWidth="1"/>
    <col min="10389" max="10389" width="11.77734375" style="74" customWidth="1"/>
    <col min="10390" max="10390" width="6.77734375" style="74" customWidth="1"/>
    <col min="10391" max="10391" width="7.77734375" style="74" customWidth="1"/>
    <col min="10392" max="10392" width="8" style="74" bestFit="1" customWidth="1"/>
    <col min="10393" max="10393" width="10.77734375" style="74" customWidth="1"/>
    <col min="10394" max="10636" width="8.88671875" style="74"/>
    <col min="10637" max="10637" width="8" style="74" customWidth="1"/>
    <col min="10638" max="10638" width="45.44140625" style="74" customWidth="1"/>
    <col min="10639" max="10639" width="10.77734375" style="74" customWidth="1"/>
    <col min="10640" max="10640" width="6.21875" style="74" customWidth="1"/>
    <col min="10641" max="10641" width="12.5546875" style="74" customWidth="1"/>
    <col min="10642" max="10642" width="17.77734375" style="74" customWidth="1"/>
    <col min="10643" max="10643" width="45.77734375" style="74" customWidth="1"/>
    <col min="10644" max="10644" width="15" style="74" customWidth="1"/>
    <col min="10645" max="10645" width="11.77734375" style="74" customWidth="1"/>
    <col min="10646" max="10646" width="6.77734375" style="74" customWidth="1"/>
    <col min="10647" max="10647" width="7.77734375" style="74" customWidth="1"/>
    <col min="10648" max="10648" width="8" style="74" bestFit="1" customWidth="1"/>
    <col min="10649" max="10649" width="10.77734375" style="74" customWidth="1"/>
    <col min="10650" max="10892" width="8.88671875" style="74"/>
    <col min="10893" max="10893" width="8" style="74" customWidth="1"/>
    <col min="10894" max="10894" width="45.44140625" style="74" customWidth="1"/>
    <col min="10895" max="10895" width="10.77734375" style="74" customWidth="1"/>
    <col min="10896" max="10896" width="6.21875" style="74" customWidth="1"/>
    <col min="10897" max="10897" width="12.5546875" style="74" customWidth="1"/>
    <col min="10898" max="10898" width="17.77734375" style="74" customWidth="1"/>
    <col min="10899" max="10899" width="45.77734375" style="74" customWidth="1"/>
    <col min="10900" max="10900" width="15" style="74" customWidth="1"/>
    <col min="10901" max="10901" width="11.77734375" style="74" customWidth="1"/>
    <col min="10902" max="10902" width="6.77734375" style="74" customWidth="1"/>
    <col min="10903" max="10903" width="7.77734375" style="74" customWidth="1"/>
    <col min="10904" max="10904" width="8" style="74" bestFit="1" customWidth="1"/>
    <col min="10905" max="10905" width="10.77734375" style="74" customWidth="1"/>
    <col min="10906" max="11148" width="8.88671875" style="74"/>
    <col min="11149" max="11149" width="8" style="74" customWidth="1"/>
    <col min="11150" max="11150" width="45.44140625" style="74" customWidth="1"/>
    <col min="11151" max="11151" width="10.77734375" style="74" customWidth="1"/>
    <col min="11152" max="11152" width="6.21875" style="74" customWidth="1"/>
    <col min="11153" max="11153" width="12.5546875" style="74" customWidth="1"/>
    <col min="11154" max="11154" width="17.77734375" style="74" customWidth="1"/>
    <col min="11155" max="11155" width="45.77734375" style="74" customWidth="1"/>
    <col min="11156" max="11156" width="15" style="74" customWidth="1"/>
    <col min="11157" max="11157" width="11.77734375" style="74" customWidth="1"/>
    <col min="11158" max="11158" width="6.77734375" style="74" customWidth="1"/>
    <col min="11159" max="11159" width="7.77734375" style="74" customWidth="1"/>
    <col min="11160" max="11160" width="8" style="74" bestFit="1" customWidth="1"/>
    <col min="11161" max="11161" width="10.77734375" style="74" customWidth="1"/>
    <col min="11162" max="11404" width="8.88671875" style="74"/>
    <col min="11405" max="11405" width="8" style="74" customWidth="1"/>
    <col min="11406" max="11406" width="45.44140625" style="74" customWidth="1"/>
    <col min="11407" max="11407" width="10.77734375" style="74" customWidth="1"/>
    <col min="11408" max="11408" width="6.21875" style="74" customWidth="1"/>
    <col min="11409" max="11409" width="12.5546875" style="74" customWidth="1"/>
    <col min="11410" max="11410" width="17.77734375" style="74" customWidth="1"/>
    <col min="11411" max="11411" width="45.77734375" style="74" customWidth="1"/>
    <col min="11412" max="11412" width="15" style="74" customWidth="1"/>
    <col min="11413" max="11413" width="11.77734375" style="74" customWidth="1"/>
    <col min="11414" max="11414" width="6.77734375" style="74" customWidth="1"/>
    <col min="11415" max="11415" width="7.77734375" style="74" customWidth="1"/>
    <col min="11416" max="11416" width="8" style="74" bestFit="1" customWidth="1"/>
    <col min="11417" max="11417" width="10.77734375" style="74" customWidth="1"/>
    <col min="11418" max="11660" width="8.88671875" style="74"/>
    <col min="11661" max="11661" width="8" style="74" customWidth="1"/>
    <col min="11662" max="11662" width="45.44140625" style="74" customWidth="1"/>
    <col min="11663" max="11663" width="10.77734375" style="74" customWidth="1"/>
    <col min="11664" max="11664" width="6.21875" style="74" customWidth="1"/>
    <col min="11665" max="11665" width="12.5546875" style="74" customWidth="1"/>
    <col min="11666" max="11666" width="17.77734375" style="74" customWidth="1"/>
    <col min="11667" max="11667" width="45.77734375" style="74" customWidth="1"/>
    <col min="11668" max="11668" width="15" style="74" customWidth="1"/>
    <col min="11669" max="11669" width="11.77734375" style="74" customWidth="1"/>
    <col min="11670" max="11670" width="6.77734375" style="74" customWidth="1"/>
    <col min="11671" max="11671" width="7.77734375" style="74" customWidth="1"/>
    <col min="11672" max="11672" width="8" style="74" bestFit="1" customWidth="1"/>
    <col min="11673" max="11673" width="10.77734375" style="74" customWidth="1"/>
    <col min="11674" max="11916" width="8.88671875" style="74"/>
    <col min="11917" max="11917" width="8" style="74" customWidth="1"/>
    <col min="11918" max="11918" width="45.44140625" style="74" customWidth="1"/>
    <col min="11919" max="11919" width="10.77734375" style="74" customWidth="1"/>
    <col min="11920" max="11920" width="6.21875" style="74" customWidth="1"/>
    <col min="11921" max="11921" width="12.5546875" style="74" customWidth="1"/>
    <col min="11922" max="11922" width="17.77734375" style="74" customWidth="1"/>
    <col min="11923" max="11923" width="45.77734375" style="74" customWidth="1"/>
    <col min="11924" max="11924" width="15" style="74" customWidth="1"/>
    <col min="11925" max="11925" width="11.77734375" style="74" customWidth="1"/>
    <col min="11926" max="11926" width="6.77734375" style="74" customWidth="1"/>
    <col min="11927" max="11927" width="7.77734375" style="74" customWidth="1"/>
    <col min="11928" max="11928" width="8" style="74" bestFit="1" customWidth="1"/>
    <col min="11929" max="11929" width="10.77734375" style="74" customWidth="1"/>
    <col min="11930" max="12172" width="8.88671875" style="74"/>
    <col min="12173" max="12173" width="8" style="74" customWidth="1"/>
    <col min="12174" max="12174" width="45.44140625" style="74" customWidth="1"/>
    <col min="12175" max="12175" width="10.77734375" style="74" customWidth="1"/>
    <col min="12176" max="12176" width="6.21875" style="74" customWidth="1"/>
    <col min="12177" max="12177" width="12.5546875" style="74" customWidth="1"/>
    <col min="12178" max="12178" width="17.77734375" style="74" customWidth="1"/>
    <col min="12179" max="12179" width="45.77734375" style="74" customWidth="1"/>
    <col min="12180" max="12180" width="15" style="74" customWidth="1"/>
    <col min="12181" max="12181" width="11.77734375" style="74" customWidth="1"/>
    <col min="12182" max="12182" width="6.77734375" style="74" customWidth="1"/>
    <col min="12183" max="12183" width="7.77734375" style="74" customWidth="1"/>
    <col min="12184" max="12184" width="8" style="74" bestFit="1" customWidth="1"/>
    <col min="12185" max="12185" width="10.77734375" style="74" customWidth="1"/>
    <col min="12186" max="12428" width="8.88671875" style="74"/>
    <col min="12429" max="12429" width="8" style="74" customWidth="1"/>
    <col min="12430" max="12430" width="45.44140625" style="74" customWidth="1"/>
    <col min="12431" max="12431" width="10.77734375" style="74" customWidth="1"/>
    <col min="12432" max="12432" width="6.21875" style="74" customWidth="1"/>
    <col min="12433" max="12433" width="12.5546875" style="74" customWidth="1"/>
    <col min="12434" max="12434" width="17.77734375" style="74" customWidth="1"/>
    <col min="12435" max="12435" width="45.77734375" style="74" customWidth="1"/>
    <col min="12436" max="12436" width="15" style="74" customWidth="1"/>
    <col min="12437" max="12437" width="11.77734375" style="74" customWidth="1"/>
    <col min="12438" max="12438" width="6.77734375" style="74" customWidth="1"/>
    <col min="12439" max="12439" width="7.77734375" style="74" customWidth="1"/>
    <col min="12440" max="12440" width="8" style="74" bestFit="1" customWidth="1"/>
    <col min="12441" max="12441" width="10.77734375" style="74" customWidth="1"/>
    <col min="12442" max="12684" width="8.88671875" style="74"/>
    <col min="12685" max="12685" width="8" style="74" customWidth="1"/>
    <col min="12686" max="12686" width="45.44140625" style="74" customWidth="1"/>
    <col min="12687" max="12687" width="10.77734375" style="74" customWidth="1"/>
    <col min="12688" max="12688" width="6.21875" style="74" customWidth="1"/>
    <col min="12689" max="12689" width="12.5546875" style="74" customWidth="1"/>
    <col min="12690" max="12690" width="17.77734375" style="74" customWidth="1"/>
    <col min="12691" max="12691" width="45.77734375" style="74" customWidth="1"/>
    <col min="12692" max="12692" width="15" style="74" customWidth="1"/>
    <col min="12693" max="12693" width="11.77734375" style="74" customWidth="1"/>
    <col min="12694" max="12694" width="6.77734375" style="74" customWidth="1"/>
    <col min="12695" max="12695" width="7.77734375" style="74" customWidth="1"/>
    <col min="12696" max="12696" width="8" style="74" bestFit="1" customWidth="1"/>
    <col min="12697" max="12697" width="10.77734375" style="74" customWidth="1"/>
    <col min="12698" max="12940" width="8.88671875" style="74"/>
    <col min="12941" max="12941" width="8" style="74" customWidth="1"/>
    <col min="12942" max="12942" width="45.44140625" style="74" customWidth="1"/>
    <col min="12943" max="12943" width="10.77734375" style="74" customWidth="1"/>
    <col min="12944" max="12944" width="6.21875" style="74" customWidth="1"/>
    <col min="12945" max="12945" width="12.5546875" style="74" customWidth="1"/>
    <col min="12946" max="12946" width="17.77734375" style="74" customWidth="1"/>
    <col min="12947" max="12947" width="45.77734375" style="74" customWidth="1"/>
    <col min="12948" max="12948" width="15" style="74" customWidth="1"/>
    <col min="12949" max="12949" width="11.77734375" style="74" customWidth="1"/>
    <col min="12950" max="12950" width="6.77734375" style="74" customWidth="1"/>
    <col min="12951" max="12951" width="7.77734375" style="74" customWidth="1"/>
    <col min="12952" max="12952" width="8" style="74" bestFit="1" customWidth="1"/>
    <col min="12953" max="12953" width="10.77734375" style="74" customWidth="1"/>
    <col min="12954" max="13196" width="8.88671875" style="74"/>
    <col min="13197" max="13197" width="8" style="74" customWidth="1"/>
    <col min="13198" max="13198" width="45.44140625" style="74" customWidth="1"/>
    <col min="13199" max="13199" width="10.77734375" style="74" customWidth="1"/>
    <col min="13200" max="13200" width="6.21875" style="74" customWidth="1"/>
    <col min="13201" max="13201" width="12.5546875" style="74" customWidth="1"/>
    <col min="13202" max="13202" width="17.77734375" style="74" customWidth="1"/>
    <col min="13203" max="13203" width="45.77734375" style="74" customWidth="1"/>
    <col min="13204" max="13204" width="15" style="74" customWidth="1"/>
    <col min="13205" max="13205" width="11.77734375" style="74" customWidth="1"/>
    <col min="13206" max="13206" width="6.77734375" style="74" customWidth="1"/>
    <col min="13207" max="13207" width="7.77734375" style="74" customWidth="1"/>
    <col min="13208" max="13208" width="8" style="74" bestFit="1" customWidth="1"/>
    <col min="13209" max="13209" width="10.77734375" style="74" customWidth="1"/>
    <col min="13210" max="13452" width="8.88671875" style="74"/>
    <col min="13453" max="13453" width="8" style="74" customWidth="1"/>
    <col min="13454" max="13454" width="45.44140625" style="74" customWidth="1"/>
    <col min="13455" max="13455" width="10.77734375" style="74" customWidth="1"/>
    <col min="13456" max="13456" width="6.21875" style="74" customWidth="1"/>
    <col min="13457" max="13457" width="12.5546875" style="74" customWidth="1"/>
    <col min="13458" max="13458" width="17.77734375" style="74" customWidth="1"/>
    <col min="13459" max="13459" width="45.77734375" style="74" customWidth="1"/>
    <col min="13460" max="13460" width="15" style="74" customWidth="1"/>
    <col min="13461" max="13461" width="11.77734375" style="74" customWidth="1"/>
    <col min="13462" max="13462" width="6.77734375" style="74" customWidth="1"/>
    <col min="13463" max="13463" width="7.77734375" style="74" customWidth="1"/>
    <col min="13464" max="13464" width="8" style="74" bestFit="1" customWidth="1"/>
    <col min="13465" max="13465" width="10.77734375" style="74" customWidth="1"/>
    <col min="13466" max="13708" width="8.88671875" style="74"/>
    <col min="13709" max="13709" width="8" style="74" customWidth="1"/>
    <col min="13710" max="13710" width="45.44140625" style="74" customWidth="1"/>
    <col min="13711" max="13711" width="10.77734375" style="74" customWidth="1"/>
    <col min="13712" max="13712" width="6.21875" style="74" customWidth="1"/>
    <col min="13713" max="13713" width="12.5546875" style="74" customWidth="1"/>
    <col min="13714" max="13714" width="17.77734375" style="74" customWidth="1"/>
    <col min="13715" max="13715" width="45.77734375" style="74" customWidth="1"/>
    <col min="13716" max="13716" width="15" style="74" customWidth="1"/>
    <col min="13717" max="13717" width="11.77734375" style="74" customWidth="1"/>
    <col min="13718" max="13718" width="6.77734375" style="74" customWidth="1"/>
    <col min="13719" max="13719" width="7.77734375" style="74" customWidth="1"/>
    <col min="13720" max="13720" width="8" style="74" bestFit="1" customWidth="1"/>
    <col min="13721" max="13721" width="10.77734375" style="74" customWidth="1"/>
    <col min="13722" max="13964" width="8.88671875" style="74"/>
    <col min="13965" max="13965" width="8" style="74" customWidth="1"/>
    <col min="13966" max="13966" width="45.44140625" style="74" customWidth="1"/>
    <col min="13967" max="13967" width="10.77734375" style="74" customWidth="1"/>
    <col min="13968" max="13968" width="6.21875" style="74" customWidth="1"/>
    <col min="13969" max="13969" width="12.5546875" style="74" customWidth="1"/>
    <col min="13970" max="13970" width="17.77734375" style="74" customWidth="1"/>
    <col min="13971" max="13971" width="45.77734375" style="74" customWidth="1"/>
    <col min="13972" max="13972" width="15" style="74" customWidth="1"/>
    <col min="13973" max="13973" width="11.77734375" style="74" customWidth="1"/>
    <col min="13974" max="13974" width="6.77734375" style="74" customWidth="1"/>
    <col min="13975" max="13975" width="7.77734375" style="74" customWidth="1"/>
    <col min="13976" max="13976" width="8" style="74" bestFit="1" customWidth="1"/>
    <col min="13977" max="13977" width="10.77734375" style="74" customWidth="1"/>
    <col min="13978" max="14220" width="8.88671875" style="74"/>
    <col min="14221" max="14221" width="8" style="74" customWidth="1"/>
    <col min="14222" max="14222" width="45.44140625" style="74" customWidth="1"/>
    <col min="14223" max="14223" width="10.77734375" style="74" customWidth="1"/>
    <col min="14224" max="14224" width="6.21875" style="74" customWidth="1"/>
    <col min="14225" max="14225" width="12.5546875" style="74" customWidth="1"/>
    <col min="14226" max="14226" width="17.77734375" style="74" customWidth="1"/>
    <col min="14227" max="14227" width="45.77734375" style="74" customWidth="1"/>
    <col min="14228" max="14228" width="15" style="74" customWidth="1"/>
    <col min="14229" max="14229" width="11.77734375" style="74" customWidth="1"/>
    <col min="14230" max="14230" width="6.77734375" style="74" customWidth="1"/>
    <col min="14231" max="14231" width="7.77734375" style="74" customWidth="1"/>
    <col min="14232" max="14232" width="8" style="74" bestFit="1" customWidth="1"/>
    <col min="14233" max="14233" width="10.77734375" style="74" customWidth="1"/>
    <col min="14234" max="14476" width="8.88671875" style="74"/>
    <col min="14477" max="14477" width="8" style="74" customWidth="1"/>
    <col min="14478" max="14478" width="45.44140625" style="74" customWidth="1"/>
    <col min="14479" max="14479" width="10.77734375" style="74" customWidth="1"/>
    <col min="14480" max="14480" width="6.21875" style="74" customWidth="1"/>
    <col min="14481" max="14481" width="12.5546875" style="74" customWidth="1"/>
    <col min="14482" max="14482" width="17.77734375" style="74" customWidth="1"/>
    <col min="14483" max="14483" width="45.77734375" style="74" customWidth="1"/>
    <col min="14484" max="14484" width="15" style="74" customWidth="1"/>
    <col min="14485" max="14485" width="11.77734375" style="74" customWidth="1"/>
    <col min="14486" max="14486" width="6.77734375" style="74" customWidth="1"/>
    <col min="14487" max="14487" width="7.77734375" style="74" customWidth="1"/>
    <col min="14488" max="14488" width="8" style="74" bestFit="1" customWidth="1"/>
    <col min="14489" max="14489" width="10.77734375" style="74" customWidth="1"/>
    <col min="14490" max="14732" width="8.88671875" style="74"/>
    <col min="14733" max="14733" width="8" style="74" customWidth="1"/>
    <col min="14734" max="14734" width="45.44140625" style="74" customWidth="1"/>
    <col min="14735" max="14735" width="10.77734375" style="74" customWidth="1"/>
    <col min="14736" max="14736" width="6.21875" style="74" customWidth="1"/>
    <col min="14737" max="14737" width="12.5546875" style="74" customWidth="1"/>
    <col min="14738" max="14738" width="17.77734375" style="74" customWidth="1"/>
    <col min="14739" max="14739" width="45.77734375" style="74" customWidth="1"/>
    <col min="14740" max="14740" width="15" style="74" customWidth="1"/>
    <col min="14741" max="14741" width="11.77734375" style="74" customWidth="1"/>
    <col min="14742" max="14742" width="6.77734375" style="74" customWidth="1"/>
    <col min="14743" max="14743" width="7.77734375" style="74" customWidth="1"/>
    <col min="14744" max="14744" width="8" style="74" bestFit="1" customWidth="1"/>
    <col min="14745" max="14745" width="10.77734375" style="74" customWidth="1"/>
    <col min="14746" max="14988" width="8.88671875" style="74"/>
    <col min="14989" max="14989" width="8" style="74" customWidth="1"/>
    <col min="14990" max="14990" width="45.44140625" style="74" customWidth="1"/>
    <col min="14991" max="14991" width="10.77734375" style="74" customWidth="1"/>
    <col min="14992" max="14992" width="6.21875" style="74" customWidth="1"/>
    <col min="14993" max="14993" width="12.5546875" style="74" customWidth="1"/>
    <col min="14994" max="14994" width="17.77734375" style="74" customWidth="1"/>
    <col min="14995" max="14995" width="45.77734375" style="74" customWidth="1"/>
    <col min="14996" max="14996" width="15" style="74" customWidth="1"/>
    <col min="14997" max="14997" width="11.77734375" style="74" customWidth="1"/>
    <col min="14998" max="14998" width="6.77734375" style="74" customWidth="1"/>
    <col min="14999" max="14999" width="7.77734375" style="74" customWidth="1"/>
    <col min="15000" max="15000" width="8" style="74" bestFit="1" customWidth="1"/>
    <col min="15001" max="15001" width="10.77734375" style="74" customWidth="1"/>
    <col min="15002" max="15244" width="8.88671875" style="74"/>
    <col min="15245" max="15245" width="8" style="74" customWidth="1"/>
    <col min="15246" max="15246" width="45.44140625" style="74" customWidth="1"/>
    <col min="15247" max="15247" width="10.77734375" style="74" customWidth="1"/>
    <col min="15248" max="15248" width="6.21875" style="74" customWidth="1"/>
    <col min="15249" max="15249" width="12.5546875" style="74" customWidth="1"/>
    <col min="15250" max="15250" width="17.77734375" style="74" customWidth="1"/>
    <col min="15251" max="15251" width="45.77734375" style="74" customWidth="1"/>
    <col min="15252" max="15252" width="15" style="74" customWidth="1"/>
    <col min="15253" max="15253" width="11.77734375" style="74" customWidth="1"/>
    <col min="15254" max="15254" width="6.77734375" style="74" customWidth="1"/>
    <col min="15255" max="15255" width="7.77734375" style="74" customWidth="1"/>
    <col min="15256" max="15256" width="8" style="74" bestFit="1" customWidth="1"/>
    <col min="15257" max="15257" width="10.77734375" style="74" customWidth="1"/>
    <col min="15258" max="15500" width="8.88671875" style="74"/>
    <col min="15501" max="15501" width="8" style="74" customWidth="1"/>
    <col min="15502" max="15502" width="45.44140625" style="74" customWidth="1"/>
    <col min="15503" max="15503" width="10.77734375" style="74" customWidth="1"/>
    <col min="15504" max="15504" width="6.21875" style="74" customWidth="1"/>
    <col min="15505" max="15505" width="12.5546875" style="74" customWidth="1"/>
    <col min="15506" max="15506" width="17.77734375" style="74" customWidth="1"/>
    <col min="15507" max="15507" width="45.77734375" style="74" customWidth="1"/>
    <col min="15508" max="15508" width="15" style="74" customWidth="1"/>
    <col min="15509" max="15509" width="11.77734375" style="74" customWidth="1"/>
    <col min="15510" max="15510" width="6.77734375" style="74" customWidth="1"/>
    <col min="15511" max="15511" width="7.77734375" style="74" customWidth="1"/>
    <col min="15512" max="15512" width="8" style="74" bestFit="1" customWidth="1"/>
    <col min="15513" max="15513" width="10.77734375" style="74" customWidth="1"/>
    <col min="15514" max="15756" width="8.88671875" style="74"/>
    <col min="15757" max="15757" width="8" style="74" customWidth="1"/>
    <col min="15758" max="15758" width="45.44140625" style="74" customWidth="1"/>
    <col min="15759" max="15759" width="10.77734375" style="74" customWidth="1"/>
    <col min="15760" max="15760" width="6.21875" style="74" customWidth="1"/>
    <col min="15761" max="15761" width="12.5546875" style="74" customWidth="1"/>
    <col min="15762" max="15762" width="17.77734375" style="74" customWidth="1"/>
    <col min="15763" max="15763" width="45.77734375" style="74" customWidth="1"/>
    <col min="15764" max="15764" width="15" style="74" customWidth="1"/>
    <col min="15765" max="15765" width="11.77734375" style="74" customWidth="1"/>
    <col min="15766" max="15766" width="6.77734375" style="74" customWidth="1"/>
    <col min="15767" max="15767" width="7.77734375" style="74" customWidth="1"/>
    <col min="15768" max="15768" width="8" style="74" bestFit="1" customWidth="1"/>
    <col min="15769" max="15769" width="10.77734375" style="74" customWidth="1"/>
    <col min="15770" max="16012" width="8.88671875" style="74"/>
    <col min="16013" max="16013" width="8" style="74" customWidth="1"/>
    <col min="16014" max="16014" width="45.44140625" style="74" customWidth="1"/>
    <col min="16015" max="16015" width="10.77734375" style="74" customWidth="1"/>
    <col min="16016" max="16016" width="6.21875" style="74" customWidth="1"/>
    <col min="16017" max="16017" width="12.5546875" style="74" customWidth="1"/>
    <col min="16018" max="16018" width="17.77734375" style="74" customWidth="1"/>
    <col min="16019" max="16019" width="45.77734375" style="74" customWidth="1"/>
    <col min="16020" max="16020" width="15" style="74" customWidth="1"/>
    <col min="16021" max="16021" width="11.77734375" style="74" customWidth="1"/>
    <col min="16022" max="16022" width="6.77734375" style="74" customWidth="1"/>
    <col min="16023" max="16023" width="7.77734375" style="74" customWidth="1"/>
    <col min="16024" max="16024" width="8" style="74" bestFit="1" customWidth="1"/>
    <col min="16025" max="16025" width="10.77734375" style="74" customWidth="1"/>
    <col min="16026" max="16295" width="8.88671875" style="74"/>
    <col min="16296" max="16384" width="9.21875" style="74" customWidth="1"/>
  </cols>
  <sheetData>
    <row r="1" spans="1:16" s="5" customFormat="1" ht="16.5" customHeight="1" x14ac:dyDescent="0.25">
      <c r="A1" s="351" t="s">
        <v>0</v>
      </c>
      <c r="B1" s="352"/>
      <c r="C1" s="352"/>
      <c r="D1" s="352"/>
      <c r="E1" s="353"/>
      <c r="F1" s="354"/>
      <c r="G1" s="355"/>
      <c r="H1" s="356"/>
      <c r="I1" s="357"/>
      <c r="J1" s="307"/>
      <c r="K1" s="2"/>
      <c r="L1" s="3"/>
      <c r="M1" s="6"/>
      <c r="N1" s="4"/>
      <c r="O1" s="7"/>
      <c r="P1" s="8"/>
    </row>
    <row r="2" spans="1:16" s="5" customFormat="1" ht="16.5" customHeight="1" x14ac:dyDescent="0.25">
      <c r="A2" s="351" t="s">
        <v>1</v>
      </c>
      <c r="B2" s="352"/>
      <c r="C2" s="352"/>
      <c r="D2" s="352"/>
      <c r="E2" s="353"/>
      <c r="F2" s="354"/>
      <c r="G2" s="355"/>
      <c r="H2" s="356"/>
      <c r="I2" s="357"/>
      <c r="J2" s="307"/>
      <c r="K2" s="2"/>
      <c r="L2" s="3"/>
      <c r="M2" s="6"/>
      <c r="N2" s="4"/>
      <c r="O2" s="7"/>
      <c r="P2" s="8"/>
    </row>
    <row r="3" spans="1:16" s="5" customFormat="1" ht="16.5" customHeight="1" x14ac:dyDescent="0.25">
      <c r="A3" s="351" t="s">
        <v>2</v>
      </c>
      <c r="B3" s="352"/>
      <c r="C3" s="352"/>
      <c r="D3" s="352"/>
      <c r="E3" s="353"/>
      <c r="F3" s="354"/>
      <c r="G3" s="355"/>
      <c r="H3" s="356"/>
      <c r="I3" s="357"/>
      <c r="J3" s="307"/>
      <c r="K3" s="2"/>
      <c r="L3" s="3"/>
      <c r="M3" s="6"/>
      <c r="N3" s="4"/>
      <c r="O3" s="7"/>
      <c r="P3" s="8"/>
    </row>
    <row r="4" spans="1:16" s="5" customFormat="1" ht="16.5" customHeight="1" x14ac:dyDescent="0.3">
      <c r="A4" s="351" t="s">
        <v>3</v>
      </c>
      <c r="B4" s="358"/>
      <c r="C4" s="358"/>
      <c r="D4" s="358"/>
      <c r="E4" s="353"/>
      <c r="F4" s="354"/>
      <c r="G4" s="355"/>
      <c r="H4" s="356"/>
      <c r="I4" s="357"/>
      <c r="J4" s="307"/>
      <c r="K4" s="2"/>
      <c r="L4" s="3"/>
      <c r="M4" s="6"/>
      <c r="N4" s="4"/>
      <c r="O4" s="7"/>
      <c r="P4" s="8"/>
    </row>
    <row r="5" spans="1:16" s="5" customFormat="1" ht="16.5" customHeight="1" x14ac:dyDescent="0.3">
      <c r="A5" s="359" t="s">
        <v>4</v>
      </c>
      <c r="B5" s="358"/>
      <c r="C5" s="358"/>
      <c r="D5" s="358"/>
      <c r="E5" s="353"/>
      <c r="F5" s="354"/>
      <c r="G5" s="355"/>
      <c r="H5" s="356"/>
      <c r="I5" s="357"/>
      <c r="J5" s="307"/>
      <c r="K5" s="2"/>
      <c r="L5" s="3"/>
      <c r="M5" s="6"/>
      <c r="N5" s="4"/>
      <c r="O5" s="7"/>
      <c r="P5" s="8"/>
    </row>
    <row r="6" spans="1:16" s="5" customFormat="1" ht="16.5" customHeight="1" x14ac:dyDescent="0.25">
      <c r="A6" s="360"/>
      <c r="B6" s="361"/>
      <c r="C6" s="361"/>
      <c r="D6" s="307"/>
      <c r="E6" s="353"/>
      <c r="F6" s="354"/>
      <c r="G6" s="355"/>
      <c r="H6" s="356"/>
      <c r="I6" s="357"/>
      <c r="J6" s="307"/>
      <c r="K6" s="2"/>
      <c r="L6" s="3"/>
      <c r="M6" s="6"/>
      <c r="N6" s="4"/>
      <c r="O6" s="7"/>
      <c r="P6" s="8"/>
    </row>
    <row r="7" spans="1:16" s="5" customFormat="1" ht="16.5" customHeight="1" x14ac:dyDescent="0.25">
      <c r="A7" s="360" t="s">
        <v>5</v>
      </c>
      <c r="B7" s="361"/>
      <c r="C7" s="361"/>
      <c r="D7" s="307"/>
      <c r="E7" s="353"/>
      <c r="F7" s="354"/>
      <c r="G7" s="355"/>
      <c r="H7" s="356"/>
      <c r="I7" s="357"/>
      <c r="J7" s="307"/>
      <c r="K7" s="2"/>
      <c r="L7" s="3"/>
      <c r="M7" s="6"/>
      <c r="N7" s="4"/>
      <c r="O7" s="7"/>
      <c r="P7" s="8"/>
    </row>
    <row r="8" spans="1:16" s="5" customFormat="1" ht="16.5" customHeight="1" x14ac:dyDescent="0.25">
      <c r="A8" s="362"/>
      <c r="B8" s="363"/>
      <c r="C8" s="363"/>
      <c r="D8" s="364"/>
      <c r="E8" s="353"/>
      <c r="F8" s="354"/>
      <c r="G8" s="355"/>
      <c r="H8" s="356"/>
      <c r="I8" s="357"/>
      <c r="J8" s="307"/>
      <c r="K8" s="2"/>
      <c r="L8" s="3"/>
      <c r="M8" s="6"/>
      <c r="N8" s="4"/>
      <c r="O8" s="7"/>
      <c r="P8" s="8"/>
    </row>
    <row r="9" spans="1:16" s="5" customFormat="1" ht="15" customHeight="1" x14ac:dyDescent="0.3">
      <c r="A9" s="365" t="s">
        <v>6</v>
      </c>
      <c r="B9" s="365" t="s">
        <v>7</v>
      </c>
      <c r="C9" s="365"/>
      <c r="D9" s="365"/>
      <c r="E9" s="366" t="s">
        <v>8</v>
      </c>
      <c r="F9" s="367" t="s">
        <v>9</v>
      </c>
      <c r="G9" s="368" t="s">
        <v>10</v>
      </c>
      <c r="H9" s="369" t="s">
        <v>11</v>
      </c>
      <c r="I9" s="367" t="s">
        <v>12</v>
      </c>
      <c r="J9" s="307"/>
      <c r="K9" s="323"/>
      <c r="L9" s="325"/>
      <c r="M9" s="327"/>
      <c r="N9" s="329"/>
      <c r="O9" s="331"/>
      <c r="P9" s="8"/>
    </row>
    <row r="10" spans="1:16" s="5" customFormat="1" ht="15" customHeight="1" x14ac:dyDescent="0.3">
      <c r="A10" s="370"/>
      <c r="B10" s="370"/>
      <c r="C10" s="370"/>
      <c r="D10" s="370"/>
      <c r="E10" s="371"/>
      <c r="F10" s="372"/>
      <c r="G10" s="373"/>
      <c r="H10" s="374"/>
      <c r="I10" s="372"/>
      <c r="J10" s="307"/>
      <c r="K10" s="324"/>
      <c r="L10" s="326"/>
      <c r="M10" s="328"/>
      <c r="N10" s="330"/>
      <c r="O10" s="332"/>
      <c r="P10" s="8"/>
    </row>
    <row r="11" spans="1:16" s="5" customFormat="1" ht="15" customHeight="1" x14ac:dyDescent="0.3">
      <c r="A11" s="375"/>
      <c r="B11" s="376"/>
      <c r="C11" s="377"/>
      <c r="D11" s="378"/>
      <c r="E11" s="379"/>
      <c r="F11" s="380"/>
      <c r="G11" s="381"/>
      <c r="H11" s="312"/>
      <c r="I11" s="313"/>
      <c r="J11" s="307"/>
      <c r="K11" s="11"/>
      <c r="L11" s="12"/>
      <c r="M11" s="13"/>
      <c r="N11" s="14"/>
      <c r="O11" s="15"/>
      <c r="P11" s="8"/>
    </row>
    <row r="12" spans="1:16" s="5" customFormat="1" x14ac:dyDescent="0.3">
      <c r="A12" s="382" t="s">
        <v>13</v>
      </c>
      <c r="B12" s="383" t="s">
        <v>14</v>
      </c>
      <c r="C12" s="384"/>
      <c r="D12" s="385"/>
      <c r="E12" s="309"/>
      <c r="F12" s="310"/>
      <c r="G12" s="381"/>
      <c r="H12" s="312"/>
      <c r="I12" s="313"/>
      <c r="J12" s="307"/>
      <c r="K12" s="16"/>
      <c r="L12" s="17"/>
      <c r="M12" s="13"/>
      <c r="N12" s="14"/>
      <c r="O12" s="15"/>
      <c r="P12" s="8"/>
    </row>
    <row r="13" spans="1:16" s="5" customFormat="1" ht="15" customHeight="1" x14ac:dyDescent="0.3">
      <c r="A13" s="386"/>
      <c r="B13" s="387"/>
      <c r="C13" s="388"/>
      <c r="D13" s="389"/>
      <c r="E13" s="309"/>
      <c r="F13" s="310"/>
      <c r="G13" s="381"/>
      <c r="H13" s="312"/>
      <c r="I13" s="313"/>
      <c r="J13" s="307"/>
      <c r="K13" s="16"/>
      <c r="L13" s="17"/>
      <c r="M13" s="13"/>
      <c r="N13" s="14"/>
      <c r="O13" s="15"/>
      <c r="P13" s="8"/>
    </row>
    <row r="14" spans="1:16" s="5" customFormat="1" ht="15" customHeight="1" x14ac:dyDescent="0.3">
      <c r="A14" s="382" t="s">
        <v>15</v>
      </c>
      <c r="B14" s="383" t="s">
        <v>16</v>
      </c>
      <c r="C14" s="384"/>
      <c r="D14" s="385"/>
      <c r="E14" s="309"/>
      <c r="F14" s="310"/>
      <c r="G14" s="381"/>
      <c r="H14" s="312"/>
      <c r="I14" s="313"/>
      <c r="J14" s="307"/>
      <c r="K14" s="16"/>
      <c r="L14" s="17"/>
      <c r="M14" s="13"/>
      <c r="N14" s="14"/>
      <c r="O14" s="15"/>
      <c r="P14" s="8"/>
    </row>
    <row r="15" spans="1:16" s="5" customFormat="1" ht="15" customHeight="1" x14ac:dyDescent="0.3">
      <c r="A15" s="382"/>
      <c r="B15" s="383"/>
      <c r="C15" s="384"/>
      <c r="D15" s="385"/>
      <c r="E15" s="309"/>
      <c r="F15" s="310"/>
      <c r="G15" s="381"/>
      <c r="H15" s="312"/>
      <c r="I15" s="313"/>
      <c r="J15" s="307"/>
      <c r="K15" s="16"/>
      <c r="L15" s="17"/>
      <c r="M15" s="13"/>
      <c r="N15" s="14"/>
      <c r="O15" s="15"/>
      <c r="P15" s="8"/>
    </row>
    <row r="16" spans="1:16" s="5" customFormat="1" ht="15.75" customHeight="1" x14ac:dyDescent="0.3">
      <c r="A16" s="386" t="s">
        <v>17</v>
      </c>
      <c r="B16" s="387"/>
      <c r="C16" s="390" t="s">
        <v>18</v>
      </c>
      <c r="D16" s="308"/>
      <c r="E16" s="391"/>
      <c r="F16" s="392"/>
      <c r="G16" s="311"/>
      <c r="H16" s="312"/>
      <c r="I16" s="313"/>
      <c r="J16" s="307"/>
      <c r="K16" s="18"/>
      <c r="L16" s="19"/>
      <c r="M16" s="20"/>
      <c r="N16" s="14"/>
      <c r="O16" s="15"/>
      <c r="P16" s="8"/>
    </row>
    <row r="17" spans="1:16" s="5" customFormat="1" x14ac:dyDescent="0.3">
      <c r="A17" s="319" t="s">
        <v>19</v>
      </c>
      <c r="B17" s="306"/>
      <c r="C17" s="307"/>
      <c r="D17" s="308" t="s">
        <v>20</v>
      </c>
      <c r="E17" s="393">
        <v>24835</v>
      </c>
      <c r="F17" s="392" t="s">
        <v>21</v>
      </c>
      <c r="G17" s="311"/>
      <c r="H17" s="312">
        <f t="shared" ref="H17:H18" si="0">E17*G17</f>
        <v>0</v>
      </c>
      <c r="I17" s="313"/>
      <c r="J17" s="307"/>
      <c r="K17" s="21"/>
      <c r="L17" s="19"/>
      <c r="M17" s="20"/>
      <c r="N17" s="14"/>
      <c r="O17" s="15"/>
      <c r="P17" s="8"/>
    </row>
    <row r="18" spans="1:16" s="5" customFormat="1" x14ac:dyDescent="0.3">
      <c r="A18" s="319" t="s">
        <v>22</v>
      </c>
      <c r="B18" s="306"/>
      <c r="C18" s="307"/>
      <c r="D18" s="308" t="s">
        <v>23</v>
      </c>
      <c r="E18" s="393">
        <f>5630+11471</f>
        <v>17101</v>
      </c>
      <c r="F18" s="392" t="s">
        <v>21</v>
      </c>
      <c r="G18" s="311"/>
      <c r="H18" s="312">
        <f t="shared" si="0"/>
        <v>0</v>
      </c>
      <c r="I18" s="313"/>
      <c r="J18" s="307"/>
      <c r="K18" s="21"/>
      <c r="L18" s="19"/>
      <c r="M18" s="20"/>
      <c r="N18" s="14"/>
      <c r="O18" s="15"/>
      <c r="P18" s="8"/>
    </row>
    <row r="19" spans="1:16" s="5" customFormat="1" ht="12" customHeight="1" x14ac:dyDescent="0.3">
      <c r="A19" s="319"/>
      <c r="B19" s="306"/>
      <c r="C19" s="307"/>
      <c r="D19" s="308"/>
      <c r="E19" s="391"/>
      <c r="F19" s="392"/>
      <c r="G19" s="311"/>
      <c r="H19" s="312"/>
      <c r="I19" s="313"/>
      <c r="J19" s="307"/>
      <c r="K19" s="18"/>
      <c r="L19" s="19"/>
      <c r="M19" s="20"/>
      <c r="N19" s="14"/>
      <c r="O19" s="15"/>
      <c r="P19" s="8"/>
    </row>
    <row r="20" spans="1:16" s="5" customFormat="1" ht="15.75" customHeight="1" x14ac:dyDescent="0.3">
      <c r="A20" s="319"/>
      <c r="B20" s="306"/>
      <c r="C20" s="394" t="s">
        <v>24</v>
      </c>
      <c r="D20" s="395"/>
      <c r="E20" s="391"/>
      <c r="F20" s="392"/>
      <c r="G20" s="311"/>
      <c r="H20" s="312"/>
      <c r="I20" s="313"/>
      <c r="J20" s="307"/>
      <c r="K20" s="18"/>
      <c r="L20" s="19"/>
      <c r="M20" s="20"/>
      <c r="N20" s="14"/>
      <c r="O20" s="15"/>
      <c r="P20" s="8"/>
    </row>
    <row r="21" spans="1:16" s="5" customFormat="1" x14ac:dyDescent="0.3">
      <c r="A21" s="319" t="s">
        <v>25</v>
      </c>
      <c r="B21" s="306"/>
      <c r="C21" s="396"/>
      <c r="D21" s="308" t="s">
        <v>26</v>
      </c>
      <c r="E21" s="391">
        <f>26296+361878</f>
        <v>388174</v>
      </c>
      <c r="F21" s="392" t="s">
        <v>27</v>
      </c>
      <c r="G21" s="311"/>
      <c r="H21" s="312">
        <f t="shared" ref="H21:H27" si="1">E21*G21</f>
        <v>0</v>
      </c>
      <c r="I21" s="313"/>
      <c r="J21" s="307"/>
      <c r="K21" s="18"/>
      <c r="L21" s="19"/>
      <c r="M21" s="20"/>
      <c r="N21" s="14"/>
      <c r="O21" s="15"/>
      <c r="P21" s="8"/>
    </row>
    <row r="22" spans="1:16" s="5" customFormat="1" x14ac:dyDescent="0.3">
      <c r="A22" s="319" t="s">
        <v>28</v>
      </c>
      <c r="B22" s="306"/>
      <c r="C22" s="307"/>
      <c r="D22" s="308" t="s">
        <v>29</v>
      </c>
      <c r="E22" s="391">
        <v>7816</v>
      </c>
      <c r="F22" s="392" t="s">
        <v>27</v>
      </c>
      <c r="G22" s="311"/>
      <c r="H22" s="312">
        <f t="shared" si="1"/>
        <v>0</v>
      </c>
      <c r="I22" s="313"/>
      <c r="J22" s="307"/>
      <c r="K22" s="18"/>
      <c r="L22" s="19"/>
      <c r="M22" s="20"/>
      <c r="N22" s="14"/>
      <c r="O22" s="15"/>
      <c r="P22" s="8"/>
    </row>
    <row r="23" spans="1:16" s="5" customFormat="1" x14ac:dyDescent="0.3">
      <c r="A23" s="319" t="s">
        <v>30</v>
      </c>
      <c r="B23" s="306"/>
      <c r="C23" s="307"/>
      <c r="D23" s="308" t="s">
        <v>31</v>
      </c>
      <c r="E23" s="391">
        <v>26856</v>
      </c>
      <c r="F23" s="392" t="s">
        <v>27</v>
      </c>
      <c r="G23" s="311"/>
      <c r="H23" s="312">
        <f t="shared" si="1"/>
        <v>0</v>
      </c>
      <c r="I23" s="313"/>
      <c r="J23" s="307"/>
      <c r="K23" s="18"/>
      <c r="L23" s="19"/>
      <c r="M23" s="20"/>
      <c r="N23" s="14"/>
      <c r="O23" s="15"/>
      <c r="P23" s="8"/>
    </row>
    <row r="24" spans="1:16" s="5" customFormat="1" ht="15" customHeight="1" x14ac:dyDescent="0.3">
      <c r="A24" s="305" t="s">
        <v>32</v>
      </c>
      <c r="B24" s="306"/>
      <c r="C24" s="390"/>
      <c r="D24" s="308" t="s">
        <v>33</v>
      </c>
      <c r="E24" s="391">
        <f>+E21+E22</f>
        <v>395990</v>
      </c>
      <c r="F24" s="392" t="s">
        <v>27</v>
      </c>
      <c r="G24" s="311"/>
      <c r="H24" s="312">
        <f t="shared" si="1"/>
        <v>0</v>
      </c>
      <c r="I24" s="313"/>
      <c r="J24" s="307"/>
      <c r="K24" s="18"/>
      <c r="L24" s="19"/>
      <c r="M24" s="20"/>
      <c r="N24" s="14"/>
      <c r="O24" s="15"/>
      <c r="P24" s="22"/>
    </row>
    <row r="25" spans="1:16" s="5" customFormat="1" x14ac:dyDescent="0.3">
      <c r="A25" s="319" t="s">
        <v>34</v>
      </c>
      <c r="B25" s="306"/>
      <c r="C25" s="307"/>
      <c r="D25" s="308" t="s">
        <v>35</v>
      </c>
      <c r="E25" s="309">
        <f>+E23</f>
        <v>26856</v>
      </c>
      <c r="F25" s="310" t="s">
        <v>27</v>
      </c>
      <c r="G25" s="311"/>
      <c r="H25" s="312">
        <f t="shared" si="1"/>
        <v>0</v>
      </c>
      <c r="I25" s="313"/>
      <c r="J25" s="307"/>
      <c r="K25" s="16"/>
      <c r="L25" s="17"/>
      <c r="M25" s="20"/>
      <c r="N25" s="14"/>
      <c r="O25" s="15"/>
      <c r="P25" s="22"/>
    </row>
    <row r="26" spans="1:16" s="5" customFormat="1" x14ac:dyDescent="0.3">
      <c r="A26" s="319" t="s">
        <v>36</v>
      </c>
      <c r="B26" s="306"/>
      <c r="C26" s="307"/>
      <c r="D26" s="308" t="s">
        <v>37</v>
      </c>
      <c r="E26" s="309">
        <v>1</v>
      </c>
      <c r="F26" s="310" t="s">
        <v>38</v>
      </c>
      <c r="G26" s="311"/>
      <c r="H26" s="312">
        <f t="shared" si="1"/>
        <v>0</v>
      </c>
      <c r="I26" s="313"/>
      <c r="J26" s="307"/>
      <c r="K26" s="16"/>
      <c r="L26" s="17"/>
      <c r="M26" s="20"/>
      <c r="N26" s="14"/>
      <c r="O26" s="15"/>
      <c r="P26" s="22"/>
    </row>
    <row r="27" spans="1:16" s="5" customFormat="1" x14ac:dyDescent="0.3">
      <c r="A27" s="319" t="s">
        <v>39</v>
      </c>
      <c r="B27" s="306"/>
      <c r="C27" s="307"/>
      <c r="D27" s="308" t="s">
        <v>40</v>
      </c>
      <c r="E27" s="309">
        <v>1</v>
      </c>
      <c r="F27" s="310" t="s">
        <v>38</v>
      </c>
      <c r="G27" s="311"/>
      <c r="H27" s="312">
        <f t="shared" si="1"/>
        <v>0</v>
      </c>
      <c r="I27" s="313"/>
      <c r="J27" s="307"/>
      <c r="K27" s="16"/>
      <c r="L27" s="17"/>
      <c r="M27" s="20"/>
      <c r="N27" s="14"/>
      <c r="O27" s="15"/>
      <c r="P27" s="22"/>
    </row>
    <row r="28" spans="1:16" s="5" customFormat="1" ht="15" customHeight="1" x14ac:dyDescent="0.3">
      <c r="A28" s="319"/>
      <c r="B28" s="306"/>
      <c r="C28" s="307"/>
      <c r="D28" s="308"/>
      <c r="E28" s="309"/>
      <c r="F28" s="310"/>
      <c r="G28" s="311"/>
      <c r="H28" s="312"/>
      <c r="I28" s="313"/>
      <c r="J28" s="307"/>
      <c r="K28" s="16"/>
      <c r="L28" s="17"/>
      <c r="M28" s="20"/>
      <c r="N28" s="14"/>
      <c r="O28" s="15"/>
      <c r="P28" s="22"/>
    </row>
    <row r="29" spans="1:16" s="5" customFormat="1" ht="15" customHeight="1" x14ac:dyDescent="0.3">
      <c r="A29" s="319"/>
      <c r="B29" s="306"/>
      <c r="C29" s="390" t="s">
        <v>41</v>
      </c>
      <c r="D29" s="397"/>
      <c r="E29" s="309"/>
      <c r="F29" s="310"/>
      <c r="G29" s="311"/>
      <c r="H29" s="312"/>
      <c r="I29" s="313"/>
      <c r="J29" s="307"/>
      <c r="K29" s="16"/>
      <c r="L29" s="17"/>
      <c r="M29" s="20"/>
      <c r="N29" s="14"/>
      <c r="O29" s="15"/>
      <c r="P29" s="22"/>
    </row>
    <row r="30" spans="1:16" s="5" customFormat="1" x14ac:dyDescent="0.3">
      <c r="A30" s="305" t="s">
        <v>42</v>
      </c>
      <c r="B30" s="306"/>
      <c r="C30" s="390"/>
      <c r="D30" s="308" t="s">
        <v>43</v>
      </c>
      <c r="E30" s="391"/>
      <c r="F30" s="392"/>
      <c r="G30" s="311"/>
      <c r="H30" s="312"/>
      <c r="I30" s="313"/>
      <c r="J30" s="307"/>
      <c r="K30" s="18"/>
      <c r="L30" s="19"/>
      <c r="M30" s="20"/>
      <c r="N30" s="14"/>
      <c r="O30" s="15"/>
      <c r="P30" s="22"/>
    </row>
    <row r="31" spans="1:16" s="5" customFormat="1" x14ac:dyDescent="0.3">
      <c r="A31" s="305" t="s">
        <v>44</v>
      </c>
      <c r="B31" s="306"/>
      <c r="C31" s="390"/>
      <c r="D31" s="398" t="s">
        <v>45</v>
      </c>
      <c r="E31" s="391">
        <v>1242</v>
      </c>
      <c r="F31" s="392" t="s">
        <v>27</v>
      </c>
      <c r="G31" s="311"/>
      <c r="H31" s="312">
        <f t="shared" ref="H31:H32" si="2">E31*G31</f>
        <v>0</v>
      </c>
      <c r="I31" s="313"/>
      <c r="J31" s="307"/>
      <c r="K31" s="18"/>
      <c r="L31" s="19"/>
      <c r="M31" s="20"/>
      <c r="N31" s="14"/>
      <c r="O31" s="15"/>
      <c r="P31" s="22"/>
    </row>
    <row r="32" spans="1:16" s="5" customFormat="1" x14ac:dyDescent="0.3">
      <c r="A32" s="305" t="s">
        <v>46</v>
      </c>
      <c r="B32" s="306"/>
      <c r="C32" s="390"/>
      <c r="D32" s="398" t="s">
        <v>47</v>
      </c>
      <c r="E32" s="391">
        <v>24835</v>
      </c>
      <c r="F32" s="392" t="s">
        <v>21</v>
      </c>
      <c r="G32" s="311"/>
      <c r="H32" s="312">
        <f t="shared" si="2"/>
        <v>0</v>
      </c>
      <c r="I32" s="313"/>
      <c r="J32" s="307"/>
      <c r="K32" s="18"/>
      <c r="L32" s="19"/>
      <c r="M32" s="20"/>
      <c r="N32" s="14"/>
      <c r="O32" s="15"/>
      <c r="P32" s="22"/>
    </row>
    <row r="33" spans="1:300" s="5" customFormat="1" x14ac:dyDescent="0.3">
      <c r="A33" s="305"/>
      <c r="B33" s="306"/>
      <c r="C33" s="390"/>
      <c r="D33" s="398"/>
      <c r="E33" s="391"/>
      <c r="F33" s="392"/>
      <c r="G33" s="311"/>
      <c r="H33" s="312"/>
      <c r="I33" s="313"/>
      <c r="J33" s="307"/>
      <c r="K33" s="18"/>
      <c r="L33" s="19"/>
      <c r="M33" s="20"/>
      <c r="N33" s="14"/>
      <c r="O33" s="15"/>
      <c r="P33" s="22"/>
    </row>
    <row r="34" spans="1:300" s="5" customFormat="1" x14ac:dyDescent="0.3">
      <c r="A34" s="305" t="s">
        <v>48</v>
      </c>
      <c r="B34" s="306"/>
      <c r="C34" s="390"/>
      <c r="D34" s="308" t="s">
        <v>49</v>
      </c>
      <c r="E34" s="391"/>
      <c r="F34" s="392"/>
      <c r="G34" s="311"/>
      <c r="H34" s="312"/>
      <c r="I34" s="313"/>
      <c r="J34" s="307"/>
      <c r="K34" s="18"/>
      <c r="L34" s="19"/>
      <c r="M34" s="20"/>
      <c r="N34" s="14"/>
      <c r="O34" s="15"/>
      <c r="P34" s="22"/>
    </row>
    <row r="35" spans="1:300" s="5" customFormat="1" x14ac:dyDescent="0.3">
      <c r="A35" s="305" t="s">
        <v>50</v>
      </c>
      <c r="B35" s="306"/>
      <c r="C35" s="390"/>
      <c r="D35" s="398" t="s">
        <v>51</v>
      </c>
      <c r="E35" s="391">
        <v>8636</v>
      </c>
      <c r="F35" s="392" t="s">
        <v>27</v>
      </c>
      <c r="G35" s="311"/>
      <c r="H35" s="312">
        <f t="shared" ref="H35:H39" si="3">E35*G35</f>
        <v>0</v>
      </c>
      <c r="I35" s="313"/>
      <c r="J35" s="307"/>
      <c r="K35" s="18"/>
      <c r="L35" s="19"/>
      <c r="M35" s="20"/>
      <c r="N35" s="14"/>
      <c r="O35" s="15"/>
      <c r="P35" s="22"/>
    </row>
    <row r="36" spans="1:300" s="23" customFormat="1" x14ac:dyDescent="0.3">
      <c r="A36" s="305" t="s">
        <v>52</v>
      </c>
      <c r="B36" s="306"/>
      <c r="C36" s="390"/>
      <c r="D36" s="398" t="s">
        <v>53</v>
      </c>
      <c r="E36" s="391">
        <v>44</v>
      </c>
      <c r="F36" s="392" t="s">
        <v>27</v>
      </c>
      <c r="G36" s="311"/>
      <c r="H36" s="312">
        <f t="shared" si="3"/>
        <v>0</v>
      </c>
      <c r="I36" s="313"/>
      <c r="J36" s="307"/>
      <c r="K36" s="18"/>
      <c r="L36" s="19"/>
      <c r="M36" s="20"/>
      <c r="N36" s="14"/>
      <c r="O36" s="15"/>
      <c r="P36" s="22"/>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row>
    <row r="37" spans="1:300" s="5" customFormat="1" x14ac:dyDescent="0.3">
      <c r="A37" s="305" t="s">
        <v>54</v>
      </c>
      <c r="B37" s="306"/>
      <c r="C37" s="390"/>
      <c r="D37" s="398" t="s">
        <v>55</v>
      </c>
      <c r="E37" s="391">
        <v>568</v>
      </c>
      <c r="F37" s="392" t="s">
        <v>27</v>
      </c>
      <c r="G37" s="311"/>
      <c r="H37" s="312">
        <f t="shared" si="3"/>
        <v>0</v>
      </c>
      <c r="I37" s="313"/>
      <c r="J37" s="307"/>
      <c r="K37" s="18"/>
      <c r="L37" s="19"/>
      <c r="M37" s="20"/>
      <c r="N37" s="14"/>
      <c r="O37" s="15"/>
      <c r="P37" s="22"/>
    </row>
    <row r="38" spans="1:300" s="5" customFormat="1" x14ac:dyDescent="0.3">
      <c r="A38" s="305" t="s">
        <v>56</v>
      </c>
      <c r="B38" s="306"/>
      <c r="C38" s="390"/>
      <c r="D38" s="398" t="s">
        <v>57</v>
      </c>
      <c r="E38" s="391">
        <v>6175</v>
      </c>
      <c r="F38" s="392" t="s">
        <v>27</v>
      </c>
      <c r="G38" s="311"/>
      <c r="H38" s="312">
        <f t="shared" si="3"/>
        <v>0</v>
      </c>
      <c r="I38" s="313"/>
      <c r="J38" s="307"/>
      <c r="K38" s="18"/>
      <c r="L38" s="19"/>
      <c r="M38" s="20"/>
      <c r="N38" s="14"/>
      <c r="O38" s="15"/>
      <c r="P38" s="22"/>
    </row>
    <row r="39" spans="1:300" s="23" customFormat="1" x14ac:dyDescent="0.3">
      <c r="A39" s="305" t="s">
        <v>58</v>
      </c>
      <c r="B39" s="306"/>
      <c r="C39" s="390"/>
      <c r="D39" s="398" t="s">
        <v>59</v>
      </c>
      <c r="E39" s="391">
        <v>181</v>
      </c>
      <c r="F39" s="392" t="s">
        <v>27</v>
      </c>
      <c r="G39" s="311"/>
      <c r="H39" s="312">
        <f t="shared" si="3"/>
        <v>0</v>
      </c>
      <c r="I39" s="313"/>
      <c r="J39" s="307"/>
      <c r="K39" s="18"/>
      <c r="L39" s="19"/>
      <c r="M39" s="20"/>
      <c r="N39" s="14"/>
      <c r="O39" s="15"/>
      <c r="P39" s="22"/>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row>
    <row r="40" spans="1:300" s="5" customFormat="1" x14ac:dyDescent="0.3">
      <c r="A40" s="305"/>
      <c r="B40" s="306"/>
      <c r="C40" s="390"/>
      <c r="D40" s="398"/>
      <c r="E40" s="391"/>
      <c r="F40" s="392"/>
      <c r="G40" s="311"/>
      <c r="H40" s="312"/>
      <c r="I40" s="313"/>
      <c r="J40" s="307"/>
      <c r="K40" s="18"/>
      <c r="L40" s="19"/>
      <c r="M40" s="20"/>
      <c r="N40" s="14"/>
      <c r="O40" s="15"/>
      <c r="P40" s="22"/>
    </row>
    <row r="41" spans="1:300" s="5" customFormat="1" x14ac:dyDescent="0.3">
      <c r="A41" s="305" t="s">
        <v>60</v>
      </c>
      <c r="B41" s="306"/>
      <c r="C41" s="390"/>
      <c r="D41" s="308" t="s">
        <v>61</v>
      </c>
      <c r="E41" s="391"/>
      <c r="F41" s="392"/>
      <c r="G41" s="311"/>
      <c r="H41" s="312"/>
      <c r="I41" s="313"/>
      <c r="J41" s="307"/>
      <c r="K41" s="18"/>
      <c r="L41" s="19"/>
      <c r="M41" s="20"/>
      <c r="N41" s="14"/>
      <c r="O41" s="15"/>
      <c r="P41" s="22"/>
    </row>
    <row r="42" spans="1:300" s="5" customFormat="1" x14ac:dyDescent="0.3">
      <c r="A42" s="305" t="s">
        <v>62</v>
      </c>
      <c r="B42" s="306"/>
      <c r="C42" s="390"/>
      <c r="D42" s="398" t="s">
        <v>63</v>
      </c>
      <c r="E42" s="311">
        <f>+ROUND(130*SUM(E35:E36)/1000,2)</f>
        <v>1128.4000000000001</v>
      </c>
      <c r="F42" s="392" t="s">
        <v>58</v>
      </c>
      <c r="G42" s="311"/>
      <c r="H42" s="312">
        <f t="shared" ref="H42:H45" si="4">E42*G42</f>
        <v>0</v>
      </c>
      <c r="I42" s="313"/>
      <c r="J42" s="307"/>
      <c r="K42" s="20"/>
      <c r="L42" s="19"/>
      <c r="M42" s="20"/>
      <c r="N42" s="14"/>
      <c r="O42" s="15"/>
      <c r="P42" s="22"/>
    </row>
    <row r="43" spans="1:300" s="5" customFormat="1" x14ac:dyDescent="0.3">
      <c r="A43" s="305" t="s">
        <v>64</v>
      </c>
      <c r="B43" s="306"/>
      <c r="C43" s="390"/>
      <c r="D43" s="398" t="s">
        <v>65</v>
      </c>
      <c r="E43" s="311">
        <f>+ROUND(130*E37/1000,2)</f>
        <v>73.84</v>
      </c>
      <c r="F43" s="392" t="s">
        <v>58</v>
      </c>
      <c r="G43" s="311"/>
      <c r="H43" s="312">
        <f t="shared" si="4"/>
        <v>0</v>
      </c>
      <c r="I43" s="313"/>
      <c r="J43" s="307"/>
      <c r="K43" s="20"/>
      <c r="L43" s="19"/>
      <c r="M43" s="20"/>
      <c r="N43" s="14"/>
      <c r="O43" s="15"/>
      <c r="P43" s="22"/>
    </row>
    <row r="44" spans="1:300" s="5" customFormat="1" x14ac:dyDescent="0.3">
      <c r="A44" s="305" t="s">
        <v>66</v>
      </c>
      <c r="B44" s="306"/>
      <c r="C44" s="390"/>
      <c r="D44" s="398" t="s">
        <v>67</v>
      </c>
      <c r="E44" s="311">
        <f>+ROUND(130*E38/1000,2)</f>
        <v>802.75</v>
      </c>
      <c r="F44" s="392" t="s">
        <v>58</v>
      </c>
      <c r="G44" s="311"/>
      <c r="H44" s="312">
        <f t="shared" si="4"/>
        <v>0</v>
      </c>
      <c r="I44" s="313"/>
      <c r="J44" s="307"/>
      <c r="K44" s="20"/>
      <c r="L44" s="19"/>
      <c r="M44" s="20"/>
      <c r="N44" s="14"/>
      <c r="O44" s="15"/>
      <c r="P44" s="22"/>
    </row>
    <row r="45" spans="1:300" s="23" customFormat="1" x14ac:dyDescent="0.3">
      <c r="A45" s="305" t="s">
        <v>68</v>
      </c>
      <c r="B45" s="306"/>
      <c r="C45" s="390"/>
      <c r="D45" s="398" t="s">
        <v>69</v>
      </c>
      <c r="E45" s="311">
        <f>+ROUND(130*E39/1000,2)</f>
        <v>23.53</v>
      </c>
      <c r="F45" s="392" t="s">
        <v>58</v>
      </c>
      <c r="G45" s="311"/>
      <c r="H45" s="312">
        <f t="shared" si="4"/>
        <v>0</v>
      </c>
      <c r="I45" s="313"/>
      <c r="J45" s="307"/>
      <c r="K45" s="20"/>
      <c r="L45" s="19"/>
      <c r="M45" s="20"/>
      <c r="N45" s="14"/>
      <c r="O45" s="15"/>
      <c r="P45" s="22"/>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row>
    <row r="46" spans="1:300" s="5" customFormat="1" ht="15" customHeight="1" x14ac:dyDescent="0.3">
      <c r="A46" s="305"/>
      <c r="B46" s="306"/>
      <c r="C46" s="390"/>
      <c r="D46" s="398"/>
      <c r="E46" s="391"/>
      <c r="F46" s="392"/>
      <c r="G46" s="311"/>
      <c r="H46" s="312"/>
      <c r="I46" s="313"/>
      <c r="J46" s="307"/>
      <c r="K46" s="18"/>
      <c r="L46" s="19"/>
      <c r="M46" s="20"/>
      <c r="N46" s="14"/>
      <c r="O46" s="15"/>
      <c r="P46" s="22"/>
    </row>
    <row r="47" spans="1:300" s="5" customFormat="1" x14ac:dyDescent="0.3">
      <c r="A47" s="305"/>
      <c r="B47" s="306"/>
      <c r="C47" s="390"/>
      <c r="D47" s="308" t="s">
        <v>70</v>
      </c>
      <c r="E47" s="391"/>
      <c r="F47" s="392"/>
      <c r="G47" s="311"/>
      <c r="H47" s="312"/>
      <c r="I47" s="313"/>
      <c r="J47" s="307"/>
      <c r="K47" s="18"/>
      <c r="L47" s="19"/>
      <c r="M47" s="20"/>
      <c r="N47" s="14"/>
      <c r="O47" s="15"/>
      <c r="P47" s="22"/>
    </row>
    <row r="48" spans="1:300" s="5" customFormat="1" x14ac:dyDescent="0.3">
      <c r="A48" s="305" t="s">
        <v>71</v>
      </c>
      <c r="B48" s="306"/>
      <c r="C48" s="390"/>
      <c r="D48" s="398" t="s">
        <v>72</v>
      </c>
      <c r="E48" s="391">
        <v>302</v>
      </c>
      <c r="F48" s="392" t="s">
        <v>21</v>
      </c>
      <c r="G48" s="311"/>
      <c r="H48" s="312">
        <f t="shared" ref="H48:H51" si="5">E48*G48</f>
        <v>0</v>
      </c>
      <c r="I48" s="313"/>
      <c r="J48" s="307"/>
      <c r="K48" s="18"/>
      <c r="L48" s="19"/>
      <c r="M48" s="20"/>
      <c r="N48" s="14"/>
      <c r="O48" s="15"/>
      <c r="P48" s="22"/>
    </row>
    <row r="49" spans="1:300" s="5" customFormat="1" x14ac:dyDescent="0.3">
      <c r="A49" s="305" t="s">
        <v>73</v>
      </c>
      <c r="B49" s="306"/>
      <c r="C49" s="390"/>
      <c r="D49" s="398" t="s">
        <v>74</v>
      </c>
      <c r="E49" s="391">
        <v>1057</v>
      </c>
      <c r="F49" s="392" t="s">
        <v>21</v>
      </c>
      <c r="G49" s="311"/>
      <c r="H49" s="312">
        <f t="shared" si="5"/>
        <v>0</v>
      </c>
      <c r="I49" s="313"/>
      <c r="J49" s="307"/>
      <c r="K49" s="18"/>
      <c r="L49" s="19"/>
      <c r="M49" s="20"/>
      <c r="N49" s="14"/>
      <c r="O49" s="15"/>
      <c r="P49" s="22"/>
    </row>
    <row r="50" spans="1:300" s="5" customFormat="1" x14ac:dyDescent="0.3">
      <c r="A50" s="305" t="s">
        <v>75</v>
      </c>
      <c r="B50" s="306"/>
      <c r="C50" s="390"/>
      <c r="D50" s="398" t="s">
        <v>76</v>
      </c>
      <c r="E50" s="391">
        <v>4271</v>
      </c>
      <c r="F50" s="392" t="s">
        <v>21</v>
      </c>
      <c r="G50" s="311"/>
      <c r="H50" s="312">
        <f t="shared" si="5"/>
        <v>0</v>
      </c>
      <c r="I50" s="313"/>
      <c r="J50" s="307"/>
      <c r="K50" s="18"/>
      <c r="L50" s="19"/>
      <c r="M50" s="20"/>
      <c r="N50" s="14"/>
      <c r="O50" s="15"/>
      <c r="P50" s="22"/>
    </row>
    <row r="51" spans="1:300" s="23" customFormat="1" x14ac:dyDescent="0.3">
      <c r="A51" s="305" t="s">
        <v>77</v>
      </c>
      <c r="B51" s="306"/>
      <c r="C51" s="390"/>
      <c r="D51" s="398" t="s">
        <v>78</v>
      </c>
      <c r="E51" s="391">
        <v>940</v>
      </c>
      <c r="F51" s="392" t="s">
        <v>21</v>
      </c>
      <c r="G51" s="311"/>
      <c r="H51" s="312">
        <f t="shared" si="5"/>
        <v>0</v>
      </c>
      <c r="I51" s="313"/>
      <c r="J51" s="307"/>
      <c r="K51" s="18"/>
      <c r="L51" s="19"/>
      <c r="M51" s="20"/>
      <c r="N51" s="14"/>
      <c r="O51" s="15"/>
      <c r="P51" s="22"/>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row>
    <row r="52" spans="1:300" s="5" customFormat="1" x14ac:dyDescent="0.3">
      <c r="A52" s="305"/>
      <c r="B52" s="306"/>
      <c r="C52" s="390"/>
      <c r="D52" s="398"/>
      <c r="E52" s="391"/>
      <c r="F52" s="392"/>
      <c r="G52" s="311"/>
      <c r="H52" s="312"/>
      <c r="I52" s="313"/>
      <c r="J52" s="307"/>
      <c r="K52" s="18"/>
      <c r="L52" s="19"/>
      <c r="M52" s="20"/>
      <c r="N52" s="14"/>
      <c r="O52" s="15"/>
      <c r="P52" s="22"/>
    </row>
    <row r="53" spans="1:300" s="5" customFormat="1" x14ac:dyDescent="0.3">
      <c r="A53" s="305"/>
      <c r="B53" s="306"/>
      <c r="C53" s="390" t="s">
        <v>79</v>
      </c>
      <c r="D53" s="308"/>
      <c r="E53" s="393"/>
      <c r="F53" s="392"/>
      <c r="G53" s="311"/>
      <c r="H53" s="312"/>
      <c r="I53" s="313"/>
      <c r="J53" s="307"/>
      <c r="K53" s="21"/>
      <c r="L53" s="19"/>
      <c r="M53" s="20"/>
      <c r="N53" s="14"/>
      <c r="O53" s="15"/>
      <c r="P53" s="22"/>
    </row>
    <row r="54" spans="1:300" s="5" customFormat="1" x14ac:dyDescent="0.3">
      <c r="A54" s="305" t="s">
        <v>80</v>
      </c>
      <c r="B54" s="306"/>
      <c r="C54" s="390"/>
      <c r="D54" s="308" t="s">
        <v>49</v>
      </c>
      <c r="E54" s="393"/>
      <c r="F54" s="392"/>
      <c r="G54" s="311"/>
      <c r="H54" s="312"/>
      <c r="I54" s="313"/>
      <c r="J54" s="307"/>
      <c r="K54" s="21"/>
      <c r="L54" s="19"/>
      <c r="M54" s="20"/>
      <c r="N54" s="14"/>
      <c r="O54" s="15"/>
      <c r="P54" s="22"/>
    </row>
    <row r="55" spans="1:300" s="23" customFormat="1" x14ac:dyDescent="0.3">
      <c r="A55" s="305" t="s">
        <v>81</v>
      </c>
      <c r="B55" s="306"/>
      <c r="C55" s="390"/>
      <c r="D55" s="398" t="s">
        <v>82</v>
      </c>
      <c r="E55" s="393">
        <v>1018</v>
      </c>
      <c r="F55" s="392" t="s">
        <v>27</v>
      </c>
      <c r="G55" s="311"/>
      <c r="H55" s="312">
        <f t="shared" ref="H55:H59" si="6">E55*G55</f>
        <v>0</v>
      </c>
      <c r="I55" s="313"/>
      <c r="J55" s="307"/>
      <c r="K55" s="21"/>
      <c r="L55" s="19"/>
      <c r="M55" s="20"/>
      <c r="N55" s="14"/>
      <c r="O55" s="15"/>
      <c r="P55" s="22"/>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row>
    <row r="56" spans="1:300" s="5" customFormat="1" x14ac:dyDescent="0.3">
      <c r="A56" s="305" t="s">
        <v>83</v>
      </c>
      <c r="B56" s="306"/>
      <c r="C56" s="390"/>
      <c r="D56" s="398" t="s">
        <v>84</v>
      </c>
      <c r="E56" s="391">
        <v>1763</v>
      </c>
      <c r="F56" s="392" t="s">
        <v>27</v>
      </c>
      <c r="G56" s="311"/>
      <c r="H56" s="312">
        <f t="shared" si="6"/>
        <v>0</v>
      </c>
      <c r="I56" s="313"/>
      <c r="J56" s="307"/>
      <c r="K56" s="18"/>
      <c r="L56" s="19"/>
      <c r="M56" s="20"/>
      <c r="N56" s="14"/>
      <c r="O56" s="15"/>
      <c r="P56" s="22"/>
    </row>
    <row r="57" spans="1:300" s="5" customFormat="1" x14ac:dyDescent="0.3">
      <c r="A57" s="305" t="s">
        <v>85</v>
      </c>
      <c r="B57" s="306"/>
      <c r="C57" s="390"/>
      <c r="D57" s="398" t="s">
        <v>86</v>
      </c>
      <c r="E57" s="391">
        <v>1194</v>
      </c>
      <c r="F57" s="392" t="s">
        <v>27</v>
      </c>
      <c r="G57" s="311"/>
      <c r="H57" s="312">
        <f t="shared" si="6"/>
        <v>0</v>
      </c>
      <c r="I57" s="313"/>
      <c r="J57" s="307"/>
      <c r="K57" s="18"/>
      <c r="L57" s="19"/>
      <c r="M57" s="20"/>
      <c r="N57" s="14"/>
      <c r="O57" s="15"/>
      <c r="P57" s="22"/>
    </row>
    <row r="58" spans="1:300" s="5" customFormat="1" x14ac:dyDescent="0.3">
      <c r="A58" s="305" t="s">
        <v>87</v>
      </c>
      <c r="B58" s="306"/>
      <c r="C58" s="390"/>
      <c r="D58" s="398" t="s">
        <v>88</v>
      </c>
      <c r="E58" s="391">
        <v>955</v>
      </c>
      <c r="F58" s="392" t="s">
        <v>27</v>
      </c>
      <c r="G58" s="311"/>
      <c r="H58" s="312">
        <f t="shared" si="6"/>
        <v>0</v>
      </c>
      <c r="I58" s="313"/>
      <c r="J58" s="307"/>
      <c r="K58" s="18"/>
      <c r="L58" s="19"/>
      <c r="M58" s="20"/>
      <c r="N58" s="14"/>
      <c r="O58" s="15"/>
      <c r="P58" s="22"/>
    </row>
    <row r="59" spans="1:300" s="5" customFormat="1" x14ac:dyDescent="0.3">
      <c r="A59" s="305" t="s">
        <v>89</v>
      </c>
      <c r="B59" s="306"/>
      <c r="C59" s="390"/>
      <c r="D59" s="398" t="s">
        <v>90</v>
      </c>
      <c r="E59" s="391">
        <v>773</v>
      </c>
      <c r="F59" s="392" t="s">
        <v>27</v>
      </c>
      <c r="G59" s="311"/>
      <c r="H59" s="312">
        <f t="shared" si="6"/>
        <v>0</v>
      </c>
      <c r="I59" s="313"/>
      <c r="J59" s="307"/>
      <c r="K59" s="18"/>
      <c r="L59" s="19"/>
      <c r="M59" s="20"/>
      <c r="N59" s="14"/>
      <c r="O59" s="15"/>
      <c r="P59" s="22"/>
    </row>
    <row r="60" spans="1:300" s="5" customFormat="1" x14ac:dyDescent="0.3">
      <c r="A60" s="305"/>
      <c r="B60" s="306"/>
      <c r="C60" s="390"/>
      <c r="D60" s="308"/>
      <c r="E60" s="393"/>
      <c r="F60" s="392"/>
      <c r="G60" s="311"/>
      <c r="H60" s="312"/>
      <c r="I60" s="313"/>
      <c r="J60" s="307"/>
      <c r="K60" s="21"/>
      <c r="L60" s="19"/>
      <c r="M60" s="20"/>
      <c r="N60" s="14"/>
      <c r="O60" s="15"/>
      <c r="P60" s="22"/>
    </row>
    <row r="61" spans="1:300" s="5" customFormat="1" x14ac:dyDescent="0.3">
      <c r="A61" s="305" t="s">
        <v>91</v>
      </c>
      <c r="B61" s="306"/>
      <c r="C61" s="390"/>
      <c r="D61" s="308" t="s">
        <v>61</v>
      </c>
      <c r="E61" s="393"/>
      <c r="F61" s="392"/>
      <c r="G61" s="311"/>
      <c r="H61" s="312"/>
      <c r="I61" s="313"/>
      <c r="J61" s="307"/>
      <c r="K61" s="21"/>
      <c r="L61" s="19"/>
      <c r="M61" s="20"/>
      <c r="N61" s="14"/>
      <c r="O61" s="15"/>
      <c r="P61" s="22"/>
    </row>
    <row r="62" spans="1:300" s="5" customFormat="1" x14ac:dyDescent="0.3">
      <c r="A62" s="305" t="s">
        <v>92</v>
      </c>
      <c r="B62" s="306"/>
      <c r="C62" s="390"/>
      <c r="D62" s="398" t="s">
        <v>93</v>
      </c>
      <c r="E62" s="399">
        <f>+ROUND(125*SUM(E55:E59)/1000,2)</f>
        <v>712.88</v>
      </c>
      <c r="F62" s="392" t="s">
        <v>58</v>
      </c>
      <c r="G62" s="311"/>
      <c r="H62" s="312">
        <f t="shared" ref="H62" si="7">E62*G62</f>
        <v>0</v>
      </c>
      <c r="I62" s="313"/>
      <c r="J62" s="307"/>
      <c r="K62" s="24"/>
      <c r="L62" s="19"/>
      <c r="M62" s="20"/>
      <c r="N62" s="14"/>
      <c r="O62" s="15"/>
      <c r="P62" s="22"/>
    </row>
    <row r="63" spans="1:300" s="5" customFormat="1" x14ac:dyDescent="0.3">
      <c r="A63" s="305"/>
      <c r="B63" s="306"/>
      <c r="C63" s="390"/>
      <c r="D63" s="308"/>
      <c r="E63" s="393"/>
      <c r="F63" s="392"/>
      <c r="G63" s="311"/>
      <c r="H63" s="312"/>
      <c r="I63" s="313"/>
      <c r="J63" s="307"/>
      <c r="K63" s="21"/>
      <c r="L63" s="19"/>
      <c r="M63" s="20"/>
      <c r="N63" s="14"/>
      <c r="O63" s="15"/>
      <c r="P63" s="22"/>
    </row>
    <row r="64" spans="1:300" s="5" customFormat="1" x14ac:dyDescent="0.3">
      <c r="A64" s="305" t="s">
        <v>94</v>
      </c>
      <c r="B64" s="306"/>
      <c r="C64" s="390"/>
      <c r="D64" s="308" t="s">
        <v>70</v>
      </c>
      <c r="E64" s="393"/>
      <c r="F64" s="392"/>
      <c r="G64" s="311"/>
      <c r="H64" s="312"/>
      <c r="I64" s="313"/>
      <c r="J64" s="307"/>
      <c r="K64" s="21"/>
      <c r="L64" s="19"/>
      <c r="M64" s="20"/>
      <c r="N64" s="14"/>
      <c r="O64" s="15"/>
      <c r="P64" s="22"/>
    </row>
    <row r="65" spans="1:16" s="5" customFormat="1" x14ac:dyDescent="0.3">
      <c r="A65" s="305" t="s">
        <v>95</v>
      </c>
      <c r="B65" s="306"/>
      <c r="C65" s="390"/>
      <c r="D65" s="398" t="s">
        <v>96</v>
      </c>
      <c r="E65" s="391">
        <v>22943</v>
      </c>
      <c r="F65" s="392" t="s">
        <v>21</v>
      </c>
      <c r="G65" s="311"/>
      <c r="H65" s="312">
        <f t="shared" ref="H65" si="8">E65*G65</f>
        <v>0</v>
      </c>
      <c r="I65" s="313"/>
      <c r="J65" s="307"/>
      <c r="K65" s="21"/>
      <c r="L65" s="19"/>
      <c r="M65" s="20"/>
      <c r="N65" s="14"/>
      <c r="O65" s="15"/>
      <c r="P65" s="22"/>
    </row>
    <row r="66" spans="1:16" s="5" customFormat="1" x14ac:dyDescent="0.3">
      <c r="A66" s="305"/>
      <c r="B66" s="306"/>
      <c r="C66" s="390"/>
      <c r="D66" s="308"/>
      <c r="E66" s="393"/>
      <c r="F66" s="392"/>
      <c r="G66" s="311"/>
      <c r="H66" s="312"/>
      <c r="I66" s="313"/>
      <c r="J66" s="307"/>
      <c r="K66" s="21"/>
      <c r="L66" s="19"/>
      <c r="M66" s="20"/>
      <c r="N66" s="14"/>
      <c r="O66" s="15"/>
      <c r="P66" s="22"/>
    </row>
    <row r="67" spans="1:16" s="5" customFormat="1" x14ac:dyDescent="0.3">
      <c r="A67" s="305"/>
      <c r="B67" s="306"/>
      <c r="C67" s="390"/>
      <c r="D67" s="398" t="s">
        <v>97</v>
      </c>
      <c r="E67" s="391"/>
      <c r="F67" s="392"/>
      <c r="G67" s="311"/>
      <c r="H67" s="312"/>
      <c r="I67" s="313"/>
      <c r="J67" s="307"/>
      <c r="K67" s="18"/>
      <c r="L67" s="19"/>
      <c r="M67" s="20"/>
      <c r="N67" s="14"/>
      <c r="O67" s="15"/>
      <c r="P67" s="22"/>
    </row>
    <row r="68" spans="1:16" s="5" customFormat="1" x14ac:dyDescent="0.3">
      <c r="A68" s="305" t="s">
        <v>98</v>
      </c>
      <c r="B68" s="306"/>
      <c r="C68" s="390"/>
      <c r="D68" s="308" t="s">
        <v>99</v>
      </c>
      <c r="E68" s="393">
        <v>1</v>
      </c>
      <c r="F68" s="392" t="s">
        <v>100</v>
      </c>
      <c r="G68" s="311"/>
      <c r="H68" s="312">
        <f t="shared" ref="H68:H69" si="9">E68*G68</f>
        <v>0</v>
      </c>
      <c r="I68" s="313"/>
      <c r="J68" s="307"/>
      <c r="K68" s="21"/>
      <c r="L68" s="19"/>
      <c r="M68" s="20"/>
      <c r="N68" s="14"/>
      <c r="O68" s="15"/>
      <c r="P68" s="22"/>
    </row>
    <row r="69" spans="1:16" s="5" customFormat="1" x14ac:dyDescent="0.3">
      <c r="A69" s="305" t="s">
        <v>101</v>
      </c>
      <c r="B69" s="306"/>
      <c r="C69" s="390"/>
      <c r="D69" s="308" t="s">
        <v>102</v>
      </c>
      <c r="E69" s="393">
        <v>1</v>
      </c>
      <c r="F69" s="392" t="s">
        <v>100</v>
      </c>
      <c r="G69" s="311"/>
      <c r="H69" s="312">
        <f t="shared" si="9"/>
        <v>0</v>
      </c>
      <c r="I69" s="313"/>
      <c r="J69" s="307"/>
      <c r="K69" s="21"/>
      <c r="L69" s="19"/>
      <c r="M69" s="20"/>
      <c r="N69" s="14"/>
      <c r="O69" s="15"/>
      <c r="P69" s="22"/>
    </row>
    <row r="70" spans="1:16" s="5" customFormat="1" x14ac:dyDescent="0.3">
      <c r="A70" s="305"/>
      <c r="B70" s="306"/>
      <c r="C70" s="390"/>
      <c r="D70" s="308"/>
      <c r="E70" s="393"/>
      <c r="F70" s="392"/>
      <c r="G70" s="311"/>
      <c r="H70" s="312"/>
      <c r="I70" s="313"/>
      <c r="J70" s="307"/>
      <c r="K70" s="21"/>
      <c r="L70" s="19"/>
      <c r="M70" s="20"/>
      <c r="N70" s="14"/>
      <c r="O70" s="15"/>
      <c r="P70" s="22"/>
    </row>
    <row r="71" spans="1:16" s="5" customFormat="1" x14ac:dyDescent="0.3">
      <c r="A71" s="305"/>
      <c r="B71" s="306"/>
      <c r="C71" s="390" t="s">
        <v>103</v>
      </c>
      <c r="D71" s="400"/>
      <c r="E71" s="393"/>
      <c r="F71" s="392"/>
      <c r="G71" s="311"/>
      <c r="H71" s="312"/>
      <c r="I71" s="313"/>
      <c r="J71" s="307"/>
      <c r="K71" s="21"/>
      <c r="L71" s="19"/>
      <c r="M71" s="20"/>
      <c r="N71" s="14"/>
      <c r="O71" s="15"/>
      <c r="P71" s="22"/>
    </row>
    <row r="72" spans="1:16" s="5" customFormat="1" x14ac:dyDescent="0.3">
      <c r="A72" s="305" t="s">
        <v>104</v>
      </c>
      <c r="B72" s="306"/>
      <c r="C72" s="390"/>
      <c r="D72" s="398" t="s">
        <v>105</v>
      </c>
      <c r="E72" s="391">
        <v>24835</v>
      </c>
      <c r="F72" s="392" t="s">
        <v>21</v>
      </c>
      <c r="G72" s="311"/>
      <c r="H72" s="312">
        <f t="shared" ref="H72:H76" si="10">E72*G72</f>
        <v>0</v>
      </c>
      <c r="I72" s="313"/>
      <c r="J72" s="307"/>
      <c r="K72" s="21"/>
      <c r="L72" s="19"/>
      <c r="M72" s="20"/>
      <c r="N72" s="14"/>
      <c r="O72" s="15"/>
      <c r="P72" s="22"/>
    </row>
    <row r="73" spans="1:16" s="5" customFormat="1" ht="27.6" x14ac:dyDescent="0.3">
      <c r="A73" s="305" t="s">
        <v>106</v>
      </c>
      <c r="B73" s="306"/>
      <c r="C73" s="390"/>
      <c r="D73" s="398" t="s">
        <v>107</v>
      </c>
      <c r="E73" s="391">
        <v>5630</v>
      </c>
      <c r="F73" s="392" t="s">
        <v>21</v>
      </c>
      <c r="G73" s="311"/>
      <c r="H73" s="312">
        <f t="shared" si="10"/>
        <v>0</v>
      </c>
      <c r="I73" s="313"/>
      <c r="J73" s="307"/>
      <c r="K73" s="18"/>
      <c r="L73" s="19"/>
      <c r="M73" s="20"/>
      <c r="N73" s="14"/>
      <c r="O73" s="15"/>
      <c r="P73" s="22"/>
    </row>
    <row r="74" spans="1:16" s="5" customFormat="1" x14ac:dyDescent="0.3">
      <c r="A74" s="305" t="s">
        <v>108</v>
      </c>
      <c r="B74" s="306"/>
      <c r="C74" s="390"/>
      <c r="D74" s="398" t="s">
        <v>109</v>
      </c>
      <c r="E74" s="393">
        <v>11471</v>
      </c>
      <c r="F74" s="392" t="s">
        <v>21</v>
      </c>
      <c r="G74" s="311"/>
      <c r="H74" s="312">
        <f t="shared" si="10"/>
        <v>0</v>
      </c>
      <c r="I74" s="313"/>
      <c r="J74" s="307"/>
      <c r="K74" s="21"/>
      <c r="L74" s="19"/>
      <c r="M74" s="20"/>
      <c r="N74" s="14"/>
      <c r="O74" s="15"/>
      <c r="P74" s="22"/>
    </row>
    <row r="75" spans="1:16" s="5" customFormat="1" x14ac:dyDescent="0.3">
      <c r="A75" s="305" t="s">
        <v>110</v>
      </c>
      <c r="B75" s="306"/>
      <c r="C75" s="390"/>
      <c r="D75" s="398" t="s">
        <v>111</v>
      </c>
      <c r="E75" s="391">
        <v>24835</v>
      </c>
      <c r="F75" s="392" t="s">
        <v>21</v>
      </c>
      <c r="G75" s="311"/>
      <c r="H75" s="312">
        <f t="shared" si="10"/>
        <v>0</v>
      </c>
      <c r="I75" s="313"/>
      <c r="J75" s="307"/>
      <c r="K75" s="21"/>
      <c r="L75" s="19"/>
      <c r="M75" s="20"/>
      <c r="N75" s="14"/>
      <c r="O75" s="15"/>
      <c r="P75" s="22"/>
    </row>
    <row r="76" spans="1:16" s="5" customFormat="1" x14ac:dyDescent="0.3">
      <c r="A76" s="305" t="s">
        <v>112</v>
      </c>
      <c r="B76" s="306"/>
      <c r="C76" s="390"/>
      <c r="D76" s="308" t="s">
        <v>113</v>
      </c>
      <c r="E76" s="391">
        <v>5630</v>
      </c>
      <c r="F76" s="392" t="s">
        <v>21</v>
      </c>
      <c r="G76" s="311"/>
      <c r="H76" s="312">
        <f t="shared" si="10"/>
        <v>0</v>
      </c>
      <c r="I76" s="313"/>
      <c r="J76" s="307"/>
      <c r="K76" s="21"/>
      <c r="L76" s="19"/>
      <c r="M76" s="20"/>
      <c r="N76" s="14"/>
      <c r="O76" s="15"/>
      <c r="P76" s="22"/>
    </row>
    <row r="77" spans="1:16" s="5" customFormat="1" x14ac:dyDescent="0.3">
      <c r="A77" s="305"/>
      <c r="B77" s="306"/>
      <c r="C77" s="390"/>
      <c r="D77" s="308"/>
      <c r="E77" s="393"/>
      <c r="F77" s="392"/>
      <c r="G77" s="311"/>
      <c r="H77" s="312"/>
      <c r="I77" s="313"/>
      <c r="J77" s="307"/>
      <c r="K77" s="21"/>
      <c r="L77" s="19"/>
      <c r="M77" s="20"/>
      <c r="N77" s="14"/>
      <c r="O77" s="15"/>
      <c r="P77" s="22"/>
    </row>
    <row r="78" spans="1:16" s="5" customFormat="1" x14ac:dyDescent="0.3">
      <c r="A78" s="305"/>
      <c r="B78" s="306"/>
      <c r="C78" s="390"/>
      <c r="D78" s="308" t="s">
        <v>114</v>
      </c>
      <c r="E78" s="393"/>
      <c r="F78" s="392"/>
      <c r="G78" s="311"/>
      <c r="H78" s="312"/>
      <c r="I78" s="313"/>
      <c r="J78" s="307"/>
      <c r="K78" s="21"/>
      <c r="L78" s="19"/>
      <c r="M78" s="20"/>
      <c r="N78" s="14"/>
      <c r="O78" s="15"/>
      <c r="P78" s="22"/>
    </row>
    <row r="79" spans="1:16" s="5" customFormat="1" x14ac:dyDescent="0.3">
      <c r="A79" s="401" t="s">
        <v>115</v>
      </c>
      <c r="B79" s="402"/>
      <c r="C79" s="403"/>
      <c r="D79" s="404" t="s">
        <v>116</v>
      </c>
      <c r="E79" s="405">
        <v>1</v>
      </c>
      <c r="F79" s="406" t="s">
        <v>100</v>
      </c>
      <c r="G79" s="407"/>
      <c r="H79" s="408">
        <f t="shared" ref="H79" si="11">E79*G79</f>
        <v>0</v>
      </c>
      <c r="I79" s="409"/>
      <c r="J79" s="307"/>
      <c r="K79" s="26"/>
      <c r="L79" s="27"/>
      <c r="M79" s="28"/>
      <c r="N79" s="29"/>
      <c r="O79" s="15"/>
      <c r="P79" s="22"/>
    </row>
    <row r="80" spans="1:16" s="5" customFormat="1" ht="9.75" customHeight="1" x14ac:dyDescent="0.3">
      <c r="A80" s="319"/>
      <c r="B80" s="306"/>
      <c r="C80" s="307"/>
      <c r="D80" s="308"/>
      <c r="E80" s="309"/>
      <c r="F80" s="310"/>
      <c r="G80" s="311"/>
      <c r="H80" s="312"/>
      <c r="I80" s="313"/>
      <c r="J80" s="307"/>
      <c r="K80" s="16"/>
      <c r="L80" s="17"/>
      <c r="M80" s="20"/>
      <c r="N80" s="14"/>
      <c r="O80" s="15"/>
      <c r="P80" s="22"/>
    </row>
    <row r="81" spans="1:300" s="5" customFormat="1" ht="15" customHeight="1" x14ac:dyDescent="0.3">
      <c r="A81" s="382" t="s">
        <v>117</v>
      </c>
      <c r="B81" s="383" t="s">
        <v>118</v>
      </c>
      <c r="C81" s="384"/>
      <c r="D81" s="385"/>
      <c r="E81" s="309"/>
      <c r="F81" s="310"/>
      <c r="G81" s="311"/>
      <c r="H81" s="312"/>
      <c r="I81" s="313"/>
      <c r="J81" s="307"/>
      <c r="K81" s="16"/>
      <c r="L81" s="17"/>
      <c r="M81" s="20"/>
      <c r="N81" s="14"/>
      <c r="O81" s="15"/>
      <c r="P81" s="22"/>
    </row>
    <row r="82" spans="1:300" s="5" customFormat="1" ht="9.75" customHeight="1" x14ac:dyDescent="0.3">
      <c r="A82" s="319"/>
      <c r="B82" s="306"/>
      <c r="C82" s="307"/>
      <c r="D82" s="308"/>
      <c r="E82" s="309"/>
      <c r="F82" s="310"/>
      <c r="G82" s="311"/>
      <c r="H82" s="312"/>
      <c r="I82" s="313"/>
      <c r="J82" s="307"/>
      <c r="K82" s="16"/>
      <c r="L82" s="17"/>
      <c r="M82" s="20"/>
      <c r="N82" s="14"/>
      <c r="O82" s="15"/>
      <c r="P82" s="22"/>
    </row>
    <row r="83" spans="1:300" s="5" customFormat="1" ht="15" customHeight="1" x14ac:dyDescent="0.3">
      <c r="A83" s="305">
        <v>2.0099999999999998</v>
      </c>
      <c r="B83" s="306"/>
      <c r="C83" s="390" t="s">
        <v>119</v>
      </c>
      <c r="D83" s="400"/>
      <c r="E83" s="391"/>
      <c r="F83" s="410"/>
      <c r="G83" s="311"/>
      <c r="H83" s="312"/>
      <c r="I83" s="313"/>
      <c r="J83" s="307"/>
      <c r="K83" s="18"/>
      <c r="L83" s="30"/>
      <c r="M83" s="20"/>
      <c r="N83" s="14"/>
      <c r="O83" s="15"/>
      <c r="P83" s="22"/>
    </row>
    <row r="84" spans="1:300" s="5" customFormat="1" x14ac:dyDescent="0.3">
      <c r="A84" s="305"/>
      <c r="B84" s="306"/>
      <c r="C84" s="390"/>
      <c r="D84" s="308" t="s">
        <v>49</v>
      </c>
      <c r="E84" s="309"/>
      <c r="F84" s="310"/>
      <c r="G84" s="311"/>
      <c r="H84" s="312"/>
      <c r="I84" s="313"/>
      <c r="J84" s="307"/>
      <c r="K84" s="16"/>
      <c r="L84" s="17"/>
      <c r="M84" s="20"/>
      <c r="N84" s="14"/>
      <c r="O84" s="15"/>
      <c r="P84" s="22"/>
    </row>
    <row r="85" spans="1:300" s="5" customFormat="1" x14ac:dyDescent="0.3">
      <c r="A85" s="305" t="s">
        <v>19</v>
      </c>
      <c r="B85" s="306"/>
      <c r="C85" s="390"/>
      <c r="D85" s="308" t="s">
        <v>120</v>
      </c>
      <c r="E85" s="309">
        <v>3245</v>
      </c>
      <c r="F85" s="310" t="s">
        <v>27</v>
      </c>
      <c r="G85" s="311"/>
      <c r="H85" s="312">
        <f t="shared" ref="H85:H95" si="12">E85*G85</f>
        <v>0</v>
      </c>
      <c r="I85" s="313"/>
      <c r="J85" s="307"/>
      <c r="K85" s="16"/>
      <c r="L85" s="17"/>
      <c r="M85" s="20"/>
      <c r="N85" s="14"/>
      <c r="O85" s="15"/>
      <c r="P85" s="22"/>
    </row>
    <row r="86" spans="1:300" s="5" customFormat="1" x14ac:dyDescent="0.3">
      <c r="A86" s="305" t="s">
        <v>22</v>
      </c>
      <c r="B86" s="306"/>
      <c r="C86" s="390"/>
      <c r="D86" s="308" t="s">
        <v>121</v>
      </c>
      <c r="E86" s="309">
        <v>371</v>
      </c>
      <c r="F86" s="310" t="s">
        <v>27</v>
      </c>
      <c r="G86" s="311"/>
      <c r="H86" s="312">
        <f t="shared" si="12"/>
        <v>0</v>
      </c>
      <c r="I86" s="313"/>
      <c r="J86" s="307"/>
      <c r="K86" s="16"/>
      <c r="L86" s="17"/>
      <c r="M86" s="20"/>
      <c r="N86" s="14"/>
      <c r="O86" s="15"/>
      <c r="P86" s="22"/>
    </row>
    <row r="87" spans="1:300" s="23" customFormat="1" x14ac:dyDescent="0.3">
      <c r="A87" s="305" t="s">
        <v>25</v>
      </c>
      <c r="B87" s="306"/>
      <c r="C87" s="390"/>
      <c r="D87" s="308" t="s">
        <v>122</v>
      </c>
      <c r="E87" s="309">
        <v>317</v>
      </c>
      <c r="F87" s="310" t="s">
        <v>27</v>
      </c>
      <c r="G87" s="311"/>
      <c r="H87" s="312">
        <f t="shared" si="12"/>
        <v>0</v>
      </c>
      <c r="I87" s="313"/>
      <c r="J87" s="307"/>
      <c r="K87" s="16"/>
      <c r="L87" s="17"/>
      <c r="M87" s="20"/>
      <c r="N87" s="14"/>
      <c r="O87" s="15"/>
      <c r="P87" s="22"/>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c r="JW87" s="5"/>
      <c r="JX87" s="5"/>
      <c r="JY87" s="5"/>
      <c r="JZ87" s="5"/>
      <c r="KA87" s="5"/>
      <c r="KB87" s="5"/>
      <c r="KC87" s="5"/>
      <c r="KD87" s="5"/>
      <c r="KE87" s="5"/>
      <c r="KF87" s="5"/>
      <c r="KG87" s="5"/>
      <c r="KH87" s="5"/>
      <c r="KI87" s="5"/>
      <c r="KJ87" s="5"/>
      <c r="KK87" s="5"/>
      <c r="KL87" s="5"/>
      <c r="KM87" s="5"/>
      <c r="KN87" s="5"/>
    </row>
    <row r="88" spans="1:300" s="23" customFormat="1" x14ac:dyDescent="0.3">
      <c r="A88" s="305" t="s">
        <v>28</v>
      </c>
      <c r="B88" s="306"/>
      <c r="C88" s="390"/>
      <c r="D88" s="308" t="s">
        <v>123</v>
      </c>
      <c r="E88" s="309">
        <v>6</v>
      </c>
      <c r="F88" s="310" t="s">
        <v>27</v>
      </c>
      <c r="G88" s="311"/>
      <c r="H88" s="312">
        <f t="shared" si="12"/>
        <v>0</v>
      </c>
      <c r="I88" s="313"/>
      <c r="J88" s="307"/>
      <c r="K88" s="16"/>
      <c r="L88" s="17"/>
      <c r="M88" s="20"/>
      <c r="N88" s="14"/>
      <c r="O88" s="15"/>
      <c r="P88" s="22"/>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c r="KL88" s="5"/>
      <c r="KM88" s="5"/>
      <c r="KN88" s="5"/>
    </row>
    <row r="89" spans="1:300" s="23" customFormat="1" x14ac:dyDescent="0.3">
      <c r="A89" s="305" t="s">
        <v>30</v>
      </c>
      <c r="B89" s="306"/>
      <c r="C89" s="390"/>
      <c r="D89" s="308" t="s">
        <v>124</v>
      </c>
      <c r="E89" s="309">
        <v>334</v>
      </c>
      <c r="F89" s="310" t="s">
        <v>27</v>
      </c>
      <c r="G89" s="311"/>
      <c r="H89" s="312">
        <f t="shared" si="12"/>
        <v>0</v>
      </c>
      <c r="I89" s="313"/>
      <c r="J89" s="307"/>
      <c r="K89" s="16"/>
      <c r="L89" s="17"/>
      <c r="M89" s="20"/>
      <c r="N89" s="14"/>
      <c r="O89" s="15"/>
      <c r="P89" s="22"/>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row>
    <row r="90" spans="1:300" s="23" customFormat="1" x14ac:dyDescent="0.3">
      <c r="A90" s="305" t="s">
        <v>32</v>
      </c>
      <c r="B90" s="306"/>
      <c r="C90" s="390"/>
      <c r="D90" s="308" t="s">
        <v>125</v>
      </c>
      <c r="E90" s="309">
        <v>432</v>
      </c>
      <c r="F90" s="310" t="s">
        <v>27</v>
      </c>
      <c r="G90" s="311"/>
      <c r="H90" s="312">
        <f t="shared" si="12"/>
        <v>0</v>
      </c>
      <c r="I90" s="313"/>
      <c r="J90" s="307"/>
      <c r="K90" s="16"/>
      <c r="L90" s="17"/>
      <c r="M90" s="20"/>
      <c r="N90" s="14"/>
      <c r="O90" s="15"/>
      <c r="P90" s="22"/>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row>
    <row r="91" spans="1:300" s="5" customFormat="1" x14ac:dyDescent="0.3">
      <c r="A91" s="305" t="s">
        <v>34</v>
      </c>
      <c r="B91" s="306"/>
      <c r="C91" s="390"/>
      <c r="D91" s="308" t="s">
        <v>126</v>
      </c>
      <c r="E91" s="309">
        <v>100</v>
      </c>
      <c r="F91" s="310" t="s">
        <v>27</v>
      </c>
      <c r="G91" s="311"/>
      <c r="H91" s="312">
        <f t="shared" si="12"/>
        <v>0</v>
      </c>
      <c r="I91" s="313"/>
      <c r="J91" s="307"/>
      <c r="K91" s="16"/>
      <c r="L91" s="17"/>
      <c r="M91" s="20"/>
      <c r="N91" s="14"/>
      <c r="O91" s="15"/>
      <c r="P91" s="22"/>
    </row>
    <row r="92" spans="1:300" s="5" customFormat="1" x14ac:dyDescent="0.3">
      <c r="A92" s="305" t="s">
        <v>36</v>
      </c>
      <c r="B92" s="306"/>
      <c r="C92" s="390"/>
      <c r="D92" s="308" t="s">
        <v>127</v>
      </c>
      <c r="E92" s="309">
        <v>484</v>
      </c>
      <c r="F92" s="310" t="s">
        <v>27</v>
      </c>
      <c r="G92" s="311"/>
      <c r="H92" s="312">
        <f t="shared" si="12"/>
        <v>0</v>
      </c>
      <c r="I92" s="313"/>
      <c r="J92" s="307"/>
      <c r="K92" s="16"/>
      <c r="L92" s="17"/>
      <c r="M92" s="20"/>
      <c r="N92" s="14"/>
      <c r="O92" s="15"/>
      <c r="P92" s="22"/>
    </row>
    <row r="93" spans="1:300" s="5" customFormat="1" x14ac:dyDescent="0.3">
      <c r="A93" s="305" t="s">
        <v>39</v>
      </c>
      <c r="B93" s="306"/>
      <c r="C93" s="390"/>
      <c r="D93" s="308" t="s">
        <v>128</v>
      </c>
      <c r="E93" s="309">
        <v>185</v>
      </c>
      <c r="F93" s="310" t="s">
        <v>27</v>
      </c>
      <c r="G93" s="311"/>
      <c r="H93" s="312">
        <f t="shared" si="12"/>
        <v>0</v>
      </c>
      <c r="I93" s="313"/>
      <c r="J93" s="307"/>
      <c r="K93" s="16"/>
      <c r="L93" s="17"/>
      <c r="M93" s="20"/>
      <c r="N93" s="14"/>
      <c r="O93" s="15"/>
      <c r="P93" s="22"/>
    </row>
    <row r="94" spans="1:300" s="5" customFormat="1" x14ac:dyDescent="0.3">
      <c r="A94" s="305" t="s">
        <v>42</v>
      </c>
      <c r="B94" s="306"/>
      <c r="C94" s="390"/>
      <c r="D94" s="308" t="s">
        <v>129</v>
      </c>
      <c r="E94" s="309">
        <v>303</v>
      </c>
      <c r="F94" s="310" t="s">
        <v>27</v>
      </c>
      <c r="G94" s="311"/>
      <c r="H94" s="312">
        <f t="shared" si="12"/>
        <v>0</v>
      </c>
      <c r="I94" s="313"/>
      <c r="J94" s="307"/>
      <c r="K94" s="16"/>
      <c r="L94" s="17"/>
      <c r="M94" s="20"/>
      <c r="N94" s="14"/>
      <c r="O94" s="15"/>
      <c r="P94" s="22"/>
    </row>
    <row r="95" spans="1:300" s="5" customFormat="1" x14ac:dyDescent="0.3">
      <c r="A95" s="305" t="s">
        <v>44</v>
      </c>
      <c r="B95" s="306"/>
      <c r="C95" s="390"/>
      <c r="D95" s="308" t="s">
        <v>130</v>
      </c>
      <c r="E95" s="309">
        <v>37</v>
      </c>
      <c r="F95" s="310" t="s">
        <v>27</v>
      </c>
      <c r="G95" s="311"/>
      <c r="H95" s="312">
        <f t="shared" si="12"/>
        <v>0</v>
      </c>
      <c r="I95" s="313"/>
      <c r="J95" s="307"/>
      <c r="K95" s="16"/>
      <c r="L95" s="17"/>
      <c r="M95" s="20"/>
      <c r="N95" s="14"/>
      <c r="O95" s="15"/>
      <c r="P95" s="22"/>
    </row>
    <row r="96" spans="1:300" s="5" customFormat="1" x14ac:dyDescent="0.3">
      <c r="A96" s="305"/>
      <c r="B96" s="306"/>
      <c r="C96" s="390"/>
      <c r="D96" s="308"/>
      <c r="E96" s="309"/>
      <c r="F96" s="310"/>
      <c r="G96" s="311"/>
      <c r="H96" s="312"/>
      <c r="I96" s="313"/>
      <c r="J96" s="307"/>
      <c r="K96" s="16"/>
      <c r="L96" s="17"/>
      <c r="M96" s="20"/>
      <c r="N96" s="14"/>
      <c r="O96" s="15"/>
      <c r="P96" s="22"/>
    </row>
    <row r="97" spans="1:16" s="5" customFormat="1" x14ac:dyDescent="0.3">
      <c r="A97" s="305"/>
      <c r="B97" s="306"/>
      <c r="C97" s="390"/>
      <c r="D97" s="308" t="s">
        <v>61</v>
      </c>
      <c r="E97" s="391"/>
      <c r="F97" s="392"/>
      <c r="G97" s="311"/>
      <c r="H97" s="312"/>
      <c r="I97" s="313"/>
      <c r="J97" s="307"/>
      <c r="K97" s="18"/>
      <c r="L97" s="19"/>
      <c r="M97" s="20"/>
      <c r="N97" s="14"/>
      <c r="O97" s="15"/>
      <c r="P97" s="22"/>
    </row>
    <row r="98" spans="1:16" s="5" customFormat="1" x14ac:dyDescent="0.3">
      <c r="A98" s="305" t="s">
        <v>46</v>
      </c>
      <c r="B98" s="306"/>
      <c r="C98" s="390"/>
      <c r="D98" s="308" t="s">
        <v>131</v>
      </c>
      <c r="E98" s="311">
        <f>+ROUND(200*E85/1000,2)</f>
        <v>649</v>
      </c>
      <c r="F98" s="392" t="s">
        <v>58</v>
      </c>
      <c r="G98" s="311"/>
      <c r="H98" s="312">
        <f t="shared" ref="H98:H104" si="13">E98*G98</f>
        <v>0</v>
      </c>
      <c r="I98" s="313"/>
      <c r="J98" s="307"/>
      <c r="K98" s="20"/>
      <c r="L98" s="19"/>
      <c r="M98" s="20"/>
      <c r="N98" s="14"/>
      <c r="O98" s="15"/>
      <c r="P98" s="22"/>
    </row>
    <row r="99" spans="1:16" s="5" customFormat="1" x14ac:dyDescent="0.3">
      <c r="A99" s="305" t="s">
        <v>48</v>
      </c>
      <c r="B99" s="306"/>
      <c r="C99" s="390"/>
      <c r="D99" s="398" t="s">
        <v>132</v>
      </c>
      <c r="E99" s="311">
        <f>+ROUND(90*SUM(E86:E90)/1000,2)</f>
        <v>131.4</v>
      </c>
      <c r="F99" s="392" t="s">
        <v>58</v>
      </c>
      <c r="G99" s="311"/>
      <c r="H99" s="312">
        <f t="shared" si="13"/>
        <v>0</v>
      </c>
      <c r="I99" s="313"/>
      <c r="J99" s="307"/>
      <c r="K99" s="20"/>
      <c r="L99" s="19"/>
      <c r="M99" s="20"/>
      <c r="N99" s="14"/>
      <c r="O99" s="15"/>
      <c r="P99" s="22"/>
    </row>
    <row r="100" spans="1:16" s="5" customFormat="1" x14ac:dyDescent="0.3">
      <c r="A100" s="305" t="s">
        <v>50</v>
      </c>
      <c r="B100" s="306"/>
      <c r="C100" s="390"/>
      <c r="D100" s="398" t="s">
        <v>133</v>
      </c>
      <c r="E100" s="311">
        <f>+ROUND(140*E91/1000,2)</f>
        <v>14</v>
      </c>
      <c r="F100" s="392" t="s">
        <v>58</v>
      </c>
      <c r="G100" s="311"/>
      <c r="H100" s="312">
        <f t="shared" si="13"/>
        <v>0</v>
      </c>
      <c r="I100" s="313"/>
      <c r="J100" s="307"/>
      <c r="K100" s="20"/>
      <c r="L100" s="19"/>
      <c r="M100" s="20"/>
      <c r="N100" s="14"/>
      <c r="O100" s="15"/>
      <c r="P100" s="22"/>
    </row>
    <row r="101" spans="1:16" s="5" customFormat="1" x14ac:dyDescent="0.3">
      <c r="A101" s="305" t="s">
        <v>52</v>
      </c>
      <c r="B101" s="306"/>
      <c r="C101" s="390"/>
      <c r="D101" s="398" t="s">
        <v>134</v>
      </c>
      <c r="E101" s="311">
        <f>+ROUND(250*E92/1000,2)</f>
        <v>121</v>
      </c>
      <c r="F101" s="392" t="s">
        <v>58</v>
      </c>
      <c r="G101" s="311"/>
      <c r="H101" s="312">
        <f t="shared" si="13"/>
        <v>0</v>
      </c>
      <c r="I101" s="313"/>
      <c r="J101" s="307"/>
      <c r="K101" s="20"/>
      <c r="L101" s="19"/>
      <c r="M101" s="20"/>
      <c r="N101" s="14"/>
      <c r="O101" s="15"/>
      <c r="P101" s="22"/>
    </row>
    <row r="102" spans="1:16" s="5" customFormat="1" x14ac:dyDescent="0.3">
      <c r="A102" s="305" t="s">
        <v>54</v>
      </c>
      <c r="B102" s="306"/>
      <c r="C102" s="390"/>
      <c r="D102" s="308" t="s">
        <v>135</v>
      </c>
      <c r="E102" s="311">
        <f>+ROUND(250*E93/1000,2)</f>
        <v>46.25</v>
      </c>
      <c r="F102" s="392" t="s">
        <v>58</v>
      </c>
      <c r="G102" s="311"/>
      <c r="H102" s="312">
        <f t="shared" si="13"/>
        <v>0</v>
      </c>
      <c r="I102" s="313"/>
      <c r="J102" s="307"/>
      <c r="K102" s="20"/>
      <c r="L102" s="19"/>
      <c r="M102" s="20"/>
      <c r="N102" s="14"/>
      <c r="O102" s="15"/>
      <c r="P102" s="22"/>
    </row>
    <row r="103" spans="1:16" s="5" customFormat="1" x14ac:dyDescent="0.3">
      <c r="A103" s="305" t="s">
        <v>56</v>
      </c>
      <c r="B103" s="306"/>
      <c r="C103" s="390"/>
      <c r="D103" s="308" t="s">
        <v>136</v>
      </c>
      <c r="E103" s="411">
        <f>+ROUND(150*E94/1000,2)</f>
        <v>45.45</v>
      </c>
      <c r="F103" s="392" t="s">
        <v>58</v>
      </c>
      <c r="G103" s="311"/>
      <c r="H103" s="312">
        <f t="shared" si="13"/>
        <v>0</v>
      </c>
      <c r="I103" s="313"/>
      <c r="J103" s="307"/>
      <c r="K103" s="20"/>
      <c r="L103" s="19"/>
      <c r="M103" s="20"/>
      <c r="N103" s="14"/>
      <c r="O103" s="15"/>
      <c r="P103" s="22"/>
    </row>
    <row r="104" spans="1:16" s="5" customFormat="1" x14ac:dyDescent="0.3">
      <c r="A104" s="305" t="s">
        <v>58</v>
      </c>
      <c r="B104" s="306"/>
      <c r="C104" s="390"/>
      <c r="D104" s="308" t="s">
        <v>137</v>
      </c>
      <c r="E104" s="411">
        <f>+ROUND(150*E95/1000,2)</f>
        <v>5.55</v>
      </c>
      <c r="F104" s="392" t="s">
        <v>58</v>
      </c>
      <c r="G104" s="311"/>
      <c r="H104" s="312">
        <f t="shared" si="13"/>
        <v>0</v>
      </c>
      <c r="I104" s="313"/>
      <c r="J104" s="307"/>
      <c r="K104" s="20"/>
      <c r="L104" s="19"/>
      <c r="M104" s="20"/>
      <c r="N104" s="14"/>
      <c r="O104" s="15"/>
      <c r="P104" s="22"/>
    </row>
    <row r="105" spans="1:16" s="5" customFormat="1" x14ac:dyDescent="0.3">
      <c r="A105" s="305"/>
      <c r="B105" s="306"/>
      <c r="C105" s="390"/>
      <c r="D105" s="308"/>
      <c r="E105" s="391"/>
      <c r="F105" s="392"/>
      <c r="G105" s="311"/>
      <c r="H105" s="312"/>
      <c r="I105" s="313"/>
      <c r="J105" s="307"/>
      <c r="K105" s="18"/>
      <c r="L105" s="19"/>
      <c r="M105" s="20"/>
      <c r="N105" s="14"/>
      <c r="O105" s="15"/>
      <c r="P105" s="22"/>
    </row>
    <row r="106" spans="1:16" s="5" customFormat="1" x14ac:dyDescent="0.3">
      <c r="A106" s="305"/>
      <c r="B106" s="306"/>
      <c r="C106" s="390"/>
      <c r="D106" s="308" t="s">
        <v>70</v>
      </c>
      <c r="E106" s="309"/>
      <c r="F106" s="310"/>
      <c r="G106" s="311"/>
      <c r="H106" s="312"/>
      <c r="I106" s="313"/>
      <c r="J106" s="307"/>
      <c r="K106" s="16"/>
      <c r="L106" s="17"/>
      <c r="M106" s="20"/>
      <c r="N106" s="14"/>
      <c r="O106" s="15"/>
      <c r="P106" s="22"/>
    </row>
    <row r="107" spans="1:16" s="5" customFormat="1" x14ac:dyDescent="0.3">
      <c r="A107" s="305" t="s">
        <v>60</v>
      </c>
      <c r="B107" s="306"/>
      <c r="C107" s="390"/>
      <c r="D107" s="308" t="s">
        <v>138</v>
      </c>
      <c r="E107" s="309">
        <v>18089</v>
      </c>
      <c r="F107" s="310" t="s">
        <v>21</v>
      </c>
      <c r="G107" s="311"/>
      <c r="H107" s="312">
        <f t="shared" ref="H107:H113" si="14">E107*G107</f>
        <v>0</v>
      </c>
      <c r="I107" s="313"/>
      <c r="J107" s="307"/>
      <c r="K107" s="16"/>
      <c r="L107" s="17"/>
      <c r="M107" s="20"/>
      <c r="N107" s="14"/>
      <c r="O107" s="15"/>
      <c r="P107" s="22"/>
    </row>
    <row r="108" spans="1:16" s="5" customFormat="1" x14ac:dyDescent="0.3">
      <c r="A108" s="305" t="s">
        <v>62</v>
      </c>
      <c r="B108" s="306"/>
      <c r="C108" s="390"/>
      <c r="D108" s="308" t="s">
        <v>139</v>
      </c>
      <c r="E108" s="309">
        <v>6867</v>
      </c>
      <c r="F108" s="310" t="s">
        <v>21</v>
      </c>
      <c r="G108" s="311"/>
      <c r="H108" s="312">
        <f t="shared" si="14"/>
        <v>0</v>
      </c>
      <c r="I108" s="313"/>
      <c r="J108" s="307"/>
      <c r="K108" s="16"/>
      <c r="L108" s="17"/>
      <c r="M108" s="20"/>
      <c r="N108" s="14"/>
      <c r="O108" s="15"/>
      <c r="P108" s="22"/>
    </row>
    <row r="109" spans="1:16" s="5" customFormat="1" x14ac:dyDescent="0.3">
      <c r="A109" s="305" t="s">
        <v>64</v>
      </c>
      <c r="B109" s="306"/>
      <c r="C109" s="390"/>
      <c r="D109" s="308" t="s">
        <v>140</v>
      </c>
      <c r="E109" s="309">
        <v>342</v>
      </c>
      <c r="F109" s="310" t="s">
        <v>21</v>
      </c>
      <c r="G109" s="311"/>
      <c r="H109" s="312">
        <f t="shared" si="14"/>
        <v>0</v>
      </c>
      <c r="I109" s="313"/>
      <c r="J109" s="307"/>
      <c r="K109" s="16"/>
      <c r="L109" s="17"/>
      <c r="M109" s="20"/>
      <c r="N109" s="14"/>
      <c r="O109" s="15"/>
      <c r="P109" s="22"/>
    </row>
    <row r="110" spans="1:16" s="5" customFormat="1" x14ac:dyDescent="0.3">
      <c r="A110" s="305" t="s">
        <v>71</v>
      </c>
      <c r="B110" s="306"/>
      <c r="C110" s="390"/>
      <c r="D110" s="308" t="s">
        <v>141</v>
      </c>
      <c r="E110" s="309">
        <v>5443</v>
      </c>
      <c r="F110" s="310" t="s">
        <v>21</v>
      </c>
      <c r="G110" s="311"/>
      <c r="H110" s="312">
        <f t="shared" si="14"/>
        <v>0</v>
      </c>
      <c r="I110" s="313"/>
      <c r="J110" s="307"/>
      <c r="K110" s="16"/>
      <c r="L110" s="17"/>
      <c r="M110" s="20"/>
      <c r="N110" s="14"/>
      <c r="O110" s="15"/>
      <c r="P110" s="22"/>
    </row>
    <row r="111" spans="1:16" s="5" customFormat="1" x14ac:dyDescent="0.3">
      <c r="A111" s="305" t="s">
        <v>68</v>
      </c>
      <c r="B111" s="306"/>
      <c r="C111" s="390"/>
      <c r="D111" s="308" t="s">
        <v>142</v>
      </c>
      <c r="E111" s="309">
        <v>949</v>
      </c>
      <c r="F111" s="310" t="s">
        <v>21</v>
      </c>
      <c r="G111" s="311"/>
      <c r="H111" s="312">
        <f t="shared" si="14"/>
        <v>0</v>
      </c>
      <c r="I111" s="313"/>
      <c r="J111" s="307"/>
      <c r="K111" s="16"/>
      <c r="L111" s="17"/>
      <c r="M111" s="20"/>
      <c r="N111" s="14"/>
      <c r="O111" s="15"/>
      <c r="P111" s="22"/>
    </row>
    <row r="112" spans="1:16" s="5" customFormat="1" x14ac:dyDescent="0.3">
      <c r="A112" s="305" t="s">
        <v>71</v>
      </c>
      <c r="B112" s="306"/>
      <c r="C112" s="390"/>
      <c r="D112" s="308" t="s">
        <v>143</v>
      </c>
      <c r="E112" s="309">
        <v>2017</v>
      </c>
      <c r="F112" s="310" t="s">
        <v>21</v>
      </c>
      <c r="G112" s="311"/>
      <c r="H112" s="312">
        <f t="shared" si="14"/>
        <v>0</v>
      </c>
      <c r="I112" s="313"/>
      <c r="J112" s="307"/>
      <c r="K112" s="16"/>
      <c r="L112" s="17"/>
      <c r="M112" s="20"/>
      <c r="N112" s="14"/>
      <c r="O112" s="15"/>
      <c r="P112" s="22"/>
    </row>
    <row r="113" spans="1:300" s="5" customFormat="1" x14ac:dyDescent="0.3">
      <c r="A113" s="305" t="s">
        <v>73</v>
      </c>
      <c r="B113" s="306"/>
      <c r="C113" s="390"/>
      <c r="D113" s="308" t="s">
        <v>144</v>
      </c>
      <c r="E113" s="309">
        <v>219</v>
      </c>
      <c r="F113" s="310" t="s">
        <v>21</v>
      </c>
      <c r="G113" s="311"/>
      <c r="H113" s="312">
        <f t="shared" si="14"/>
        <v>0</v>
      </c>
      <c r="I113" s="313"/>
      <c r="J113" s="307"/>
      <c r="K113" s="16"/>
      <c r="L113" s="17"/>
      <c r="M113" s="20"/>
      <c r="N113" s="14"/>
      <c r="O113" s="15"/>
      <c r="P113" s="22"/>
    </row>
    <row r="114" spans="1:300" s="5" customFormat="1" x14ac:dyDescent="0.3">
      <c r="A114" s="305"/>
      <c r="B114" s="306"/>
      <c r="C114" s="390"/>
      <c r="D114" s="308"/>
      <c r="E114" s="309"/>
      <c r="F114" s="310"/>
      <c r="G114" s="311"/>
      <c r="H114" s="312"/>
      <c r="I114" s="313"/>
      <c r="J114" s="307"/>
      <c r="K114" s="16"/>
      <c r="L114" s="17"/>
      <c r="M114" s="20"/>
      <c r="N114" s="14"/>
      <c r="O114" s="15"/>
      <c r="P114" s="22"/>
    </row>
    <row r="115" spans="1:300" s="5" customFormat="1" x14ac:dyDescent="0.3">
      <c r="A115" s="305"/>
      <c r="B115" s="306"/>
      <c r="C115" s="390"/>
      <c r="D115" s="308" t="s">
        <v>145</v>
      </c>
      <c r="E115" s="309"/>
      <c r="F115" s="310"/>
      <c r="G115" s="311"/>
      <c r="H115" s="312"/>
      <c r="I115" s="313"/>
      <c r="J115" s="307"/>
      <c r="K115" s="16"/>
      <c r="L115" s="17"/>
      <c r="M115" s="20"/>
      <c r="N115" s="14"/>
      <c r="O115" s="15"/>
      <c r="P115" s="22"/>
    </row>
    <row r="116" spans="1:300" s="5" customFormat="1" x14ac:dyDescent="0.3">
      <c r="A116" s="305" t="s">
        <v>75</v>
      </c>
      <c r="B116" s="306"/>
      <c r="C116" s="390"/>
      <c r="D116" s="308" t="s">
        <v>146</v>
      </c>
      <c r="E116" s="309">
        <v>10</v>
      </c>
      <c r="F116" s="310" t="s">
        <v>46</v>
      </c>
      <c r="G116" s="311"/>
      <c r="H116" s="312">
        <f t="shared" ref="H116:H135" si="15">E116*G116</f>
        <v>0</v>
      </c>
      <c r="I116" s="313"/>
      <c r="J116" s="307"/>
      <c r="K116" s="16"/>
      <c r="L116" s="17"/>
      <c r="M116" s="20"/>
      <c r="N116" s="14"/>
      <c r="O116" s="15"/>
      <c r="P116" s="22"/>
    </row>
    <row r="117" spans="1:300" s="23" customFormat="1" x14ac:dyDescent="0.3">
      <c r="A117" s="305" t="s">
        <v>77</v>
      </c>
      <c r="B117" s="306"/>
      <c r="C117" s="390"/>
      <c r="D117" s="308" t="s">
        <v>147</v>
      </c>
      <c r="E117" s="309">
        <v>335</v>
      </c>
      <c r="F117" s="310" t="s">
        <v>46</v>
      </c>
      <c r="G117" s="311"/>
      <c r="H117" s="312">
        <f t="shared" si="15"/>
        <v>0</v>
      </c>
      <c r="I117" s="313"/>
      <c r="J117" s="307"/>
      <c r="K117" s="16"/>
      <c r="L117" s="17"/>
      <c r="M117" s="20"/>
      <c r="N117" s="14"/>
      <c r="O117" s="15"/>
      <c r="P117" s="22"/>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c r="IW117" s="5"/>
      <c r="IX117" s="5"/>
      <c r="IY117" s="5"/>
      <c r="IZ117" s="5"/>
      <c r="JA117" s="5"/>
      <c r="JB117" s="5"/>
      <c r="JC117" s="5"/>
      <c r="JD117" s="5"/>
      <c r="JE117" s="5"/>
      <c r="JF117" s="5"/>
      <c r="JG117" s="5"/>
      <c r="JH117" s="5"/>
      <c r="JI117" s="5"/>
      <c r="JJ117" s="5"/>
      <c r="JK117" s="5"/>
      <c r="JL117" s="5"/>
      <c r="JM117" s="5"/>
      <c r="JN117" s="5"/>
      <c r="JO117" s="5"/>
      <c r="JP117" s="5"/>
      <c r="JQ117" s="5"/>
      <c r="JR117" s="5"/>
      <c r="JS117" s="5"/>
      <c r="JT117" s="5"/>
      <c r="JU117" s="5"/>
      <c r="JV117" s="5"/>
      <c r="JW117" s="5"/>
      <c r="JX117" s="5"/>
      <c r="JY117" s="5"/>
      <c r="JZ117" s="5"/>
      <c r="KA117" s="5"/>
      <c r="KB117" s="5"/>
      <c r="KC117" s="5"/>
      <c r="KD117" s="5"/>
      <c r="KE117" s="5"/>
      <c r="KF117" s="5"/>
      <c r="KG117" s="5"/>
      <c r="KH117" s="5"/>
      <c r="KI117" s="5"/>
      <c r="KJ117" s="5"/>
      <c r="KK117" s="5"/>
      <c r="KL117" s="5"/>
      <c r="KM117" s="5"/>
      <c r="KN117" s="5"/>
    </row>
    <row r="118" spans="1:300" s="23" customFormat="1" x14ac:dyDescent="0.3">
      <c r="A118" s="305" t="s">
        <v>80</v>
      </c>
      <c r="B118" s="306"/>
      <c r="C118" s="390"/>
      <c r="D118" s="308" t="s">
        <v>148</v>
      </c>
      <c r="E118" s="309">
        <v>141</v>
      </c>
      <c r="F118" s="310" t="s">
        <v>46</v>
      </c>
      <c r="G118" s="311"/>
      <c r="H118" s="312">
        <f t="shared" si="15"/>
        <v>0</v>
      </c>
      <c r="I118" s="313"/>
      <c r="J118" s="307"/>
      <c r="K118" s="16"/>
      <c r="L118" s="17"/>
      <c r="M118" s="20"/>
      <c r="N118" s="14"/>
      <c r="O118" s="15"/>
      <c r="P118" s="22"/>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c r="IW118" s="5"/>
      <c r="IX118" s="5"/>
      <c r="IY118" s="5"/>
      <c r="IZ118" s="5"/>
      <c r="JA118" s="5"/>
      <c r="JB118" s="5"/>
      <c r="JC118" s="5"/>
      <c r="JD118" s="5"/>
      <c r="JE118" s="5"/>
      <c r="JF118" s="5"/>
      <c r="JG118" s="5"/>
      <c r="JH118" s="5"/>
      <c r="JI118" s="5"/>
      <c r="JJ118" s="5"/>
      <c r="JK118" s="5"/>
      <c r="JL118" s="5"/>
      <c r="JM118" s="5"/>
      <c r="JN118" s="5"/>
      <c r="JO118" s="5"/>
      <c r="JP118" s="5"/>
      <c r="JQ118" s="5"/>
      <c r="JR118" s="5"/>
      <c r="JS118" s="5"/>
      <c r="JT118" s="5"/>
      <c r="JU118" s="5"/>
      <c r="JV118" s="5"/>
      <c r="JW118" s="5"/>
      <c r="JX118" s="5"/>
      <c r="JY118" s="5"/>
      <c r="JZ118" s="5"/>
      <c r="KA118" s="5"/>
      <c r="KB118" s="5"/>
      <c r="KC118" s="5"/>
      <c r="KD118" s="5"/>
      <c r="KE118" s="5"/>
      <c r="KF118" s="5"/>
      <c r="KG118" s="5"/>
      <c r="KH118" s="5"/>
      <c r="KI118" s="5"/>
      <c r="KJ118" s="5"/>
      <c r="KK118" s="5"/>
      <c r="KL118" s="5"/>
      <c r="KM118" s="5"/>
      <c r="KN118" s="5"/>
    </row>
    <row r="119" spans="1:300" s="23" customFormat="1" x14ac:dyDescent="0.3">
      <c r="A119" s="305" t="s">
        <v>81</v>
      </c>
      <c r="B119" s="306"/>
      <c r="C119" s="390"/>
      <c r="D119" s="308" t="s">
        <v>149</v>
      </c>
      <c r="E119" s="309">
        <v>40</v>
      </c>
      <c r="F119" s="310" t="s">
        <v>46</v>
      </c>
      <c r="G119" s="311"/>
      <c r="H119" s="312">
        <f t="shared" si="15"/>
        <v>0</v>
      </c>
      <c r="I119" s="313"/>
      <c r="J119" s="307"/>
      <c r="K119" s="16"/>
      <c r="L119" s="17"/>
      <c r="M119" s="20"/>
      <c r="N119" s="14"/>
      <c r="O119" s="15"/>
      <c r="P119" s="22"/>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c r="IW119" s="5"/>
      <c r="IX119" s="5"/>
      <c r="IY119" s="5"/>
      <c r="IZ119" s="5"/>
      <c r="JA119" s="5"/>
      <c r="JB119" s="5"/>
      <c r="JC119" s="5"/>
      <c r="JD119" s="5"/>
      <c r="JE119" s="5"/>
      <c r="JF119" s="5"/>
      <c r="JG119" s="5"/>
      <c r="JH119" s="5"/>
      <c r="JI119" s="5"/>
      <c r="JJ119" s="5"/>
      <c r="JK119" s="5"/>
      <c r="JL119" s="5"/>
      <c r="JM119" s="5"/>
      <c r="JN119" s="5"/>
      <c r="JO119" s="5"/>
      <c r="JP119" s="5"/>
      <c r="JQ119" s="5"/>
      <c r="JR119" s="5"/>
      <c r="JS119" s="5"/>
      <c r="JT119" s="5"/>
      <c r="JU119" s="5"/>
      <c r="JV119" s="5"/>
      <c r="JW119" s="5"/>
      <c r="JX119" s="5"/>
      <c r="JY119" s="5"/>
      <c r="JZ119" s="5"/>
      <c r="KA119" s="5"/>
      <c r="KB119" s="5"/>
      <c r="KC119" s="5"/>
      <c r="KD119" s="5"/>
      <c r="KE119" s="5"/>
      <c r="KF119" s="5"/>
      <c r="KG119" s="5"/>
      <c r="KH119" s="5"/>
      <c r="KI119" s="5"/>
      <c r="KJ119" s="5"/>
      <c r="KK119" s="5"/>
      <c r="KL119" s="5"/>
      <c r="KM119" s="5"/>
      <c r="KN119" s="5"/>
    </row>
    <row r="120" spans="1:300" s="5" customFormat="1" x14ac:dyDescent="0.3">
      <c r="A120" s="305" t="s">
        <v>83</v>
      </c>
      <c r="B120" s="306"/>
      <c r="C120" s="390"/>
      <c r="D120" s="308" t="s">
        <v>150</v>
      </c>
      <c r="E120" s="309">
        <v>750</v>
      </c>
      <c r="F120" s="310" t="s">
        <v>46</v>
      </c>
      <c r="G120" s="311"/>
      <c r="H120" s="312">
        <f t="shared" si="15"/>
        <v>0</v>
      </c>
      <c r="I120" s="313"/>
      <c r="J120" s="307"/>
      <c r="K120" s="16"/>
      <c r="L120" s="17"/>
      <c r="M120" s="20"/>
      <c r="N120" s="14"/>
      <c r="O120" s="15"/>
      <c r="P120" s="22"/>
    </row>
    <row r="121" spans="1:300" s="23" customFormat="1" x14ac:dyDescent="0.3">
      <c r="A121" s="305" t="s">
        <v>85</v>
      </c>
      <c r="B121" s="306"/>
      <c r="C121" s="390"/>
      <c r="D121" s="308" t="s">
        <v>151</v>
      </c>
      <c r="E121" s="309">
        <v>36</v>
      </c>
      <c r="F121" s="310" t="s">
        <v>46</v>
      </c>
      <c r="G121" s="311"/>
      <c r="H121" s="312">
        <f t="shared" si="15"/>
        <v>0</v>
      </c>
      <c r="I121" s="313"/>
      <c r="J121" s="307"/>
      <c r="K121" s="16"/>
      <c r="L121" s="17"/>
      <c r="M121" s="20"/>
      <c r="N121" s="14"/>
      <c r="O121" s="15"/>
      <c r="P121" s="22"/>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c r="IW121" s="5"/>
      <c r="IX121" s="5"/>
      <c r="IY121" s="5"/>
      <c r="IZ121" s="5"/>
      <c r="JA121" s="5"/>
      <c r="JB121" s="5"/>
      <c r="JC121" s="5"/>
      <c r="JD121" s="5"/>
      <c r="JE121" s="5"/>
      <c r="JF121" s="5"/>
      <c r="JG121" s="5"/>
      <c r="JH121" s="5"/>
      <c r="JI121" s="5"/>
      <c r="JJ121" s="5"/>
      <c r="JK121" s="5"/>
      <c r="JL121" s="5"/>
      <c r="JM121" s="5"/>
      <c r="JN121" s="5"/>
      <c r="JO121" s="5"/>
      <c r="JP121" s="5"/>
      <c r="JQ121" s="5"/>
      <c r="JR121" s="5"/>
      <c r="JS121" s="5"/>
      <c r="JT121" s="5"/>
      <c r="JU121" s="5"/>
      <c r="JV121" s="5"/>
      <c r="JW121" s="5"/>
      <c r="JX121" s="5"/>
      <c r="JY121" s="5"/>
      <c r="JZ121" s="5"/>
      <c r="KA121" s="5"/>
      <c r="KB121" s="5"/>
      <c r="KC121" s="5"/>
      <c r="KD121" s="5"/>
      <c r="KE121" s="5"/>
      <c r="KF121" s="5"/>
      <c r="KG121" s="5"/>
      <c r="KH121" s="5"/>
      <c r="KI121" s="5"/>
      <c r="KJ121" s="5"/>
      <c r="KK121" s="5"/>
      <c r="KL121" s="5"/>
      <c r="KM121" s="5"/>
      <c r="KN121" s="5"/>
    </row>
    <row r="122" spans="1:300" s="5" customFormat="1" x14ac:dyDescent="0.3">
      <c r="A122" s="305" t="s">
        <v>87</v>
      </c>
      <c r="B122" s="306"/>
      <c r="C122" s="390"/>
      <c r="D122" s="308" t="s">
        <v>152</v>
      </c>
      <c r="E122" s="309">
        <v>318</v>
      </c>
      <c r="F122" s="310" t="s">
        <v>46</v>
      </c>
      <c r="G122" s="311"/>
      <c r="H122" s="312">
        <f t="shared" si="15"/>
        <v>0</v>
      </c>
      <c r="I122" s="313"/>
      <c r="J122" s="307"/>
      <c r="K122" s="16"/>
      <c r="L122" s="17"/>
      <c r="M122" s="20"/>
      <c r="N122" s="14"/>
      <c r="O122" s="15"/>
      <c r="P122" s="22"/>
    </row>
    <row r="123" spans="1:300" s="23" customFormat="1" x14ac:dyDescent="0.3">
      <c r="A123" s="305" t="s">
        <v>89</v>
      </c>
      <c r="B123" s="306"/>
      <c r="C123" s="390"/>
      <c r="D123" s="308" t="s">
        <v>153</v>
      </c>
      <c r="E123" s="309">
        <v>18</v>
      </c>
      <c r="F123" s="310" t="s">
        <v>46</v>
      </c>
      <c r="G123" s="311"/>
      <c r="H123" s="312">
        <f t="shared" si="15"/>
        <v>0</v>
      </c>
      <c r="I123" s="313"/>
      <c r="J123" s="307"/>
      <c r="K123" s="16"/>
      <c r="L123" s="17"/>
      <c r="M123" s="20"/>
      <c r="N123" s="14"/>
      <c r="O123" s="15"/>
      <c r="P123" s="22"/>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c r="JW123" s="5"/>
      <c r="JX123" s="5"/>
      <c r="JY123" s="5"/>
      <c r="JZ123" s="5"/>
      <c r="KA123" s="5"/>
      <c r="KB123" s="5"/>
      <c r="KC123" s="5"/>
      <c r="KD123" s="5"/>
      <c r="KE123" s="5"/>
      <c r="KF123" s="5"/>
      <c r="KG123" s="5"/>
      <c r="KH123" s="5"/>
      <c r="KI123" s="5"/>
      <c r="KJ123" s="5"/>
      <c r="KK123" s="5"/>
      <c r="KL123" s="5"/>
      <c r="KM123" s="5"/>
      <c r="KN123" s="5"/>
    </row>
    <row r="124" spans="1:300" s="23" customFormat="1" x14ac:dyDescent="0.3">
      <c r="A124" s="305" t="s">
        <v>91</v>
      </c>
      <c r="B124" s="306"/>
      <c r="C124" s="390"/>
      <c r="D124" s="308" t="s">
        <v>154</v>
      </c>
      <c r="E124" s="309">
        <v>16</v>
      </c>
      <c r="F124" s="310" t="s">
        <v>46</v>
      </c>
      <c r="G124" s="311"/>
      <c r="H124" s="312">
        <f t="shared" si="15"/>
        <v>0</v>
      </c>
      <c r="I124" s="313"/>
      <c r="J124" s="307"/>
      <c r="K124" s="16"/>
      <c r="L124" s="17"/>
      <c r="M124" s="20"/>
      <c r="N124" s="14"/>
      <c r="O124" s="15"/>
      <c r="P124" s="22"/>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c r="JW124" s="5"/>
      <c r="JX124" s="5"/>
      <c r="JY124" s="5"/>
      <c r="JZ124" s="5"/>
      <c r="KA124" s="5"/>
      <c r="KB124" s="5"/>
      <c r="KC124" s="5"/>
      <c r="KD124" s="5"/>
      <c r="KE124" s="5"/>
      <c r="KF124" s="5"/>
      <c r="KG124" s="5"/>
      <c r="KH124" s="5"/>
      <c r="KI124" s="5"/>
      <c r="KJ124" s="5"/>
      <c r="KK124" s="5"/>
      <c r="KL124" s="5"/>
      <c r="KM124" s="5"/>
      <c r="KN124" s="5"/>
    </row>
    <row r="125" spans="1:300" s="23" customFormat="1" x14ac:dyDescent="0.3">
      <c r="A125" s="305" t="s">
        <v>92</v>
      </c>
      <c r="B125" s="306"/>
      <c r="C125" s="390"/>
      <c r="D125" s="308" t="s">
        <v>155</v>
      </c>
      <c r="E125" s="309">
        <v>73</v>
      </c>
      <c r="F125" s="310" t="s">
        <v>46</v>
      </c>
      <c r="G125" s="311"/>
      <c r="H125" s="312">
        <f t="shared" si="15"/>
        <v>0</v>
      </c>
      <c r="I125" s="313"/>
      <c r="J125" s="307"/>
      <c r="K125" s="16"/>
      <c r="L125" s="17"/>
      <c r="M125" s="20"/>
      <c r="N125" s="14"/>
      <c r="O125" s="15"/>
      <c r="P125" s="22"/>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c r="JW125" s="5"/>
      <c r="JX125" s="5"/>
      <c r="JY125" s="5"/>
      <c r="JZ125" s="5"/>
      <c r="KA125" s="5"/>
      <c r="KB125" s="5"/>
      <c r="KC125" s="5"/>
      <c r="KD125" s="5"/>
      <c r="KE125" s="5"/>
      <c r="KF125" s="5"/>
      <c r="KG125" s="5"/>
      <c r="KH125" s="5"/>
      <c r="KI125" s="5"/>
      <c r="KJ125" s="5"/>
      <c r="KK125" s="5"/>
      <c r="KL125" s="5"/>
      <c r="KM125" s="5"/>
      <c r="KN125" s="5"/>
    </row>
    <row r="126" spans="1:300" s="5" customFormat="1" x14ac:dyDescent="0.3">
      <c r="A126" s="305" t="s">
        <v>94</v>
      </c>
      <c r="B126" s="306"/>
      <c r="C126" s="390"/>
      <c r="D126" s="308" t="s">
        <v>156</v>
      </c>
      <c r="E126" s="309">
        <v>2056</v>
      </c>
      <c r="F126" s="310" t="s">
        <v>46</v>
      </c>
      <c r="G126" s="311"/>
      <c r="H126" s="312">
        <f t="shared" si="15"/>
        <v>0</v>
      </c>
      <c r="I126" s="313"/>
      <c r="J126" s="307"/>
      <c r="K126" s="16"/>
      <c r="L126" s="17"/>
      <c r="M126" s="20"/>
      <c r="N126" s="14"/>
      <c r="O126" s="15"/>
      <c r="P126" s="22"/>
    </row>
    <row r="127" spans="1:300" s="5" customFormat="1" x14ac:dyDescent="0.3">
      <c r="A127" s="305" t="s">
        <v>95</v>
      </c>
      <c r="B127" s="306"/>
      <c r="C127" s="390"/>
      <c r="D127" s="308" t="s">
        <v>157</v>
      </c>
      <c r="E127" s="309">
        <v>425</v>
      </c>
      <c r="F127" s="310" t="s">
        <v>46</v>
      </c>
      <c r="G127" s="311"/>
      <c r="H127" s="312">
        <f t="shared" si="15"/>
        <v>0</v>
      </c>
      <c r="I127" s="313"/>
      <c r="J127" s="307"/>
      <c r="K127" s="16"/>
      <c r="L127" s="17"/>
      <c r="M127" s="20"/>
      <c r="N127" s="14"/>
      <c r="O127" s="15"/>
      <c r="P127" s="22"/>
    </row>
    <row r="128" spans="1:300" s="5" customFormat="1" x14ac:dyDescent="0.3">
      <c r="A128" s="305" t="s">
        <v>98</v>
      </c>
      <c r="B128" s="306"/>
      <c r="C128" s="390"/>
      <c r="D128" s="308" t="s">
        <v>158</v>
      </c>
      <c r="E128" s="309">
        <v>4602</v>
      </c>
      <c r="F128" s="310" t="s">
        <v>46</v>
      </c>
      <c r="G128" s="311"/>
      <c r="H128" s="312">
        <f t="shared" si="15"/>
        <v>0</v>
      </c>
      <c r="I128" s="313"/>
      <c r="J128" s="412"/>
      <c r="K128" s="16"/>
      <c r="L128" s="17"/>
      <c r="M128" s="20"/>
      <c r="N128" s="14"/>
      <c r="O128" s="15"/>
      <c r="P128" s="22"/>
    </row>
    <row r="129" spans="1:300" s="23" customFormat="1" x14ac:dyDescent="0.3">
      <c r="A129" s="305" t="s">
        <v>101</v>
      </c>
      <c r="B129" s="306"/>
      <c r="C129" s="390"/>
      <c r="D129" s="308" t="s">
        <v>159</v>
      </c>
      <c r="E129" s="309">
        <v>19</v>
      </c>
      <c r="F129" s="310" t="s">
        <v>46</v>
      </c>
      <c r="G129" s="311"/>
      <c r="H129" s="312">
        <f t="shared" si="15"/>
        <v>0</v>
      </c>
      <c r="I129" s="313"/>
      <c r="J129" s="307"/>
      <c r="K129" s="16"/>
      <c r="L129" s="17"/>
      <c r="M129" s="20"/>
      <c r="N129" s="14"/>
      <c r="O129" s="15"/>
      <c r="P129" s="22"/>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c r="JW129" s="5"/>
      <c r="JX129" s="5"/>
      <c r="JY129" s="5"/>
      <c r="JZ129" s="5"/>
      <c r="KA129" s="5"/>
      <c r="KB129" s="5"/>
      <c r="KC129" s="5"/>
      <c r="KD129" s="5"/>
      <c r="KE129" s="5"/>
      <c r="KF129" s="5"/>
      <c r="KG129" s="5"/>
      <c r="KH129" s="5"/>
      <c r="KI129" s="5"/>
      <c r="KJ129" s="5"/>
      <c r="KK129" s="5"/>
      <c r="KL129" s="5"/>
      <c r="KM129" s="5"/>
      <c r="KN129" s="5"/>
    </row>
    <row r="130" spans="1:300" s="23" customFormat="1" x14ac:dyDescent="0.3">
      <c r="A130" s="305" t="s">
        <v>104</v>
      </c>
      <c r="B130" s="306"/>
      <c r="C130" s="390"/>
      <c r="D130" s="308" t="s">
        <v>160</v>
      </c>
      <c r="E130" s="309">
        <v>15</v>
      </c>
      <c r="F130" s="310" t="s">
        <v>46</v>
      </c>
      <c r="G130" s="311"/>
      <c r="H130" s="312">
        <f t="shared" si="15"/>
        <v>0</v>
      </c>
      <c r="I130" s="313"/>
      <c r="J130" s="307"/>
      <c r="K130" s="16"/>
      <c r="L130" s="17"/>
      <c r="M130" s="20"/>
      <c r="N130" s="14"/>
      <c r="O130" s="15"/>
      <c r="P130" s="22"/>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c r="IW130" s="5"/>
      <c r="IX130" s="5"/>
      <c r="IY130" s="5"/>
      <c r="IZ130" s="5"/>
      <c r="JA130" s="5"/>
      <c r="JB130" s="5"/>
      <c r="JC130" s="5"/>
      <c r="JD130" s="5"/>
      <c r="JE130" s="5"/>
      <c r="JF130" s="5"/>
      <c r="JG130" s="5"/>
      <c r="JH130" s="5"/>
      <c r="JI130" s="5"/>
      <c r="JJ130" s="5"/>
      <c r="JK130" s="5"/>
      <c r="JL130" s="5"/>
      <c r="JM130" s="5"/>
      <c r="JN130" s="5"/>
      <c r="JO130" s="5"/>
      <c r="JP130" s="5"/>
      <c r="JQ130" s="5"/>
      <c r="JR130" s="5"/>
      <c r="JS130" s="5"/>
      <c r="JT130" s="5"/>
      <c r="JU130" s="5"/>
      <c r="JV130" s="5"/>
      <c r="JW130" s="5"/>
      <c r="JX130" s="5"/>
      <c r="JY130" s="5"/>
      <c r="JZ130" s="5"/>
      <c r="KA130" s="5"/>
      <c r="KB130" s="5"/>
      <c r="KC130" s="5"/>
      <c r="KD130" s="5"/>
      <c r="KE130" s="5"/>
      <c r="KF130" s="5"/>
      <c r="KG130" s="5"/>
      <c r="KH130" s="5"/>
      <c r="KI130" s="5"/>
      <c r="KJ130" s="5"/>
      <c r="KK130" s="5"/>
      <c r="KL130" s="5"/>
      <c r="KM130" s="5"/>
      <c r="KN130" s="5"/>
    </row>
    <row r="131" spans="1:300" s="5" customFormat="1" x14ac:dyDescent="0.3">
      <c r="A131" s="305" t="s">
        <v>106</v>
      </c>
      <c r="B131" s="306"/>
      <c r="C131" s="390"/>
      <c r="D131" s="308" t="s">
        <v>161</v>
      </c>
      <c r="E131" s="309">
        <v>201</v>
      </c>
      <c r="F131" s="310" t="s">
        <v>46</v>
      </c>
      <c r="G131" s="311"/>
      <c r="H131" s="312">
        <f t="shared" si="15"/>
        <v>0</v>
      </c>
      <c r="I131" s="313"/>
      <c r="J131" s="307"/>
      <c r="K131" s="16"/>
      <c r="L131" s="17"/>
      <c r="M131" s="20"/>
      <c r="N131" s="14"/>
      <c r="O131" s="15"/>
      <c r="P131" s="22"/>
    </row>
    <row r="132" spans="1:300" s="5" customFormat="1" x14ac:dyDescent="0.3">
      <c r="A132" s="305" t="s">
        <v>108</v>
      </c>
      <c r="B132" s="306"/>
      <c r="C132" s="390"/>
      <c r="D132" s="308" t="s">
        <v>162</v>
      </c>
      <c r="E132" s="309">
        <v>118</v>
      </c>
      <c r="F132" s="310" t="s">
        <v>46</v>
      </c>
      <c r="G132" s="311"/>
      <c r="H132" s="312">
        <f t="shared" si="15"/>
        <v>0</v>
      </c>
      <c r="I132" s="313"/>
      <c r="J132" s="307"/>
      <c r="K132" s="16"/>
      <c r="L132" s="17"/>
      <c r="M132" s="20"/>
      <c r="N132" s="14"/>
      <c r="O132" s="15"/>
      <c r="P132" s="22"/>
    </row>
    <row r="133" spans="1:300" s="5" customFormat="1" x14ac:dyDescent="0.3">
      <c r="A133" s="305" t="s">
        <v>110</v>
      </c>
      <c r="B133" s="306"/>
      <c r="C133" s="390"/>
      <c r="D133" s="308" t="s">
        <v>163</v>
      </c>
      <c r="E133" s="309">
        <v>8</v>
      </c>
      <c r="F133" s="310" t="s">
        <v>46</v>
      </c>
      <c r="G133" s="311"/>
      <c r="H133" s="312">
        <f t="shared" si="15"/>
        <v>0</v>
      </c>
      <c r="I133" s="313"/>
      <c r="J133" s="307"/>
      <c r="K133" s="16"/>
      <c r="L133" s="17"/>
      <c r="M133" s="20"/>
      <c r="N133" s="14"/>
      <c r="O133" s="15"/>
      <c r="P133" s="22"/>
    </row>
    <row r="134" spans="1:300" s="5" customFormat="1" x14ac:dyDescent="0.3">
      <c r="A134" s="305" t="s">
        <v>112</v>
      </c>
      <c r="B134" s="306"/>
      <c r="C134" s="390"/>
      <c r="D134" s="308" t="s">
        <v>164</v>
      </c>
      <c r="E134" s="309">
        <v>137</v>
      </c>
      <c r="F134" s="310" t="s">
        <v>46</v>
      </c>
      <c r="G134" s="311"/>
      <c r="H134" s="312">
        <f t="shared" si="15"/>
        <v>0</v>
      </c>
      <c r="I134" s="313"/>
      <c r="J134" s="307"/>
      <c r="K134" s="16"/>
      <c r="L134" s="17"/>
      <c r="M134" s="20"/>
      <c r="N134" s="14"/>
      <c r="O134" s="15"/>
      <c r="P134" s="22"/>
    </row>
    <row r="135" spans="1:300" s="23" customFormat="1" x14ac:dyDescent="0.3">
      <c r="A135" s="305" t="s">
        <v>115</v>
      </c>
      <c r="B135" s="306"/>
      <c r="C135" s="390"/>
      <c r="D135" s="308" t="s">
        <v>165</v>
      </c>
      <c r="E135" s="309">
        <v>132</v>
      </c>
      <c r="F135" s="310" t="s">
        <v>46</v>
      </c>
      <c r="G135" s="311"/>
      <c r="H135" s="312">
        <f t="shared" si="15"/>
        <v>0</v>
      </c>
      <c r="I135" s="313"/>
      <c r="J135" s="307"/>
      <c r="K135" s="16"/>
      <c r="L135" s="17"/>
      <c r="M135" s="20"/>
      <c r="N135" s="14"/>
      <c r="O135" s="15"/>
      <c r="P135" s="22"/>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c r="HE135" s="5"/>
      <c r="HF135" s="5"/>
      <c r="HG135" s="5"/>
      <c r="HH135" s="5"/>
      <c r="HI135" s="5"/>
      <c r="HJ135" s="5"/>
      <c r="HK135" s="5"/>
      <c r="HL135" s="5"/>
      <c r="HM135" s="5"/>
      <c r="HN135" s="5"/>
      <c r="HO135" s="5"/>
      <c r="HP135" s="5"/>
      <c r="HQ135" s="5"/>
      <c r="HR135" s="5"/>
      <c r="HS135" s="5"/>
      <c r="HT135" s="5"/>
      <c r="HU135" s="5"/>
      <c r="HV135" s="5"/>
      <c r="HW135" s="5"/>
      <c r="HX135" s="5"/>
      <c r="HY135" s="5"/>
      <c r="HZ135" s="5"/>
      <c r="IA135" s="5"/>
      <c r="IB135" s="5"/>
      <c r="IC135" s="5"/>
      <c r="ID135" s="5"/>
      <c r="IE135" s="5"/>
      <c r="IF135" s="5"/>
      <c r="IG135" s="5"/>
      <c r="IH135" s="5"/>
      <c r="II135" s="5"/>
      <c r="IJ135" s="5"/>
      <c r="IK135" s="5"/>
      <c r="IL135" s="5"/>
      <c r="IM135" s="5"/>
      <c r="IN135" s="5"/>
      <c r="IO135" s="5"/>
      <c r="IP135" s="5"/>
      <c r="IQ135" s="5"/>
      <c r="IR135" s="5"/>
      <c r="IS135" s="5"/>
      <c r="IT135" s="5"/>
      <c r="IU135" s="5"/>
      <c r="IV135" s="5"/>
      <c r="IW135" s="5"/>
      <c r="IX135" s="5"/>
      <c r="IY135" s="5"/>
      <c r="IZ135" s="5"/>
      <c r="JA135" s="5"/>
      <c r="JB135" s="5"/>
      <c r="JC135" s="5"/>
      <c r="JD135" s="5"/>
      <c r="JE135" s="5"/>
      <c r="JF135" s="5"/>
      <c r="JG135" s="5"/>
      <c r="JH135" s="5"/>
      <c r="JI135" s="5"/>
      <c r="JJ135" s="5"/>
      <c r="JK135" s="5"/>
      <c r="JL135" s="5"/>
      <c r="JM135" s="5"/>
      <c r="JN135" s="5"/>
      <c r="JO135" s="5"/>
      <c r="JP135" s="5"/>
      <c r="JQ135" s="5"/>
      <c r="JR135" s="5"/>
      <c r="JS135" s="5"/>
      <c r="JT135" s="5"/>
      <c r="JU135" s="5"/>
      <c r="JV135" s="5"/>
      <c r="JW135" s="5"/>
      <c r="JX135" s="5"/>
      <c r="JY135" s="5"/>
      <c r="JZ135" s="5"/>
      <c r="KA135" s="5"/>
      <c r="KB135" s="5"/>
      <c r="KC135" s="5"/>
      <c r="KD135" s="5"/>
      <c r="KE135" s="5"/>
      <c r="KF135" s="5"/>
      <c r="KG135" s="5"/>
      <c r="KH135" s="5"/>
      <c r="KI135" s="5"/>
      <c r="KJ135" s="5"/>
      <c r="KK135" s="5"/>
      <c r="KL135" s="5"/>
      <c r="KM135" s="5"/>
      <c r="KN135" s="5"/>
    </row>
    <row r="136" spans="1:300" s="5" customFormat="1" x14ac:dyDescent="0.3">
      <c r="A136" s="305"/>
      <c r="B136" s="306"/>
      <c r="C136" s="390"/>
      <c r="D136" s="308"/>
      <c r="E136" s="309"/>
      <c r="F136" s="310"/>
      <c r="G136" s="311"/>
      <c r="H136" s="312"/>
      <c r="I136" s="313"/>
      <c r="J136" s="307"/>
      <c r="K136" s="16"/>
      <c r="L136" s="17"/>
      <c r="M136" s="20"/>
      <c r="N136" s="14"/>
      <c r="O136" s="15"/>
      <c r="P136" s="22"/>
    </row>
    <row r="137" spans="1:300" s="5" customFormat="1" ht="15" customHeight="1" x14ac:dyDescent="0.3">
      <c r="A137" s="305">
        <v>2.02</v>
      </c>
      <c r="B137" s="306"/>
      <c r="C137" s="390" t="s">
        <v>166</v>
      </c>
      <c r="D137" s="400"/>
      <c r="E137" s="391"/>
      <c r="F137" s="410"/>
      <c r="G137" s="311"/>
      <c r="H137" s="312"/>
      <c r="I137" s="313"/>
      <c r="J137" s="307"/>
      <c r="K137" s="18"/>
      <c r="L137" s="30"/>
      <c r="M137" s="20"/>
      <c r="N137" s="14"/>
      <c r="O137" s="15"/>
      <c r="P137" s="22"/>
    </row>
    <row r="138" spans="1:300" s="5" customFormat="1" x14ac:dyDescent="0.3">
      <c r="A138" s="305"/>
      <c r="B138" s="306"/>
      <c r="C138" s="390"/>
      <c r="D138" s="308" t="s">
        <v>49</v>
      </c>
      <c r="E138" s="391"/>
      <c r="F138" s="392"/>
      <c r="G138" s="311"/>
      <c r="H138" s="312"/>
      <c r="I138" s="313"/>
      <c r="J138" s="307"/>
      <c r="K138" s="18"/>
      <c r="L138" s="19"/>
      <c r="M138" s="20"/>
      <c r="N138" s="14"/>
      <c r="O138" s="15"/>
      <c r="P138" s="22"/>
    </row>
    <row r="139" spans="1:300" s="23" customFormat="1" x14ac:dyDescent="0.3">
      <c r="A139" s="305" t="s">
        <v>19</v>
      </c>
      <c r="B139" s="306"/>
      <c r="C139" s="390"/>
      <c r="D139" s="398" t="s">
        <v>167</v>
      </c>
      <c r="E139" s="391">
        <v>7</v>
      </c>
      <c r="F139" s="392" t="s">
        <v>27</v>
      </c>
      <c r="G139" s="311"/>
      <c r="H139" s="312">
        <f t="shared" ref="H139:H146" si="16">E139*G139</f>
        <v>0</v>
      </c>
      <c r="I139" s="313"/>
      <c r="J139" s="307"/>
      <c r="K139" s="18"/>
      <c r="L139" s="19"/>
      <c r="M139" s="20"/>
      <c r="N139" s="14"/>
      <c r="O139" s="15"/>
      <c r="P139" s="22"/>
      <c r="Q139" s="22"/>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c r="HX139" s="5"/>
      <c r="HY139" s="5"/>
      <c r="HZ139" s="5"/>
      <c r="IA139" s="5"/>
      <c r="IB139" s="5"/>
      <c r="IC139" s="5"/>
      <c r="ID139" s="5"/>
      <c r="IE139" s="5"/>
      <c r="IF139" s="5"/>
      <c r="IG139" s="5"/>
      <c r="IH139" s="5"/>
      <c r="II139" s="5"/>
      <c r="IJ139" s="5"/>
      <c r="IK139" s="5"/>
      <c r="IL139" s="5"/>
      <c r="IM139" s="5"/>
      <c r="IN139" s="5"/>
      <c r="IO139" s="5"/>
      <c r="IP139" s="5"/>
      <c r="IQ139" s="5"/>
      <c r="IR139" s="5"/>
      <c r="IS139" s="5"/>
      <c r="IT139" s="5"/>
      <c r="IU139" s="5"/>
      <c r="IV139" s="5"/>
      <c r="IW139" s="5"/>
      <c r="IX139" s="5"/>
      <c r="IY139" s="5"/>
      <c r="IZ139" s="5"/>
      <c r="JA139" s="5"/>
      <c r="JB139" s="5"/>
      <c r="JC139" s="5"/>
      <c r="JD139" s="5"/>
      <c r="JE139" s="5"/>
      <c r="JF139" s="5"/>
      <c r="JG139" s="5"/>
      <c r="JH139" s="5"/>
      <c r="JI139" s="5"/>
      <c r="JJ139" s="5"/>
      <c r="JK139" s="5"/>
      <c r="JL139" s="5"/>
      <c r="JM139" s="5"/>
      <c r="JN139" s="5"/>
      <c r="JO139" s="5"/>
      <c r="JP139" s="5"/>
      <c r="JQ139" s="5"/>
      <c r="JR139" s="5"/>
      <c r="JS139" s="5"/>
      <c r="JT139" s="5"/>
      <c r="JU139" s="5"/>
      <c r="JV139" s="5"/>
      <c r="JW139" s="5"/>
      <c r="JX139" s="5"/>
      <c r="JY139" s="5"/>
      <c r="JZ139" s="5"/>
      <c r="KA139" s="5"/>
      <c r="KB139" s="5"/>
      <c r="KC139" s="5"/>
      <c r="KD139" s="5"/>
      <c r="KE139" s="5"/>
      <c r="KF139" s="5"/>
      <c r="KG139" s="5"/>
      <c r="KH139" s="5"/>
      <c r="KI139" s="5"/>
      <c r="KJ139" s="5"/>
      <c r="KK139" s="5"/>
      <c r="KL139" s="5"/>
      <c r="KM139" s="5"/>
      <c r="KN139" s="5"/>
    </row>
    <row r="140" spans="1:300" s="5" customFormat="1" x14ac:dyDescent="0.3">
      <c r="A140" s="305" t="s">
        <v>22</v>
      </c>
      <c r="B140" s="306"/>
      <c r="C140" s="390"/>
      <c r="D140" s="398" t="s">
        <v>168</v>
      </c>
      <c r="E140" s="391">
        <v>390</v>
      </c>
      <c r="F140" s="392" t="s">
        <v>27</v>
      </c>
      <c r="G140" s="311"/>
      <c r="H140" s="312">
        <f t="shared" si="16"/>
        <v>0</v>
      </c>
      <c r="I140" s="313"/>
      <c r="J140" s="307"/>
      <c r="K140" s="18"/>
      <c r="L140" s="19"/>
      <c r="M140" s="20"/>
      <c r="N140" s="14"/>
      <c r="O140" s="15"/>
      <c r="P140" s="22"/>
      <c r="Q140" s="22"/>
    </row>
    <row r="141" spans="1:300" s="5" customFormat="1" x14ac:dyDescent="0.3">
      <c r="A141" s="305" t="s">
        <v>25</v>
      </c>
      <c r="B141" s="306"/>
      <c r="C141" s="390"/>
      <c r="D141" s="398" t="s">
        <v>169</v>
      </c>
      <c r="E141" s="391">
        <v>163</v>
      </c>
      <c r="F141" s="392" t="s">
        <v>27</v>
      </c>
      <c r="G141" s="311"/>
      <c r="H141" s="312">
        <f t="shared" si="16"/>
        <v>0</v>
      </c>
      <c r="I141" s="313"/>
      <c r="J141" s="307"/>
      <c r="K141" s="18"/>
      <c r="L141" s="19"/>
      <c r="M141" s="20"/>
      <c r="N141" s="14"/>
      <c r="O141" s="15"/>
      <c r="P141" s="22"/>
      <c r="Q141" s="22"/>
    </row>
    <row r="142" spans="1:300" s="5" customFormat="1" x14ac:dyDescent="0.3">
      <c r="A142" s="305" t="s">
        <v>28</v>
      </c>
      <c r="B142" s="306"/>
      <c r="C142" s="390"/>
      <c r="D142" s="398" t="s">
        <v>170</v>
      </c>
      <c r="E142" s="391">
        <v>15</v>
      </c>
      <c r="F142" s="392" t="s">
        <v>27</v>
      </c>
      <c r="G142" s="311"/>
      <c r="H142" s="312">
        <f t="shared" si="16"/>
        <v>0</v>
      </c>
      <c r="I142" s="313"/>
      <c r="J142" s="307"/>
      <c r="K142" s="18"/>
      <c r="L142" s="19"/>
      <c r="M142" s="20"/>
      <c r="N142" s="14"/>
      <c r="O142" s="15"/>
      <c r="P142" s="22"/>
      <c r="Q142" s="22"/>
    </row>
    <row r="143" spans="1:300" s="23" customFormat="1" x14ac:dyDescent="0.3">
      <c r="A143" s="305" t="s">
        <v>30</v>
      </c>
      <c r="B143" s="306"/>
      <c r="C143" s="390"/>
      <c r="D143" s="398" t="s">
        <v>171</v>
      </c>
      <c r="E143" s="391">
        <v>223</v>
      </c>
      <c r="F143" s="392" t="s">
        <v>27</v>
      </c>
      <c r="G143" s="311"/>
      <c r="H143" s="312">
        <f t="shared" si="16"/>
        <v>0</v>
      </c>
      <c r="I143" s="313"/>
      <c r="J143" s="307"/>
      <c r="K143" s="18"/>
      <c r="L143" s="19"/>
      <c r="M143" s="20"/>
      <c r="N143" s="14"/>
      <c r="O143" s="15"/>
      <c r="P143" s="22"/>
      <c r="Q143" s="22"/>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c r="IW143" s="5"/>
      <c r="IX143" s="5"/>
      <c r="IY143" s="5"/>
      <c r="IZ143" s="5"/>
      <c r="JA143" s="5"/>
      <c r="JB143" s="5"/>
      <c r="JC143" s="5"/>
      <c r="JD143" s="5"/>
      <c r="JE143" s="5"/>
      <c r="JF143" s="5"/>
      <c r="JG143" s="5"/>
      <c r="JH143" s="5"/>
      <c r="JI143" s="5"/>
      <c r="JJ143" s="5"/>
      <c r="JK143" s="5"/>
      <c r="JL143" s="5"/>
      <c r="JM143" s="5"/>
      <c r="JN143" s="5"/>
      <c r="JO143" s="5"/>
      <c r="JP143" s="5"/>
      <c r="JQ143" s="5"/>
      <c r="JR143" s="5"/>
      <c r="JS143" s="5"/>
      <c r="JT143" s="5"/>
      <c r="JU143" s="5"/>
      <c r="JV143" s="5"/>
      <c r="JW143" s="5"/>
      <c r="JX143" s="5"/>
      <c r="JY143" s="5"/>
      <c r="JZ143" s="5"/>
      <c r="KA143" s="5"/>
      <c r="KB143" s="5"/>
      <c r="KC143" s="5"/>
      <c r="KD143" s="5"/>
      <c r="KE143" s="5"/>
      <c r="KF143" s="5"/>
      <c r="KG143" s="5"/>
      <c r="KH143" s="5"/>
      <c r="KI143" s="5"/>
      <c r="KJ143" s="5"/>
      <c r="KK143" s="5"/>
      <c r="KL143" s="5"/>
      <c r="KM143" s="5"/>
      <c r="KN143" s="5"/>
    </row>
    <row r="144" spans="1:300" s="5" customFormat="1" x14ac:dyDescent="0.3">
      <c r="A144" s="305" t="s">
        <v>32</v>
      </c>
      <c r="B144" s="306"/>
      <c r="C144" s="390"/>
      <c r="D144" s="398" t="s">
        <v>172</v>
      </c>
      <c r="E144" s="391">
        <v>5</v>
      </c>
      <c r="F144" s="392" t="s">
        <v>27</v>
      </c>
      <c r="G144" s="311"/>
      <c r="H144" s="312">
        <f t="shared" si="16"/>
        <v>0</v>
      </c>
      <c r="I144" s="313"/>
      <c r="J144" s="307"/>
      <c r="K144" s="18"/>
      <c r="L144" s="19"/>
      <c r="M144" s="20"/>
      <c r="N144" s="14"/>
      <c r="O144" s="15"/>
      <c r="P144" s="22"/>
      <c r="Q144" s="22"/>
    </row>
    <row r="145" spans="1:300" s="5" customFormat="1" x14ac:dyDescent="0.3">
      <c r="A145" s="305" t="s">
        <v>34</v>
      </c>
      <c r="B145" s="306"/>
      <c r="C145" s="390"/>
      <c r="D145" s="398" t="s">
        <v>173</v>
      </c>
      <c r="E145" s="391">
        <v>62</v>
      </c>
      <c r="F145" s="392" t="s">
        <v>27</v>
      </c>
      <c r="G145" s="311"/>
      <c r="H145" s="312">
        <f t="shared" si="16"/>
        <v>0</v>
      </c>
      <c r="I145" s="313"/>
      <c r="J145" s="307"/>
      <c r="K145" s="18"/>
      <c r="L145" s="19"/>
      <c r="M145" s="20"/>
      <c r="N145" s="14"/>
      <c r="O145" s="15"/>
      <c r="P145" s="22"/>
      <c r="Q145" s="22"/>
    </row>
    <row r="146" spans="1:300" s="5" customFormat="1" x14ac:dyDescent="0.3">
      <c r="A146" s="305" t="s">
        <v>36</v>
      </c>
      <c r="B146" s="306"/>
      <c r="C146" s="390"/>
      <c r="D146" s="398" t="s">
        <v>174</v>
      </c>
      <c r="E146" s="391">
        <v>211</v>
      </c>
      <c r="F146" s="392" t="s">
        <v>27</v>
      </c>
      <c r="G146" s="311"/>
      <c r="H146" s="312">
        <f t="shared" si="16"/>
        <v>0</v>
      </c>
      <c r="I146" s="313"/>
      <c r="J146" s="307"/>
      <c r="K146" s="18"/>
      <c r="L146" s="19"/>
      <c r="M146" s="20"/>
      <c r="N146" s="14"/>
      <c r="O146" s="15"/>
      <c r="P146" s="22"/>
      <c r="Q146" s="22"/>
    </row>
    <row r="147" spans="1:300" s="5" customFormat="1" x14ac:dyDescent="0.3">
      <c r="A147" s="305" t="s">
        <v>39</v>
      </c>
      <c r="B147" s="306"/>
      <c r="C147" s="390"/>
      <c r="D147" s="398" t="s">
        <v>175</v>
      </c>
      <c r="E147" s="391">
        <v>4128</v>
      </c>
      <c r="F147" s="392" t="s">
        <v>27</v>
      </c>
      <c r="G147" s="311"/>
      <c r="H147" s="312">
        <f>E147*G147</f>
        <v>0</v>
      </c>
      <c r="I147" s="313"/>
      <c r="J147" s="307"/>
      <c r="K147" s="18"/>
      <c r="L147" s="19"/>
      <c r="M147" s="20"/>
      <c r="N147" s="14"/>
      <c r="O147" s="15"/>
      <c r="P147" s="22"/>
    </row>
    <row r="148" spans="1:300" s="5" customFormat="1" x14ac:dyDescent="0.3">
      <c r="A148" s="305"/>
      <c r="B148" s="306"/>
      <c r="C148" s="390"/>
      <c r="D148" s="398"/>
      <c r="E148" s="391"/>
      <c r="F148" s="392"/>
      <c r="G148" s="311"/>
      <c r="H148" s="312"/>
      <c r="I148" s="313"/>
      <c r="J148" s="307"/>
      <c r="K148" s="18"/>
      <c r="L148" s="19"/>
      <c r="M148" s="20"/>
      <c r="N148" s="14"/>
      <c r="O148" s="15"/>
      <c r="P148" s="22"/>
    </row>
    <row r="149" spans="1:300" s="5" customFormat="1" x14ac:dyDescent="0.3">
      <c r="A149" s="305"/>
      <c r="B149" s="306"/>
      <c r="C149" s="390"/>
      <c r="D149" s="308" t="s">
        <v>61</v>
      </c>
      <c r="E149" s="391"/>
      <c r="F149" s="392"/>
      <c r="G149" s="311"/>
      <c r="H149" s="312"/>
      <c r="I149" s="313"/>
      <c r="J149" s="307"/>
      <c r="K149" s="18"/>
      <c r="L149" s="19"/>
      <c r="M149" s="20"/>
      <c r="N149" s="14"/>
      <c r="O149" s="15"/>
      <c r="P149" s="22"/>
    </row>
    <row r="150" spans="1:300" s="5" customFormat="1" x14ac:dyDescent="0.3">
      <c r="A150" s="305" t="s">
        <v>42</v>
      </c>
      <c r="B150" s="306"/>
      <c r="C150" s="390"/>
      <c r="D150" s="398" t="s">
        <v>176</v>
      </c>
      <c r="E150" s="311">
        <f>+ROUND(85*SUM(E139:E146)/1000,2)</f>
        <v>91.46</v>
      </c>
      <c r="F150" s="392" t="s">
        <v>58</v>
      </c>
      <c r="G150" s="311"/>
      <c r="H150" s="312">
        <f t="shared" ref="H150:H152" si="17">E150*G150</f>
        <v>0</v>
      </c>
      <c r="I150" s="313"/>
      <c r="J150" s="307"/>
      <c r="K150" s="20"/>
      <c r="L150" s="19"/>
      <c r="M150" s="20"/>
      <c r="N150" s="14"/>
      <c r="O150" s="15"/>
      <c r="P150" s="22"/>
    </row>
    <row r="151" spans="1:300" s="5" customFormat="1" x14ac:dyDescent="0.3">
      <c r="A151" s="305" t="s">
        <v>44</v>
      </c>
      <c r="B151" s="306"/>
      <c r="C151" s="390"/>
      <c r="D151" s="398" t="s">
        <v>177</v>
      </c>
      <c r="E151" s="311"/>
      <c r="F151" s="392"/>
      <c r="G151" s="311"/>
      <c r="H151" s="312"/>
      <c r="I151" s="313"/>
      <c r="J151" s="307"/>
      <c r="K151" s="20"/>
      <c r="L151" s="19"/>
      <c r="M151" s="20"/>
      <c r="N151" s="14"/>
      <c r="O151" s="15"/>
      <c r="P151" s="22"/>
    </row>
    <row r="152" spans="1:300" s="23" customFormat="1" x14ac:dyDescent="0.3">
      <c r="A152" s="305" t="s">
        <v>46</v>
      </c>
      <c r="B152" s="306"/>
      <c r="C152" s="390"/>
      <c r="D152" s="398" t="s">
        <v>178</v>
      </c>
      <c r="E152" s="391">
        <v>63509</v>
      </c>
      <c r="F152" s="392" t="s">
        <v>21</v>
      </c>
      <c r="G152" s="311"/>
      <c r="H152" s="312">
        <f t="shared" si="17"/>
        <v>0</v>
      </c>
      <c r="I152" s="313"/>
      <c r="J152" s="307"/>
      <c r="K152" s="20"/>
      <c r="L152" s="19"/>
      <c r="M152" s="20"/>
      <c r="N152" s="14"/>
      <c r="O152" s="15"/>
      <c r="P152" s="22"/>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c r="IW152" s="5"/>
      <c r="IX152" s="5"/>
      <c r="IY152" s="5"/>
      <c r="IZ152" s="5"/>
      <c r="JA152" s="5"/>
      <c r="JB152" s="5"/>
      <c r="JC152" s="5"/>
      <c r="JD152" s="5"/>
      <c r="JE152" s="5"/>
      <c r="JF152" s="5"/>
      <c r="JG152" s="5"/>
      <c r="JH152" s="5"/>
      <c r="JI152" s="5"/>
      <c r="JJ152" s="5"/>
      <c r="JK152" s="5"/>
      <c r="JL152" s="5"/>
      <c r="JM152" s="5"/>
      <c r="JN152" s="5"/>
      <c r="JO152" s="5"/>
      <c r="JP152" s="5"/>
      <c r="JQ152" s="5"/>
      <c r="JR152" s="5"/>
      <c r="JS152" s="5"/>
      <c r="JT152" s="5"/>
      <c r="JU152" s="5"/>
      <c r="JV152" s="5"/>
      <c r="JW152" s="5"/>
      <c r="JX152" s="5"/>
      <c r="JY152" s="5"/>
      <c r="JZ152" s="5"/>
      <c r="KA152" s="5"/>
      <c r="KB152" s="5"/>
      <c r="KC152" s="5"/>
      <c r="KD152" s="5"/>
      <c r="KE152" s="5"/>
      <c r="KF152" s="5"/>
      <c r="KG152" s="5"/>
      <c r="KH152" s="5"/>
      <c r="KI152" s="5"/>
      <c r="KJ152" s="5"/>
      <c r="KK152" s="5"/>
      <c r="KL152" s="5"/>
      <c r="KM152" s="5"/>
      <c r="KN152" s="5"/>
    </row>
    <row r="153" spans="1:300" s="5" customFormat="1" x14ac:dyDescent="0.3">
      <c r="A153" s="401"/>
      <c r="B153" s="402"/>
      <c r="C153" s="403"/>
      <c r="D153" s="413"/>
      <c r="E153" s="407"/>
      <c r="F153" s="406"/>
      <c r="G153" s="407"/>
      <c r="H153" s="408"/>
      <c r="I153" s="409"/>
      <c r="J153" s="307"/>
      <c r="K153" s="20"/>
      <c r="L153" s="19"/>
      <c r="M153" s="20"/>
      <c r="N153" s="14"/>
      <c r="O153" s="15"/>
      <c r="P153" s="22"/>
    </row>
    <row r="154" spans="1:300" s="5" customFormat="1" x14ac:dyDescent="0.3">
      <c r="A154" s="305"/>
      <c r="B154" s="306"/>
      <c r="C154" s="390"/>
      <c r="D154" s="308" t="s">
        <v>70</v>
      </c>
      <c r="E154" s="391"/>
      <c r="F154" s="392"/>
      <c r="G154" s="311"/>
      <c r="H154" s="312"/>
      <c r="I154" s="313"/>
      <c r="J154" s="307"/>
      <c r="K154" s="18"/>
      <c r="L154" s="19"/>
      <c r="M154" s="20"/>
      <c r="N154" s="14"/>
      <c r="O154" s="15"/>
      <c r="P154" s="22"/>
    </row>
    <row r="155" spans="1:300" s="5" customFormat="1" x14ac:dyDescent="0.3">
      <c r="A155" s="305" t="s">
        <v>48</v>
      </c>
      <c r="B155" s="306"/>
      <c r="C155" s="390"/>
      <c r="D155" s="398" t="s">
        <v>179</v>
      </c>
      <c r="E155" s="391">
        <v>2925</v>
      </c>
      <c r="F155" s="392" t="s">
        <v>21</v>
      </c>
      <c r="G155" s="311"/>
      <c r="H155" s="312">
        <f t="shared" ref="H155:H157" si="18">E155*G155</f>
        <v>0</v>
      </c>
      <c r="I155" s="313"/>
      <c r="J155" s="307"/>
      <c r="K155" s="18"/>
      <c r="L155" s="19"/>
      <c r="M155" s="20"/>
      <c r="N155" s="14"/>
      <c r="O155" s="15"/>
      <c r="P155" s="22"/>
    </row>
    <row r="156" spans="1:300" s="5" customFormat="1" x14ac:dyDescent="0.3">
      <c r="A156" s="305" t="s">
        <v>50</v>
      </c>
      <c r="B156" s="306"/>
      <c r="C156" s="390"/>
      <c r="D156" s="398" t="s">
        <v>180</v>
      </c>
      <c r="E156" s="391">
        <v>568</v>
      </c>
      <c r="F156" s="392" t="s">
        <v>46</v>
      </c>
      <c r="G156" s="311"/>
      <c r="H156" s="312">
        <f t="shared" si="18"/>
        <v>0</v>
      </c>
      <c r="I156" s="313"/>
      <c r="J156" s="307"/>
      <c r="K156" s="18"/>
      <c r="L156" s="19"/>
      <c r="M156" s="20"/>
      <c r="N156" s="14"/>
      <c r="O156" s="15"/>
      <c r="P156" s="22"/>
    </row>
    <row r="157" spans="1:300" s="5" customFormat="1" x14ac:dyDescent="0.3">
      <c r="A157" s="305" t="s">
        <v>52</v>
      </c>
      <c r="B157" s="306"/>
      <c r="C157" s="390"/>
      <c r="D157" s="398" t="s">
        <v>181</v>
      </c>
      <c r="E157" s="391">
        <v>1043</v>
      </c>
      <c r="F157" s="392" t="s">
        <v>21</v>
      </c>
      <c r="G157" s="311"/>
      <c r="H157" s="312">
        <f t="shared" si="18"/>
        <v>0</v>
      </c>
      <c r="I157" s="313"/>
      <c r="J157" s="307"/>
      <c r="K157" s="18"/>
      <c r="L157" s="19"/>
      <c r="M157" s="20"/>
      <c r="N157" s="14"/>
      <c r="O157" s="15"/>
      <c r="P157" s="22"/>
    </row>
    <row r="158" spans="1:300" s="5" customFormat="1" x14ac:dyDescent="0.3">
      <c r="A158" s="305"/>
      <c r="B158" s="306"/>
      <c r="C158" s="390"/>
      <c r="D158" s="398"/>
      <c r="E158" s="391"/>
      <c r="F158" s="392"/>
      <c r="G158" s="311"/>
      <c r="H158" s="312"/>
      <c r="I158" s="313"/>
      <c r="J158" s="307"/>
      <c r="K158" s="31"/>
      <c r="L158" s="27"/>
      <c r="M158" s="28"/>
      <c r="N158" s="29"/>
      <c r="O158" s="32"/>
      <c r="P158" s="22"/>
    </row>
    <row r="159" spans="1:300" s="5" customFormat="1" x14ac:dyDescent="0.3">
      <c r="A159" s="305"/>
      <c r="B159" s="306"/>
      <c r="C159" s="390"/>
      <c r="D159" s="398" t="s">
        <v>182</v>
      </c>
      <c r="E159" s="391"/>
      <c r="F159" s="392"/>
      <c r="G159" s="311"/>
      <c r="H159" s="312"/>
      <c r="I159" s="313"/>
      <c r="J159" s="307"/>
      <c r="K159" s="18"/>
      <c r="L159" s="19"/>
      <c r="M159" s="20"/>
      <c r="N159" s="14"/>
      <c r="O159" s="15"/>
      <c r="P159" s="22"/>
    </row>
    <row r="160" spans="1:300" s="23" customFormat="1" x14ac:dyDescent="0.3">
      <c r="A160" s="305" t="s">
        <v>54</v>
      </c>
      <c r="B160" s="306"/>
      <c r="C160" s="390"/>
      <c r="D160" s="398" t="s">
        <v>183</v>
      </c>
      <c r="E160" s="391">
        <v>5</v>
      </c>
      <c r="F160" s="392" t="s">
        <v>21</v>
      </c>
      <c r="G160" s="311"/>
      <c r="H160" s="312">
        <f t="shared" ref="H160:H172" si="19">E160*G160</f>
        <v>0</v>
      </c>
      <c r="I160" s="313"/>
      <c r="J160" s="414"/>
      <c r="K160" s="18"/>
      <c r="L160" s="19"/>
      <c r="M160" s="20"/>
      <c r="N160" s="14"/>
      <c r="O160" s="15"/>
      <c r="P160" s="22"/>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c r="HE160" s="5"/>
      <c r="HF160" s="5"/>
      <c r="HG160" s="5"/>
      <c r="HH160" s="5"/>
      <c r="HI160" s="5"/>
      <c r="HJ160" s="5"/>
      <c r="HK160" s="5"/>
      <c r="HL160" s="5"/>
      <c r="HM160" s="5"/>
      <c r="HN160" s="5"/>
      <c r="HO160" s="5"/>
      <c r="HP160" s="5"/>
      <c r="HQ160" s="5"/>
      <c r="HR160" s="5"/>
      <c r="HS160" s="5"/>
      <c r="HT160" s="5"/>
      <c r="HU160" s="5"/>
      <c r="HV160" s="5"/>
      <c r="HW160" s="5"/>
      <c r="HX160" s="5"/>
      <c r="HY160" s="5"/>
      <c r="HZ160" s="5"/>
      <c r="IA160" s="5"/>
      <c r="IB160" s="5"/>
      <c r="IC160" s="5"/>
      <c r="ID160" s="5"/>
      <c r="IE160" s="5"/>
      <c r="IF160" s="5"/>
      <c r="IG160" s="5"/>
      <c r="IH160" s="5"/>
      <c r="II160" s="5"/>
      <c r="IJ160" s="5"/>
      <c r="IK160" s="5"/>
      <c r="IL160" s="5"/>
      <c r="IM160" s="5"/>
      <c r="IN160" s="5"/>
      <c r="IO160" s="5"/>
      <c r="IP160" s="5"/>
      <c r="IQ160" s="5"/>
      <c r="IR160" s="5"/>
      <c r="IS160" s="5"/>
      <c r="IT160" s="5"/>
      <c r="IU160" s="5"/>
      <c r="IV160" s="5"/>
      <c r="IW160" s="5"/>
      <c r="IX160" s="5"/>
      <c r="IY160" s="5"/>
      <c r="IZ160" s="5"/>
      <c r="JA160" s="5"/>
      <c r="JB160" s="5"/>
      <c r="JC160" s="5"/>
      <c r="JD160" s="5"/>
      <c r="JE160" s="5"/>
      <c r="JF160" s="5"/>
      <c r="JG160" s="5"/>
      <c r="JH160" s="5"/>
      <c r="JI160" s="5"/>
      <c r="JJ160" s="5"/>
      <c r="JK160" s="5"/>
      <c r="JL160" s="5"/>
      <c r="JM160" s="5"/>
      <c r="JN160" s="5"/>
      <c r="JO160" s="5"/>
      <c r="JP160" s="5"/>
      <c r="JQ160" s="5"/>
      <c r="JR160" s="5"/>
      <c r="JS160" s="5"/>
      <c r="JT160" s="5"/>
      <c r="JU160" s="5"/>
      <c r="JV160" s="5"/>
      <c r="JW160" s="5"/>
      <c r="JX160" s="5"/>
      <c r="JY160" s="5"/>
      <c r="JZ160" s="5"/>
      <c r="KA160" s="5"/>
      <c r="KB160" s="5"/>
      <c r="KC160" s="5"/>
      <c r="KD160" s="5"/>
      <c r="KE160" s="5"/>
      <c r="KF160" s="5"/>
      <c r="KG160" s="5"/>
      <c r="KH160" s="5"/>
      <c r="KI160" s="5"/>
      <c r="KJ160" s="5"/>
      <c r="KK160" s="5"/>
      <c r="KL160" s="5"/>
      <c r="KM160" s="5"/>
      <c r="KN160" s="5"/>
    </row>
    <row r="161" spans="1:300" s="5" customFormat="1" x14ac:dyDescent="0.3">
      <c r="A161" s="305" t="s">
        <v>56</v>
      </c>
      <c r="B161" s="306"/>
      <c r="C161" s="390"/>
      <c r="D161" s="398" t="s">
        <v>184</v>
      </c>
      <c r="E161" s="391">
        <v>34</v>
      </c>
      <c r="F161" s="392" t="s">
        <v>21</v>
      </c>
      <c r="G161" s="311"/>
      <c r="H161" s="312">
        <f t="shared" si="19"/>
        <v>0</v>
      </c>
      <c r="I161" s="313"/>
      <c r="J161" s="415"/>
      <c r="K161" s="18"/>
      <c r="L161" s="19"/>
      <c r="M161" s="20"/>
      <c r="N161" s="14"/>
      <c r="O161" s="15"/>
      <c r="P161" s="22"/>
    </row>
    <row r="162" spans="1:300" s="23" customFormat="1" x14ac:dyDescent="0.3">
      <c r="A162" s="305" t="s">
        <v>58</v>
      </c>
      <c r="B162" s="306"/>
      <c r="C162" s="390"/>
      <c r="D162" s="398" t="s">
        <v>185</v>
      </c>
      <c r="E162" s="391">
        <v>8</v>
      </c>
      <c r="F162" s="392" t="s">
        <v>21</v>
      </c>
      <c r="G162" s="311"/>
      <c r="H162" s="312">
        <f t="shared" si="19"/>
        <v>0</v>
      </c>
      <c r="I162" s="313"/>
      <c r="J162" s="414"/>
      <c r="K162" s="18"/>
      <c r="L162" s="19"/>
      <c r="M162" s="20"/>
      <c r="N162" s="14"/>
      <c r="O162" s="15"/>
      <c r="P162" s="22"/>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c r="HE162" s="5"/>
      <c r="HF162" s="5"/>
      <c r="HG162" s="5"/>
      <c r="HH162" s="5"/>
      <c r="HI162" s="5"/>
      <c r="HJ162" s="5"/>
      <c r="HK162" s="5"/>
      <c r="HL162" s="5"/>
      <c r="HM162" s="5"/>
      <c r="HN162" s="5"/>
      <c r="HO162" s="5"/>
      <c r="HP162" s="5"/>
      <c r="HQ162" s="5"/>
      <c r="HR162" s="5"/>
      <c r="HS162" s="5"/>
      <c r="HT162" s="5"/>
      <c r="HU162" s="5"/>
      <c r="HV162" s="5"/>
      <c r="HW162" s="5"/>
      <c r="HX162" s="5"/>
      <c r="HY162" s="5"/>
      <c r="HZ162" s="5"/>
      <c r="IA162" s="5"/>
      <c r="IB162" s="5"/>
      <c r="IC162" s="5"/>
      <c r="ID162" s="5"/>
      <c r="IE162" s="5"/>
      <c r="IF162" s="5"/>
      <c r="IG162" s="5"/>
      <c r="IH162" s="5"/>
      <c r="II162" s="5"/>
      <c r="IJ162" s="5"/>
      <c r="IK162" s="5"/>
      <c r="IL162" s="5"/>
      <c r="IM162" s="5"/>
      <c r="IN162" s="5"/>
      <c r="IO162" s="5"/>
      <c r="IP162" s="5"/>
      <c r="IQ162" s="5"/>
      <c r="IR162" s="5"/>
      <c r="IS162" s="5"/>
      <c r="IT162" s="5"/>
      <c r="IU162" s="5"/>
      <c r="IV162" s="5"/>
      <c r="IW162" s="5"/>
      <c r="IX162" s="5"/>
      <c r="IY162" s="5"/>
      <c r="IZ162" s="5"/>
      <c r="JA162" s="5"/>
      <c r="JB162" s="5"/>
      <c r="JC162" s="5"/>
      <c r="JD162" s="5"/>
      <c r="JE162" s="5"/>
      <c r="JF162" s="5"/>
      <c r="JG162" s="5"/>
      <c r="JH162" s="5"/>
      <c r="JI162" s="5"/>
      <c r="JJ162" s="5"/>
      <c r="JK162" s="5"/>
      <c r="JL162" s="5"/>
      <c r="JM162" s="5"/>
      <c r="JN162" s="5"/>
      <c r="JO162" s="5"/>
      <c r="JP162" s="5"/>
      <c r="JQ162" s="5"/>
      <c r="JR162" s="5"/>
      <c r="JS162" s="5"/>
      <c r="JT162" s="5"/>
      <c r="JU162" s="5"/>
      <c r="JV162" s="5"/>
      <c r="JW162" s="5"/>
      <c r="JX162" s="5"/>
      <c r="JY162" s="5"/>
      <c r="JZ162" s="5"/>
      <c r="KA162" s="5"/>
      <c r="KB162" s="5"/>
      <c r="KC162" s="5"/>
      <c r="KD162" s="5"/>
      <c r="KE162" s="5"/>
      <c r="KF162" s="5"/>
      <c r="KG162" s="5"/>
      <c r="KH162" s="5"/>
      <c r="KI162" s="5"/>
      <c r="KJ162" s="5"/>
      <c r="KK162" s="5"/>
      <c r="KL162" s="5"/>
      <c r="KM162" s="5"/>
      <c r="KN162" s="5"/>
    </row>
    <row r="163" spans="1:300" s="5" customFormat="1" x14ac:dyDescent="0.3">
      <c r="A163" s="305" t="s">
        <v>60</v>
      </c>
      <c r="B163" s="306"/>
      <c r="C163" s="390"/>
      <c r="D163" s="398" t="s">
        <v>186</v>
      </c>
      <c r="E163" s="391">
        <v>5</v>
      </c>
      <c r="F163" s="392" t="s">
        <v>21</v>
      </c>
      <c r="G163" s="311"/>
      <c r="H163" s="312">
        <f t="shared" si="19"/>
        <v>0</v>
      </c>
      <c r="I163" s="313"/>
      <c r="J163" s="415"/>
      <c r="K163" s="18"/>
      <c r="L163" s="19"/>
      <c r="M163" s="20"/>
      <c r="N163" s="14"/>
      <c r="O163" s="15"/>
      <c r="P163" s="22"/>
    </row>
    <row r="164" spans="1:300" s="5" customFormat="1" x14ac:dyDescent="0.3">
      <c r="A164" s="305" t="s">
        <v>62</v>
      </c>
      <c r="B164" s="306"/>
      <c r="C164" s="390"/>
      <c r="D164" s="398" t="s">
        <v>187</v>
      </c>
      <c r="E164" s="391">
        <v>8</v>
      </c>
      <c r="F164" s="392" t="s">
        <v>21</v>
      </c>
      <c r="G164" s="311"/>
      <c r="H164" s="312">
        <f t="shared" si="19"/>
        <v>0</v>
      </c>
      <c r="I164" s="313"/>
      <c r="J164" s="415"/>
      <c r="K164" s="18"/>
      <c r="L164" s="19"/>
      <c r="M164" s="20"/>
      <c r="N164" s="14"/>
      <c r="O164" s="15"/>
      <c r="P164" s="22"/>
    </row>
    <row r="165" spans="1:300" s="5" customFormat="1" x14ac:dyDescent="0.3">
      <c r="A165" s="305" t="s">
        <v>64</v>
      </c>
      <c r="B165" s="306"/>
      <c r="C165" s="390"/>
      <c r="D165" s="398" t="s">
        <v>188</v>
      </c>
      <c r="E165" s="391">
        <v>25</v>
      </c>
      <c r="F165" s="392" t="s">
        <v>21</v>
      </c>
      <c r="G165" s="311"/>
      <c r="H165" s="312">
        <f t="shared" si="19"/>
        <v>0</v>
      </c>
      <c r="I165" s="313"/>
      <c r="J165" s="415"/>
      <c r="K165" s="18"/>
      <c r="L165" s="19"/>
      <c r="M165" s="20"/>
      <c r="N165" s="14"/>
      <c r="O165" s="15"/>
      <c r="P165" s="22"/>
    </row>
    <row r="166" spans="1:300" s="5" customFormat="1" x14ac:dyDescent="0.3">
      <c r="A166" s="305" t="s">
        <v>66</v>
      </c>
      <c r="B166" s="306"/>
      <c r="C166" s="390"/>
      <c r="D166" s="398" t="s">
        <v>189</v>
      </c>
      <c r="E166" s="391">
        <v>5045</v>
      </c>
      <c r="F166" s="392" t="s">
        <v>21</v>
      </c>
      <c r="G166" s="311"/>
      <c r="H166" s="312">
        <f t="shared" si="19"/>
        <v>0</v>
      </c>
      <c r="I166" s="313"/>
      <c r="J166" s="416"/>
      <c r="K166" s="18"/>
      <c r="L166" s="19"/>
      <c r="M166" s="20"/>
      <c r="N166" s="14"/>
      <c r="O166" s="15"/>
      <c r="P166" s="22"/>
    </row>
    <row r="167" spans="1:300" s="5" customFormat="1" x14ac:dyDescent="0.3">
      <c r="A167" s="305" t="s">
        <v>68</v>
      </c>
      <c r="B167" s="306"/>
      <c r="C167" s="390"/>
      <c r="D167" s="398" t="s">
        <v>190</v>
      </c>
      <c r="E167" s="391">
        <v>35101</v>
      </c>
      <c r="F167" s="392" t="s">
        <v>21</v>
      </c>
      <c r="G167" s="311"/>
      <c r="H167" s="312">
        <f t="shared" si="19"/>
        <v>0</v>
      </c>
      <c r="I167" s="313"/>
      <c r="J167" s="416"/>
      <c r="K167" s="18"/>
      <c r="L167" s="19"/>
      <c r="M167" s="20"/>
      <c r="N167" s="14"/>
      <c r="O167" s="15"/>
      <c r="P167" s="22"/>
    </row>
    <row r="168" spans="1:300" s="5" customFormat="1" x14ac:dyDescent="0.3">
      <c r="A168" s="305" t="s">
        <v>71</v>
      </c>
      <c r="B168" s="306"/>
      <c r="C168" s="390"/>
      <c r="D168" s="398" t="s">
        <v>191</v>
      </c>
      <c r="E168" s="391">
        <v>1402</v>
      </c>
      <c r="F168" s="392" t="s">
        <v>21</v>
      </c>
      <c r="G168" s="311"/>
      <c r="H168" s="312">
        <f t="shared" si="19"/>
        <v>0</v>
      </c>
      <c r="I168" s="313"/>
      <c r="J168" s="307"/>
      <c r="K168" s="18"/>
      <c r="L168" s="19"/>
      <c r="M168" s="20"/>
      <c r="N168" s="14"/>
      <c r="O168" s="15"/>
      <c r="P168" s="22"/>
    </row>
    <row r="169" spans="1:300" s="5" customFormat="1" x14ac:dyDescent="0.3">
      <c r="A169" s="305" t="s">
        <v>73</v>
      </c>
      <c r="B169" s="306"/>
      <c r="C169" s="390"/>
      <c r="D169" s="398" t="s">
        <v>192</v>
      </c>
      <c r="E169" s="391">
        <v>648</v>
      </c>
      <c r="F169" s="392" t="s">
        <v>21</v>
      </c>
      <c r="G169" s="311"/>
      <c r="H169" s="312">
        <f t="shared" si="19"/>
        <v>0</v>
      </c>
      <c r="I169" s="313"/>
      <c r="J169" s="307"/>
      <c r="K169" s="18"/>
      <c r="L169" s="19"/>
      <c r="M169" s="20"/>
      <c r="N169" s="14"/>
      <c r="O169" s="15"/>
      <c r="P169" s="22"/>
    </row>
    <row r="170" spans="1:300" s="5" customFormat="1" x14ac:dyDescent="0.3">
      <c r="A170" s="305" t="s">
        <v>75</v>
      </c>
      <c r="B170" s="306"/>
      <c r="C170" s="390"/>
      <c r="D170" s="398" t="s">
        <v>193</v>
      </c>
      <c r="E170" s="391">
        <v>4239</v>
      </c>
      <c r="F170" s="392" t="s">
        <v>21</v>
      </c>
      <c r="G170" s="311"/>
      <c r="H170" s="312">
        <f t="shared" si="19"/>
        <v>0</v>
      </c>
      <c r="I170" s="313"/>
      <c r="J170" s="307"/>
      <c r="K170" s="18"/>
      <c r="L170" s="19"/>
      <c r="M170" s="20"/>
      <c r="N170" s="14"/>
      <c r="O170" s="15"/>
      <c r="P170" s="22"/>
    </row>
    <row r="171" spans="1:300" s="5" customFormat="1" x14ac:dyDescent="0.3">
      <c r="A171" s="305" t="s">
        <v>77</v>
      </c>
      <c r="B171" s="306"/>
      <c r="C171" s="390"/>
      <c r="D171" s="398" t="s">
        <v>194</v>
      </c>
      <c r="E171" s="391">
        <v>11245</v>
      </c>
      <c r="F171" s="392" t="s">
        <v>21</v>
      </c>
      <c r="G171" s="311"/>
      <c r="H171" s="312">
        <f t="shared" si="19"/>
        <v>0</v>
      </c>
      <c r="I171" s="313"/>
      <c r="J171" s="412"/>
      <c r="K171" s="18"/>
      <c r="L171" s="19"/>
      <c r="M171" s="20"/>
      <c r="N171" s="14"/>
      <c r="O171" s="15"/>
      <c r="P171" s="22"/>
    </row>
    <row r="172" spans="1:300" s="5" customFormat="1" x14ac:dyDescent="0.3">
      <c r="A172" s="305" t="s">
        <v>80</v>
      </c>
      <c r="B172" s="306"/>
      <c r="C172" s="390"/>
      <c r="D172" s="398" t="s">
        <v>195</v>
      </c>
      <c r="E172" s="391">
        <v>3108</v>
      </c>
      <c r="F172" s="392" t="s">
        <v>21</v>
      </c>
      <c r="G172" s="311"/>
      <c r="H172" s="312">
        <f t="shared" si="19"/>
        <v>0</v>
      </c>
      <c r="I172" s="313"/>
      <c r="J172" s="307"/>
      <c r="K172" s="18"/>
      <c r="L172" s="19"/>
      <c r="M172" s="20"/>
      <c r="N172" s="14"/>
      <c r="O172" s="15"/>
      <c r="P172" s="22"/>
    </row>
    <row r="173" spans="1:300" s="5" customFormat="1" x14ac:dyDescent="0.3">
      <c r="A173" s="305"/>
      <c r="B173" s="306"/>
      <c r="C173" s="390"/>
      <c r="D173" s="398"/>
      <c r="E173" s="391"/>
      <c r="F173" s="392"/>
      <c r="G173" s="311"/>
      <c r="H173" s="312"/>
      <c r="I173" s="313"/>
      <c r="J173" s="307"/>
      <c r="K173" s="18"/>
      <c r="L173" s="19"/>
      <c r="M173" s="20"/>
      <c r="N173" s="14"/>
      <c r="O173" s="15"/>
      <c r="P173" s="22"/>
    </row>
    <row r="174" spans="1:300" s="5" customFormat="1" x14ac:dyDescent="0.3">
      <c r="A174" s="305"/>
      <c r="B174" s="306"/>
      <c r="C174" s="390"/>
      <c r="D174" s="398" t="s">
        <v>196</v>
      </c>
      <c r="E174" s="391"/>
      <c r="F174" s="392"/>
      <c r="G174" s="311"/>
      <c r="H174" s="312"/>
      <c r="I174" s="313"/>
      <c r="J174" s="307"/>
      <c r="K174" s="18"/>
      <c r="L174" s="19"/>
      <c r="M174" s="20"/>
      <c r="N174" s="14"/>
      <c r="O174" s="15"/>
      <c r="P174" s="22"/>
    </row>
    <row r="175" spans="1:300" s="5" customFormat="1" x14ac:dyDescent="0.3">
      <c r="A175" s="305" t="s">
        <v>81</v>
      </c>
      <c r="B175" s="306"/>
      <c r="C175" s="390"/>
      <c r="D175" s="308" t="s">
        <v>197</v>
      </c>
      <c r="E175" s="391">
        <v>1</v>
      </c>
      <c r="F175" s="392" t="s">
        <v>100</v>
      </c>
      <c r="G175" s="311"/>
      <c r="H175" s="312">
        <f t="shared" ref="H175" si="20">E175*G175</f>
        <v>0</v>
      </c>
      <c r="I175" s="313"/>
      <c r="J175" s="307"/>
      <c r="K175" s="18"/>
      <c r="L175" s="19"/>
      <c r="M175" s="20"/>
      <c r="N175" s="14"/>
      <c r="O175" s="15"/>
      <c r="P175" s="22"/>
    </row>
    <row r="176" spans="1:300" s="5" customFormat="1" x14ac:dyDescent="0.3">
      <c r="A176" s="305"/>
      <c r="B176" s="306"/>
      <c r="C176" s="390"/>
      <c r="D176" s="398"/>
      <c r="E176" s="391"/>
      <c r="F176" s="392"/>
      <c r="G176" s="311"/>
      <c r="H176" s="312"/>
      <c r="I176" s="313"/>
      <c r="J176" s="307"/>
      <c r="K176" s="18"/>
      <c r="L176" s="19"/>
      <c r="M176" s="20"/>
      <c r="N176" s="14"/>
      <c r="O176" s="15"/>
      <c r="P176" s="22"/>
    </row>
    <row r="177" spans="1:300" s="5" customFormat="1" x14ac:dyDescent="0.3">
      <c r="A177" s="305">
        <v>2.0299999999999998</v>
      </c>
      <c r="B177" s="306"/>
      <c r="C177" s="390" t="s">
        <v>198</v>
      </c>
      <c r="D177" s="308"/>
      <c r="E177" s="309"/>
      <c r="F177" s="310"/>
      <c r="G177" s="311"/>
      <c r="H177" s="312"/>
      <c r="I177" s="313"/>
      <c r="J177" s="307"/>
      <c r="K177" s="16"/>
      <c r="L177" s="17"/>
      <c r="M177" s="20"/>
      <c r="N177" s="14"/>
      <c r="O177" s="15"/>
      <c r="P177" s="22"/>
    </row>
    <row r="178" spans="1:300" s="5" customFormat="1" x14ac:dyDescent="0.3">
      <c r="A178" s="305"/>
      <c r="B178" s="306"/>
      <c r="C178" s="390"/>
      <c r="D178" s="308" t="s">
        <v>49</v>
      </c>
      <c r="E178" s="309"/>
      <c r="F178" s="310"/>
      <c r="G178" s="311"/>
      <c r="H178" s="312"/>
      <c r="I178" s="313"/>
      <c r="J178" s="307"/>
      <c r="K178" s="16"/>
      <c r="L178" s="17"/>
      <c r="M178" s="20"/>
      <c r="N178" s="14"/>
      <c r="O178" s="15"/>
      <c r="P178" s="22"/>
    </row>
    <row r="179" spans="1:300" s="5" customFormat="1" x14ac:dyDescent="0.3">
      <c r="A179" s="305" t="s">
        <v>19</v>
      </c>
      <c r="B179" s="306"/>
      <c r="C179" s="390"/>
      <c r="D179" s="308" t="s">
        <v>199</v>
      </c>
      <c r="E179" s="309">
        <v>127</v>
      </c>
      <c r="F179" s="310" t="s">
        <v>27</v>
      </c>
      <c r="G179" s="311"/>
      <c r="H179" s="312">
        <f t="shared" ref="H179:H182" si="21">E179*G179</f>
        <v>0</v>
      </c>
      <c r="I179" s="313"/>
      <c r="J179" s="307"/>
      <c r="K179" s="16"/>
      <c r="L179" s="17"/>
      <c r="M179" s="20"/>
      <c r="N179" s="14"/>
      <c r="O179" s="15"/>
      <c r="P179" s="22"/>
    </row>
    <row r="180" spans="1:300" s="23" customFormat="1" x14ac:dyDescent="0.3">
      <c r="A180" s="305" t="s">
        <v>22</v>
      </c>
      <c r="B180" s="306"/>
      <c r="C180" s="390"/>
      <c r="D180" s="308" t="s">
        <v>200</v>
      </c>
      <c r="E180" s="309">
        <v>88</v>
      </c>
      <c r="F180" s="310" t="s">
        <v>27</v>
      </c>
      <c r="G180" s="311"/>
      <c r="H180" s="312">
        <f t="shared" si="21"/>
        <v>0</v>
      </c>
      <c r="I180" s="313"/>
      <c r="J180" s="307"/>
      <c r="K180" s="16"/>
      <c r="L180" s="17"/>
      <c r="M180" s="20"/>
      <c r="N180" s="14"/>
      <c r="O180" s="15"/>
      <c r="P180" s="33"/>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c r="HE180" s="5"/>
      <c r="HF180" s="5"/>
      <c r="HG180" s="5"/>
      <c r="HH180" s="5"/>
      <c r="HI180" s="5"/>
      <c r="HJ180" s="5"/>
      <c r="HK180" s="5"/>
      <c r="HL180" s="5"/>
      <c r="HM180" s="5"/>
      <c r="HN180" s="5"/>
      <c r="HO180" s="5"/>
      <c r="HP180" s="5"/>
      <c r="HQ180" s="5"/>
      <c r="HR180" s="5"/>
      <c r="HS180" s="5"/>
      <c r="HT180" s="5"/>
      <c r="HU180" s="5"/>
      <c r="HV180" s="5"/>
      <c r="HW180" s="5"/>
      <c r="HX180" s="5"/>
      <c r="HY180" s="5"/>
      <c r="HZ180" s="5"/>
      <c r="IA180" s="5"/>
      <c r="IB180" s="5"/>
      <c r="IC180" s="5"/>
      <c r="ID180" s="5"/>
      <c r="IE180" s="5"/>
      <c r="IF180" s="5"/>
      <c r="IG180" s="5"/>
      <c r="IH180" s="5"/>
      <c r="II180" s="5"/>
      <c r="IJ180" s="5"/>
      <c r="IK180" s="5"/>
      <c r="IL180" s="5"/>
      <c r="IM180" s="5"/>
      <c r="IN180" s="5"/>
      <c r="IO180" s="5"/>
      <c r="IP180" s="5"/>
      <c r="IQ180" s="5"/>
      <c r="IR180" s="5"/>
      <c r="IS180" s="5"/>
      <c r="IT180" s="5"/>
      <c r="IU180" s="5"/>
      <c r="IV180" s="5"/>
      <c r="IW180" s="5"/>
      <c r="IX180" s="5"/>
      <c r="IY180" s="5"/>
      <c r="IZ180" s="5"/>
      <c r="JA180" s="5"/>
      <c r="JB180" s="5"/>
      <c r="JC180" s="5"/>
      <c r="JD180" s="5"/>
      <c r="JE180" s="5"/>
      <c r="JF180" s="5"/>
      <c r="JG180" s="5"/>
      <c r="JH180" s="5"/>
      <c r="JI180" s="5"/>
      <c r="JJ180" s="5"/>
      <c r="JK180" s="5"/>
      <c r="JL180" s="5"/>
      <c r="JM180" s="5"/>
      <c r="JN180" s="5"/>
      <c r="JO180" s="5"/>
      <c r="JP180" s="5"/>
      <c r="JQ180" s="5"/>
      <c r="JR180" s="5"/>
      <c r="JS180" s="5"/>
      <c r="JT180" s="5"/>
      <c r="JU180" s="5"/>
      <c r="JV180" s="5"/>
      <c r="JW180" s="5"/>
      <c r="JX180" s="5"/>
      <c r="JY180" s="5"/>
      <c r="JZ180" s="5"/>
      <c r="KA180" s="5"/>
      <c r="KB180" s="5"/>
      <c r="KC180" s="5"/>
      <c r="KD180" s="5"/>
      <c r="KE180" s="5"/>
      <c r="KF180" s="5"/>
      <c r="KG180" s="5"/>
      <c r="KH180" s="5"/>
      <c r="KI180" s="5"/>
      <c r="KJ180" s="5"/>
      <c r="KK180" s="5"/>
      <c r="KL180" s="5"/>
      <c r="KM180" s="5"/>
      <c r="KN180" s="5"/>
    </row>
    <row r="181" spans="1:300" s="23" customFormat="1" x14ac:dyDescent="0.3">
      <c r="A181" s="305" t="s">
        <v>25</v>
      </c>
      <c r="B181" s="306"/>
      <c r="C181" s="390"/>
      <c r="D181" s="308" t="s">
        <v>201</v>
      </c>
      <c r="E181" s="309">
        <v>117</v>
      </c>
      <c r="F181" s="310" t="s">
        <v>27</v>
      </c>
      <c r="G181" s="311"/>
      <c r="H181" s="312">
        <f t="shared" si="21"/>
        <v>0</v>
      </c>
      <c r="I181" s="313"/>
      <c r="J181" s="307"/>
      <c r="K181" s="16"/>
      <c r="L181" s="17"/>
      <c r="M181" s="20"/>
      <c r="N181" s="14"/>
      <c r="O181" s="15"/>
      <c r="P181" s="22"/>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c r="HE181" s="5"/>
      <c r="HF181" s="5"/>
      <c r="HG181" s="5"/>
      <c r="HH181" s="5"/>
      <c r="HI181" s="5"/>
      <c r="HJ181" s="5"/>
      <c r="HK181" s="5"/>
      <c r="HL181" s="5"/>
      <c r="HM181" s="5"/>
      <c r="HN181" s="5"/>
      <c r="HO181" s="5"/>
      <c r="HP181" s="5"/>
      <c r="HQ181" s="5"/>
      <c r="HR181" s="5"/>
      <c r="HS181" s="5"/>
      <c r="HT181" s="5"/>
      <c r="HU181" s="5"/>
      <c r="HV181" s="5"/>
      <c r="HW181" s="5"/>
      <c r="HX181" s="5"/>
      <c r="HY181" s="5"/>
      <c r="HZ181" s="5"/>
      <c r="IA181" s="5"/>
      <c r="IB181" s="5"/>
      <c r="IC181" s="5"/>
      <c r="ID181" s="5"/>
      <c r="IE181" s="5"/>
      <c r="IF181" s="5"/>
      <c r="IG181" s="5"/>
      <c r="IH181" s="5"/>
      <c r="II181" s="5"/>
      <c r="IJ181" s="5"/>
      <c r="IK181" s="5"/>
      <c r="IL181" s="5"/>
      <c r="IM181" s="5"/>
      <c r="IN181" s="5"/>
      <c r="IO181" s="5"/>
      <c r="IP181" s="5"/>
      <c r="IQ181" s="5"/>
      <c r="IR181" s="5"/>
      <c r="IS181" s="5"/>
      <c r="IT181" s="5"/>
      <c r="IU181" s="5"/>
      <c r="IV181" s="5"/>
      <c r="IW181" s="5"/>
      <c r="IX181" s="5"/>
      <c r="IY181" s="5"/>
      <c r="IZ181" s="5"/>
      <c r="JA181" s="5"/>
      <c r="JB181" s="5"/>
      <c r="JC181" s="5"/>
      <c r="JD181" s="5"/>
      <c r="JE181" s="5"/>
      <c r="JF181" s="5"/>
      <c r="JG181" s="5"/>
      <c r="JH181" s="5"/>
      <c r="JI181" s="5"/>
      <c r="JJ181" s="5"/>
      <c r="JK181" s="5"/>
      <c r="JL181" s="5"/>
      <c r="JM181" s="5"/>
      <c r="JN181" s="5"/>
      <c r="JO181" s="5"/>
      <c r="JP181" s="5"/>
      <c r="JQ181" s="5"/>
      <c r="JR181" s="5"/>
      <c r="JS181" s="5"/>
      <c r="JT181" s="5"/>
      <c r="JU181" s="5"/>
      <c r="JV181" s="5"/>
      <c r="JW181" s="5"/>
      <c r="JX181" s="5"/>
      <c r="JY181" s="5"/>
      <c r="JZ181" s="5"/>
      <c r="KA181" s="5"/>
      <c r="KB181" s="5"/>
      <c r="KC181" s="5"/>
      <c r="KD181" s="5"/>
      <c r="KE181" s="5"/>
      <c r="KF181" s="5"/>
      <c r="KG181" s="5"/>
      <c r="KH181" s="5"/>
      <c r="KI181" s="5"/>
      <c r="KJ181" s="5"/>
      <c r="KK181" s="5"/>
      <c r="KL181" s="5"/>
      <c r="KM181" s="5"/>
      <c r="KN181" s="5"/>
    </row>
    <row r="182" spans="1:300" s="23" customFormat="1" x14ac:dyDescent="0.3">
      <c r="A182" s="305" t="s">
        <v>28</v>
      </c>
      <c r="B182" s="306"/>
      <c r="C182" s="390"/>
      <c r="D182" s="308" t="s">
        <v>202</v>
      </c>
      <c r="E182" s="309">
        <v>122</v>
      </c>
      <c r="F182" s="310" t="s">
        <v>27</v>
      </c>
      <c r="G182" s="311"/>
      <c r="H182" s="312">
        <f t="shared" si="21"/>
        <v>0</v>
      </c>
      <c r="I182" s="313"/>
      <c r="J182" s="307"/>
      <c r="K182" s="16"/>
      <c r="L182" s="17"/>
      <c r="M182" s="20"/>
      <c r="N182" s="14"/>
      <c r="O182" s="15"/>
      <c r="P182" s="22"/>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c r="HE182" s="5"/>
      <c r="HF182" s="5"/>
      <c r="HG182" s="5"/>
      <c r="HH182" s="5"/>
      <c r="HI182" s="5"/>
      <c r="HJ182" s="5"/>
      <c r="HK182" s="5"/>
      <c r="HL182" s="5"/>
      <c r="HM182" s="5"/>
      <c r="HN182" s="5"/>
      <c r="HO182" s="5"/>
      <c r="HP182" s="5"/>
      <c r="HQ182" s="5"/>
      <c r="HR182" s="5"/>
      <c r="HS182" s="5"/>
      <c r="HT182" s="5"/>
      <c r="HU182" s="5"/>
      <c r="HV182" s="5"/>
      <c r="HW182" s="5"/>
      <c r="HX182" s="5"/>
      <c r="HY182" s="5"/>
      <c r="HZ182" s="5"/>
      <c r="IA182" s="5"/>
      <c r="IB182" s="5"/>
      <c r="IC182" s="5"/>
      <c r="ID182" s="5"/>
      <c r="IE182" s="5"/>
      <c r="IF182" s="5"/>
      <c r="IG182" s="5"/>
      <c r="IH182" s="5"/>
      <c r="II182" s="5"/>
      <c r="IJ182" s="5"/>
      <c r="IK182" s="5"/>
      <c r="IL182" s="5"/>
      <c r="IM182" s="5"/>
      <c r="IN182" s="5"/>
      <c r="IO182" s="5"/>
      <c r="IP182" s="5"/>
      <c r="IQ182" s="5"/>
      <c r="IR182" s="5"/>
      <c r="IS182" s="5"/>
      <c r="IT182" s="5"/>
      <c r="IU182" s="5"/>
      <c r="IV182" s="5"/>
      <c r="IW182" s="5"/>
      <c r="IX182" s="5"/>
      <c r="IY182" s="5"/>
      <c r="IZ182" s="5"/>
      <c r="JA182" s="5"/>
      <c r="JB182" s="5"/>
      <c r="JC182" s="5"/>
      <c r="JD182" s="5"/>
      <c r="JE182" s="5"/>
      <c r="JF182" s="5"/>
      <c r="JG182" s="5"/>
      <c r="JH182" s="5"/>
      <c r="JI182" s="5"/>
      <c r="JJ182" s="5"/>
      <c r="JK182" s="5"/>
      <c r="JL182" s="5"/>
      <c r="JM182" s="5"/>
      <c r="JN182" s="5"/>
      <c r="JO182" s="5"/>
      <c r="JP182" s="5"/>
      <c r="JQ182" s="5"/>
      <c r="JR182" s="5"/>
      <c r="JS182" s="5"/>
      <c r="JT182" s="5"/>
      <c r="JU182" s="5"/>
      <c r="JV182" s="5"/>
      <c r="JW182" s="5"/>
      <c r="JX182" s="5"/>
      <c r="JY182" s="5"/>
      <c r="JZ182" s="5"/>
      <c r="KA182" s="5"/>
      <c r="KB182" s="5"/>
      <c r="KC182" s="5"/>
      <c r="KD182" s="5"/>
      <c r="KE182" s="5"/>
      <c r="KF182" s="5"/>
      <c r="KG182" s="5"/>
      <c r="KH182" s="5"/>
      <c r="KI182" s="5"/>
      <c r="KJ182" s="5"/>
      <c r="KK182" s="5"/>
      <c r="KL182" s="5"/>
      <c r="KM182" s="5"/>
      <c r="KN182" s="5"/>
    </row>
    <row r="183" spans="1:300" s="23" customFormat="1" ht="43.95" customHeight="1" x14ac:dyDescent="0.3">
      <c r="A183" s="305" t="s">
        <v>30</v>
      </c>
      <c r="B183" s="306"/>
      <c r="C183" s="390"/>
      <c r="D183" s="308" t="s">
        <v>203</v>
      </c>
      <c r="E183" s="309"/>
      <c r="F183" s="310"/>
      <c r="G183" s="311"/>
      <c r="H183" s="312"/>
      <c r="I183" s="313"/>
      <c r="J183" s="307"/>
      <c r="K183" s="16"/>
      <c r="L183" s="17"/>
      <c r="M183" s="20"/>
      <c r="N183" s="14"/>
      <c r="O183" s="15"/>
      <c r="P183" s="22"/>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c r="HX183" s="5"/>
      <c r="HY183" s="5"/>
      <c r="HZ183" s="5"/>
      <c r="IA183" s="5"/>
      <c r="IB183" s="5"/>
      <c r="IC183" s="5"/>
      <c r="ID183" s="5"/>
      <c r="IE183" s="5"/>
      <c r="IF183" s="5"/>
      <c r="IG183" s="5"/>
      <c r="IH183" s="5"/>
      <c r="II183" s="5"/>
      <c r="IJ183" s="5"/>
      <c r="IK183" s="5"/>
      <c r="IL183" s="5"/>
      <c r="IM183" s="5"/>
      <c r="IN183" s="5"/>
      <c r="IO183" s="5"/>
      <c r="IP183" s="5"/>
      <c r="IQ183" s="5"/>
      <c r="IR183" s="5"/>
      <c r="IS183" s="5"/>
      <c r="IT183" s="5"/>
      <c r="IU183" s="5"/>
      <c r="IV183" s="5"/>
      <c r="IW183" s="5"/>
      <c r="IX183" s="5"/>
      <c r="IY183" s="5"/>
      <c r="IZ183" s="5"/>
      <c r="JA183" s="5"/>
      <c r="JB183" s="5"/>
      <c r="JC183" s="5"/>
      <c r="JD183" s="5"/>
      <c r="JE183" s="5"/>
      <c r="JF183" s="5"/>
      <c r="JG183" s="5"/>
      <c r="JH183" s="5"/>
      <c r="JI183" s="5"/>
      <c r="JJ183" s="5"/>
      <c r="JK183" s="5"/>
      <c r="JL183" s="5"/>
      <c r="JM183" s="5"/>
      <c r="JN183" s="5"/>
      <c r="JO183" s="5"/>
      <c r="JP183" s="5"/>
      <c r="JQ183" s="5"/>
      <c r="JR183" s="5"/>
      <c r="JS183" s="5"/>
      <c r="JT183" s="5"/>
      <c r="JU183" s="5"/>
      <c r="JV183" s="5"/>
      <c r="JW183" s="5"/>
      <c r="JX183" s="5"/>
      <c r="JY183" s="5"/>
      <c r="JZ183" s="5"/>
      <c r="KA183" s="5"/>
      <c r="KB183" s="5"/>
      <c r="KC183" s="5"/>
      <c r="KD183" s="5"/>
      <c r="KE183" s="5"/>
      <c r="KF183" s="5"/>
      <c r="KG183" s="5"/>
      <c r="KH183" s="5"/>
      <c r="KI183" s="5"/>
      <c r="KJ183" s="5"/>
      <c r="KK183" s="5"/>
      <c r="KL183" s="5"/>
      <c r="KM183" s="5"/>
      <c r="KN183" s="5"/>
    </row>
    <row r="184" spans="1:300" s="23" customFormat="1" x14ac:dyDescent="0.3">
      <c r="A184" s="305" t="s">
        <v>32</v>
      </c>
      <c r="B184" s="306"/>
      <c r="C184" s="390"/>
      <c r="D184" s="308" t="s">
        <v>204</v>
      </c>
      <c r="E184" s="309">
        <v>3824</v>
      </c>
      <c r="F184" s="310" t="s">
        <v>27</v>
      </c>
      <c r="G184" s="311"/>
      <c r="H184" s="312">
        <f t="shared" ref="H184:H186" si="22">E184*G184</f>
        <v>0</v>
      </c>
      <c r="I184" s="313"/>
      <c r="J184" s="307"/>
      <c r="K184" s="16"/>
      <c r="L184" s="17"/>
      <c r="M184" s="20"/>
      <c r="N184" s="14"/>
      <c r="O184" s="15"/>
      <c r="P184" s="22"/>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c r="HE184" s="5"/>
      <c r="HF184" s="5"/>
      <c r="HG184" s="5"/>
      <c r="HH184" s="5"/>
      <c r="HI184" s="5"/>
      <c r="HJ184" s="5"/>
      <c r="HK184" s="5"/>
      <c r="HL184" s="5"/>
      <c r="HM184" s="5"/>
      <c r="HN184" s="5"/>
      <c r="HO184" s="5"/>
      <c r="HP184" s="5"/>
      <c r="HQ184" s="5"/>
      <c r="HR184" s="5"/>
      <c r="HS184" s="5"/>
      <c r="HT184" s="5"/>
      <c r="HU184" s="5"/>
      <c r="HV184" s="5"/>
      <c r="HW184" s="5"/>
      <c r="HX184" s="5"/>
      <c r="HY184" s="5"/>
      <c r="HZ184" s="5"/>
      <c r="IA184" s="5"/>
      <c r="IB184" s="5"/>
      <c r="IC184" s="5"/>
      <c r="ID184" s="5"/>
      <c r="IE184" s="5"/>
      <c r="IF184" s="5"/>
      <c r="IG184" s="5"/>
      <c r="IH184" s="5"/>
      <c r="II184" s="5"/>
      <c r="IJ184" s="5"/>
      <c r="IK184" s="5"/>
      <c r="IL184" s="5"/>
      <c r="IM184" s="5"/>
      <c r="IN184" s="5"/>
      <c r="IO184" s="5"/>
      <c r="IP184" s="5"/>
      <c r="IQ184" s="5"/>
      <c r="IR184" s="5"/>
      <c r="IS184" s="5"/>
      <c r="IT184" s="5"/>
      <c r="IU184" s="5"/>
      <c r="IV184" s="5"/>
      <c r="IW184" s="5"/>
      <c r="IX184" s="5"/>
      <c r="IY184" s="5"/>
      <c r="IZ184" s="5"/>
      <c r="JA184" s="5"/>
      <c r="JB184" s="5"/>
      <c r="JC184" s="5"/>
      <c r="JD184" s="5"/>
      <c r="JE184" s="5"/>
      <c r="JF184" s="5"/>
      <c r="JG184" s="5"/>
      <c r="JH184" s="5"/>
      <c r="JI184" s="5"/>
      <c r="JJ184" s="5"/>
      <c r="JK184" s="5"/>
      <c r="JL184" s="5"/>
      <c r="JM184" s="5"/>
      <c r="JN184" s="5"/>
      <c r="JO184" s="5"/>
      <c r="JP184" s="5"/>
      <c r="JQ184" s="5"/>
      <c r="JR184" s="5"/>
      <c r="JS184" s="5"/>
      <c r="JT184" s="5"/>
      <c r="JU184" s="5"/>
      <c r="JV184" s="5"/>
      <c r="JW184" s="5"/>
      <c r="JX184" s="5"/>
      <c r="JY184" s="5"/>
      <c r="JZ184" s="5"/>
      <c r="KA184" s="5"/>
      <c r="KB184" s="5"/>
      <c r="KC184" s="5"/>
      <c r="KD184" s="5"/>
      <c r="KE184" s="5"/>
      <c r="KF184" s="5"/>
      <c r="KG184" s="5"/>
      <c r="KH184" s="5"/>
      <c r="KI184" s="5"/>
      <c r="KJ184" s="5"/>
      <c r="KK184" s="5"/>
      <c r="KL184" s="5"/>
      <c r="KM184" s="5"/>
      <c r="KN184" s="5"/>
    </row>
    <row r="185" spans="1:300" s="23" customFormat="1" x14ac:dyDescent="0.3">
      <c r="A185" s="305" t="s">
        <v>34</v>
      </c>
      <c r="B185" s="306"/>
      <c r="C185" s="390"/>
      <c r="D185" s="308" t="s">
        <v>205</v>
      </c>
      <c r="E185" s="309">
        <v>11872</v>
      </c>
      <c r="F185" s="310" t="s">
        <v>27</v>
      </c>
      <c r="G185" s="311"/>
      <c r="H185" s="312">
        <f t="shared" si="22"/>
        <v>0</v>
      </c>
      <c r="I185" s="313"/>
      <c r="J185" s="307"/>
      <c r="K185" s="16"/>
      <c r="L185" s="17"/>
      <c r="M185" s="20"/>
      <c r="N185" s="14"/>
      <c r="O185" s="15"/>
      <c r="P185" s="22"/>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c r="HE185" s="5"/>
      <c r="HF185" s="5"/>
      <c r="HG185" s="5"/>
      <c r="HH185" s="5"/>
      <c r="HI185" s="5"/>
      <c r="HJ185" s="5"/>
      <c r="HK185" s="5"/>
      <c r="HL185" s="5"/>
      <c r="HM185" s="5"/>
      <c r="HN185" s="5"/>
      <c r="HO185" s="5"/>
      <c r="HP185" s="5"/>
      <c r="HQ185" s="5"/>
      <c r="HR185" s="5"/>
      <c r="HS185" s="5"/>
      <c r="HT185" s="5"/>
      <c r="HU185" s="5"/>
      <c r="HV185" s="5"/>
      <c r="HW185" s="5"/>
      <c r="HX185" s="5"/>
      <c r="HY185" s="5"/>
      <c r="HZ185" s="5"/>
      <c r="IA185" s="5"/>
      <c r="IB185" s="5"/>
      <c r="IC185" s="5"/>
      <c r="ID185" s="5"/>
      <c r="IE185" s="5"/>
      <c r="IF185" s="5"/>
      <c r="IG185" s="5"/>
      <c r="IH185" s="5"/>
      <c r="II185" s="5"/>
      <c r="IJ185" s="5"/>
      <c r="IK185" s="5"/>
      <c r="IL185" s="5"/>
      <c r="IM185" s="5"/>
      <c r="IN185" s="5"/>
      <c r="IO185" s="5"/>
      <c r="IP185" s="5"/>
      <c r="IQ185" s="5"/>
      <c r="IR185" s="5"/>
      <c r="IS185" s="5"/>
      <c r="IT185" s="5"/>
      <c r="IU185" s="5"/>
      <c r="IV185" s="5"/>
      <c r="IW185" s="5"/>
      <c r="IX185" s="5"/>
      <c r="IY185" s="5"/>
      <c r="IZ185" s="5"/>
      <c r="JA185" s="5"/>
      <c r="JB185" s="5"/>
      <c r="JC185" s="5"/>
      <c r="JD185" s="5"/>
      <c r="JE185" s="5"/>
      <c r="JF185" s="5"/>
      <c r="JG185" s="5"/>
      <c r="JH185" s="5"/>
      <c r="JI185" s="5"/>
      <c r="JJ185" s="5"/>
      <c r="JK185" s="5"/>
      <c r="JL185" s="5"/>
      <c r="JM185" s="5"/>
      <c r="JN185" s="5"/>
      <c r="JO185" s="5"/>
      <c r="JP185" s="5"/>
      <c r="JQ185" s="5"/>
      <c r="JR185" s="5"/>
      <c r="JS185" s="5"/>
      <c r="JT185" s="5"/>
      <c r="JU185" s="5"/>
      <c r="JV185" s="5"/>
      <c r="JW185" s="5"/>
      <c r="JX185" s="5"/>
      <c r="JY185" s="5"/>
      <c r="JZ185" s="5"/>
      <c r="KA185" s="5"/>
      <c r="KB185" s="5"/>
      <c r="KC185" s="5"/>
      <c r="KD185" s="5"/>
      <c r="KE185" s="5"/>
      <c r="KF185" s="5"/>
      <c r="KG185" s="5"/>
      <c r="KH185" s="5"/>
      <c r="KI185" s="5"/>
      <c r="KJ185" s="5"/>
      <c r="KK185" s="5"/>
      <c r="KL185" s="5"/>
      <c r="KM185" s="5"/>
      <c r="KN185" s="5"/>
    </row>
    <row r="186" spans="1:300" s="23" customFormat="1" x14ac:dyDescent="0.3">
      <c r="A186" s="305" t="s">
        <v>36</v>
      </c>
      <c r="B186" s="306"/>
      <c r="C186" s="390"/>
      <c r="D186" s="308" t="s">
        <v>206</v>
      </c>
      <c r="E186" s="309">
        <f>478+3932</f>
        <v>4410</v>
      </c>
      <c r="F186" s="310" t="s">
        <v>27</v>
      </c>
      <c r="G186" s="311"/>
      <c r="H186" s="312">
        <f t="shared" si="22"/>
        <v>0</v>
      </c>
      <c r="I186" s="313"/>
      <c r="J186" s="307"/>
      <c r="K186" s="16"/>
      <c r="L186" s="17"/>
      <c r="M186" s="20"/>
      <c r="N186" s="14"/>
      <c r="O186" s="15"/>
      <c r="P186" s="22"/>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c r="HE186" s="5"/>
      <c r="HF186" s="5"/>
      <c r="HG186" s="5"/>
      <c r="HH186" s="5"/>
      <c r="HI186" s="5"/>
      <c r="HJ186" s="5"/>
      <c r="HK186" s="5"/>
      <c r="HL186" s="5"/>
      <c r="HM186" s="5"/>
      <c r="HN186" s="5"/>
      <c r="HO186" s="5"/>
      <c r="HP186" s="5"/>
      <c r="HQ186" s="5"/>
      <c r="HR186" s="5"/>
      <c r="HS186" s="5"/>
      <c r="HT186" s="5"/>
      <c r="HU186" s="5"/>
      <c r="HV186" s="5"/>
      <c r="HW186" s="5"/>
      <c r="HX186" s="5"/>
      <c r="HY186" s="5"/>
      <c r="HZ186" s="5"/>
      <c r="IA186" s="5"/>
      <c r="IB186" s="5"/>
      <c r="IC186" s="5"/>
      <c r="ID186" s="5"/>
      <c r="IE186" s="5"/>
      <c r="IF186" s="5"/>
      <c r="IG186" s="5"/>
      <c r="IH186" s="5"/>
      <c r="II186" s="5"/>
      <c r="IJ186" s="5"/>
      <c r="IK186" s="5"/>
      <c r="IL186" s="5"/>
      <c r="IM186" s="5"/>
      <c r="IN186" s="5"/>
      <c r="IO186" s="5"/>
      <c r="IP186" s="5"/>
      <c r="IQ186" s="5"/>
      <c r="IR186" s="5"/>
      <c r="IS186" s="5"/>
      <c r="IT186" s="5"/>
      <c r="IU186" s="5"/>
      <c r="IV186" s="5"/>
      <c r="IW186" s="5"/>
      <c r="IX186" s="5"/>
      <c r="IY186" s="5"/>
      <c r="IZ186" s="5"/>
      <c r="JA186" s="5"/>
      <c r="JB186" s="5"/>
      <c r="JC186" s="5"/>
      <c r="JD186" s="5"/>
      <c r="JE186" s="5"/>
      <c r="JF186" s="5"/>
      <c r="JG186" s="5"/>
      <c r="JH186" s="5"/>
      <c r="JI186" s="5"/>
      <c r="JJ186" s="5"/>
      <c r="JK186" s="5"/>
      <c r="JL186" s="5"/>
      <c r="JM186" s="5"/>
      <c r="JN186" s="5"/>
      <c r="JO186" s="5"/>
      <c r="JP186" s="5"/>
      <c r="JQ186" s="5"/>
      <c r="JR186" s="5"/>
      <c r="JS186" s="5"/>
      <c r="JT186" s="5"/>
      <c r="JU186" s="5"/>
      <c r="JV186" s="5"/>
      <c r="JW186" s="5"/>
      <c r="JX186" s="5"/>
      <c r="JY186" s="5"/>
      <c r="JZ186" s="5"/>
      <c r="KA186" s="5"/>
      <c r="KB186" s="5"/>
      <c r="KC186" s="5"/>
      <c r="KD186" s="5"/>
      <c r="KE186" s="5"/>
      <c r="KF186" s="5"/>
      <c r="KG186" s="5"/>
      <c r="KH186" s="5"/>
      <c r="KI186" s="5"/>
      <c r="KJ186" s="5"/>
      <c r="KK186" s="5"/>
      <c r="KL186" s="5"/>
      <c r="KM186" s="5"/>
      <c r="KN186" s="5"/>
    </row>
    <row r="187" spans="1:300" s="5" customFormat="1" x14ac:dyDescent="0.3">
      <c r="A187" s="305"/>
      <c r="B187" s="306"/>
      <c r="C187" s="390"/>
      <c r="D187" s="308"/>
      <c r="E187" s="309"/>
      <c r="F187" s="310"/>
      <c r="G187" s="311"/>
      <c r="H187" s="312"/>
      <c r="I187" s="313"/>
      <c r="J187" s="307"/>
      <c r="K187" s="16"/>
      <c r="L187" s="17"/>
      <c r="M187" s="20"/>
      <c r="N187" s="14"/>
      <c r="O187" s="15"/>
      <c r="P187" s="22"/>
      <c r="Q187" s="34"/>
    </row>
    <row r="188" spans="1:300" s="5" customFormat="1" x14ac:dyDescent="0.3">
      <c r="A188" s="305"/>
      <c r="B188" s="306"/>
      <c r="C188" s="390"/>
      <c r="D188" s="400" t="s">
        <v>207</v>
      </c>
      <c r="E188" s="309"/>
      <c r="F188" s="310"/>
      <c r="G188" s="311"/>
      <c r="H188" s="312"/>
      <c r="I188" s="313"/>
      <c r="J188" s="307"/>
      <c r="K188" s="16"/>
      <c r="L188" s="17"/>
      <c r="M188" s="20"/>
      <c r="N188" s="14"/>
      <c r="O188" s="15"/>
      <c r="P188" s="22"/>
      <c r="Q188" s="35"/>
    </row>
    <row r="189" spans="1:300" s="5" customFormat="1" x14ac:dyDescent="0.3">
      <c r="A189" s="305" t="s">
        <v>39</v>
      </c>
      <c r="B189" s="306"/>
      <c r="C189" s="390"/>
      <c r="D189" s="308" t="s">
        <v>208</v>
      </c>
      <c r="E189" s="411">
        <f>+ROUND(85*SUM(E179:E182)/1000,2)</f>
        <v>38.590000000000003</v>
      </c>
      <c r="F189" s="310" t="s">
        <v>58</v>
      </c>
      <c r="G189" s="311"/>
      <c r="H189" s="312">
        <f t="shared" ref="H189:H190" si="23">E189*G189</f>
        <v>0</v>
      </c>
      <c r="I189" s="313"/>
      <c r="J189" s="307"/>
      <c r="K189" s="36"/>
      <c r="L189" s="17"/>
      <c r="M189" s="20"/>
      <c r="N189" s="14"/>
      <c r="O189" s="15"/>
      <c r="P189" s="22"/>
    </row>
    <row r="190" spans="1:300" s="23" customFormat="1" x14ac:dyDescent="0.3">
      <c r="A190" s="305" t="s">
        <v>42</v>
      </c>
      <c r="B190" s="306"/>
      <c r="C190" s="390"/>
      <c r="D190" s="308" t="s">
        <v>209</v>
      </c>
      <c r="E190" s="411">
        <f>+ROUND(70*SUM(E184:E186)/1000,2)</f>
        <v>1407.42</v>
      </c>
      <c r="F190" s="310" t="s">
        <v>58</v>
      </c>
      <c r="G190" s="311"/>
      <c r="H190" s="312">
        <f t="shared" si="23"/>
        <v>0</v>
      </c>
      <c r="I190" s="313"/>
      <c r="J190" s="307"/>
      <c r="K190" s="16"/>
      <c r="L190" s="17"/>
      <c r="M190" s="20"/>
      <c r="N190" s="14"/>
      <c r="O190" s="15"/>
      <c r="P190" s="22"/>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c r="HE190" s="5"/>
      <c r="HF190" s="5"/>
      <c r="HG190" s="5"/>
      <c r="HH190" s="5"/>
      <c r="HI190" s="5"/>
      <c r="HJ190" s="5"/>
      <c r="HK190" s="5"/>
      <c r="HL190" s="5"/>
      <c r="HM190" s="5"/>
      <c r="HN190" s="5"/>
      <c r="HO190" s="5"/>
      <c r="HP190" s="5"/>
      <c r="HQ190" s="5"/>
      <c r="HR190" s="5"/>
      <c r="HS190" s="5"/>
      <c r="HT190" s="5"/>
      <c r="HU190" s="5"/>
      <c r="HV190" s="5"/>
      <c r="HW190" s="5"/>
      <c r="HX190" s="5"/>
      <c r="HY190" s="5"/>
      <c r="HZ190" s="5"/>
      <c r="IA190" s="5"/>
      <c r="IB190" s="5"/>
      <c r="IC190" s="5"/>
      <c r="ID190" s="5"/>
      <c r="IE190" s="5"/>
      <c r="IF190" s="5"/>
      <c r="IG190" s="5"/>
      <c r="IH190" s="5"/>
      <c r="II190" s="5"/>
      <c r="IJ190" s="5"/>
      <c r="IK190" s="5"/>
      <c r="IL190" s="5"/>
      <c r="IM190" s="5"/>
      <c r="IN190" s="5"/>
      <c r="IO190" s="5"/>
      <c r="IP190" s="5"/>
      <c r="IQ190" s="5"/>
      <c r="IR190" s="5"/>
      <c r="IS190" s="5"/>
      <c r="IT190" s="5"/>
      <c r="IU190" s="5"/>
      <c r="IV190" s="5"/>
      <c r="IW190" s="5"/>
      <c r="IX190" s="5"/>
      <c r="IY190" s="5"/>
      <c r="IZ190" s="5"/>
      <c r="JA190" s="5"/>
      <c r="JB190" s="5"/>
      <c r="JC190" s="5"/>
      <c r="JD190" s="5"/>
      <c r="JE190" s="5"/>
      <c r="JF190" s="5"/>
      <c r="JG190" s="5"/>
      <c r="JH190" s="5"/>
      <c r="JI190" s="5"/>
      <c r="JJ190" s="5"/>
      <c r="JK190" s="5"/>
      <c r="JL190" s="5"/>
      <c r="JM190" s="5"/>
      <c r="JN190" s="5"/>
      <c r="JO190" s="5"/>
      <c r="JP190" s="5"/>
      <c r="JQ190" s="5"/>
      <c r="JR190" s="5"/>
      <c r="JS190" s="5"/>
      <c r="JT190" s="5"/>
      <c r="JU190" s="5"/>
      <c r="JV190" s="5"/>
      <c r="JW190" s="5"/>
      <c r="JX190" s="5"/>
      <c r="JY190" s="5"/>
      <c r="JZ190" s="5"/>
      <c r="KA190" s="5"/>
      <c r="KB190" s="5"/>
      <c r="KC190" s="5"/>
      <c r="KD190" s="5"/>
      <c r="KE190" s="5"/>
      <c r="KF190" s="5"/>
      <c r="KG190" s="5"/>
      <c r="KH190" s="5"/>
      <c r="KI190" s="5"/>
      <c r="KJ190" s="5"/>
      <c r="KK190" s="5"/>
      <c r="KL190" s="5"/>
      <c r="KM190" s="5"/>
      <c r="KN190" s="5"/>
    </row>
    <row r="191" spans="1:300" s="5" customFormat="1" ht="8.6999999999999993" customHeight="1" x14ac:dyDescent="0.3">
      <c r="A191" s="305"/>
      <c r="B191" s="306"/>
      <c r="C191" s="390"/>
      <c r="D191" s="308"/>
      <c r="E191" s="309"/>
      <c r="F191" s="310"/>
      <c r="G191" s="311"/>
      <c r="H191" s="312"/>
      <c r="I191" s="313"/>
      <c r="J191" s="307"/>
      <c r="K191" s="16"/>
      <c r="L191" s="17"/>
      <c r="M191" s="20"/>
      <c r="N191" s="14"/>
      <c r="O191" s="15"/>
      <c r="P191" s="22"/>
    </row>
    <row r="192" spans="1:300" s="5" customFormat="1" x14ac:dyDescent="0.3">
      <c r="A192" s="305"/>
      <c r="B192" s="306"/>
      <c r="C192" s="390"/>
      <c r="D192" s="400" t="s">
        <v>70</v>
      </c>
      <c r="E192" s="309"/>
      <c r="F192" s="310"/>
      <c r="G192" s="311"/>
      <c r="H192" s="312"/>
      <c r="I192" s="313"/>
      <c r="J192" s="307"/>
      <c r="K192" s="16"/>
      <c r="L192" s="17"/>
      <c r="M192" s="20"/>
      <c r="N192" s="14"/>
      <c r="O192" s="15"/>
      <c r="P192" s="22"/>
    </row>
    <row r="193" spans="1:300" s="5" customFormat="1" x14ac:dyDescent="0.3">
      <c r="A193" s="305" t="s">
        <v>44</v>
      </c>
      <c r="B193" s="306"/>
      <c r="C193" s="390"/>
      <c r="D193" s="308" t="s">
        <v>210</v>
      </c>
      <c r="E193" s="309">
        <v>1818</v>
      </c>
      <c r="F193" s="310" t="s">
        <v>21</v>
      </c>
      <c r="G193" s="311"/>
      <c r="H193" s="312">
        <f t="shared" ref="H193:H194" si="24">E193*G193</f>
        <v>0</v>
      </c>
      <c r="I193" s="313"/>
      <c r="J193" s="307"/>
      <c r="K193" s="16"/>
      <c r="L193" s="17"/>
      <c r="M193" s="20"/>
      <c r="N193" s="14"/>
      <c r="O193" s="15"/>
      <c r="P193" s="22"/>
    </row>
    <row r="194" spans="1:300" s="23" customFormat="1" x14ac:dyDescent="0.3">
      <c r="A194" s="305" t="s">
        <v>46</v>
      </c>
      <c r="B194" s="306"/>
      <c r="C194" s="390"/>
      <c r="D194" s="308" t="s">
        <v>211</v>
      </c>
      <c r="E194" s="309">
        <f>19865+3575</f>
        <v>23440</v>
      </c>
      <c r="F194" s="310" t="s">
        <v>21</v>
      </c>
      <c r="G194" s="311"/>
      <c r="H194" s="312">
        <f t="shared" si="24"/>
        <v>0</v>
      </c>
      <c r="I194" s="313"/>
      <c r="J194" s="307"/>
      <c r="K194" s="16"/>
      <c r="L194" s="17"/>
      <c r="M194" s="20"/>
      <c r="N194" s="14"/>
      <c r="O194" s="15"/>
      <c r="P194" s="22"/>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c r="IW194" s="5"/>
      <c r="IX194" s="5"/>
      <c r="IY194" s="5"/>
      <c r="IZ194" s="5"/>
      <c r="JA194" s="5"/>
      <c r="JB194" s="5"/>
      <c r="JC194" s="5"/>
      <c r="JD194" s="5"/>
      <c r="JE194" s="5"/>
      <c r="JF194" s="5"/>
      <c r="JG194" s="5"/>
      <c r="JH194" s="5"/>
      <c r="JI194" s="5"/>
      <c r="JJ194" s="5"/>
      <c r="JK194" s="5"/>
      <c r="JL194" s="5"/>
      <c r="JM194" s="5"/>
      <c r="JN194" s="5"/>
      <c r="JO194" s="5"/>
      <c r="JP194" s="5"/>
      <c r="JQ194" s="5"/>
      <c r="JR194" s="5"/>
      <c r="JS194" s="5"/>
      <c r="JT194" s="5"/>
      <c r="JU194" s="5"/>
      <c r="JV194" s="5"/>
      <c r="JW194" s="5"/>
      <c r="JX194" s="5"/>
      <c r="JY194" s="5"/>
      <c r="JZ194" s="5"/>
      <c r="KA194" s="5"/>
      <c r="KB194" s="5"/>
      <c r="KC194" s="5"/>
      <c r="KD194" s="5"/>
      <c r="KE194" s="5"/>
      <c r="KF194" s="5"/>
      <c r="KG194" s="5"/>
      <c r="KH194" s="5"/>
      <c r="KI194" s="5"/>
      <c r="KJ194" s="5"/>
      <c r="KK194" s="5"/>
      <c r="KL194" s="5"/>
      <c r="KM194" s="5"/>
      <c r="KN194" s="5"/>
    </row>
    <row r="195" spans="1:300" s="5" customFormat="1" x14ac:dyDescent="0.3">
      <c r="A195" s="305"/>
      <c r="B195" s="306"/>
      <c r="C195" s="390"/>
      <c r="D195" s="308"/>
      <c r="E195" s="309"/>
      <c r="F195" s="310"/>
      <c r="G195" s="311"/>
      <c r="H195" s="312"/>
      <c r="I195" s="313"/>
      <c r="J195" s="307"/>
      <c r="K195" s="16"/>
      <c r="L195" s="17"/>
      <c r="M195" s="20"/>
      <c r="N195" s="14"/>
      <c r="O195" s="15"/>
      <c r="P195" s="22"/>
    </row>
    <row r="196" spans="1:300" s="23" customFormat="1" x14ac:dyDescent="0.3">
      <c r="A196" s="305"/>
      <c r="B196" s="306"/>
      <c r="C196" s="390"/>
      <c r="D196" s="398" t="s">
        <v>212</v>
      </c>
      <c r="E196" s="391"/>
      <c r="F196" s="392"/>
      <c r="G196" s="311"/>
      <c r="H196" s="312"/>
      <c r="I196" s="313"/>
      <c r="J196" s="307"/>
      <c r="K196" s="18"/>
      <c r="L196" s="19"/>
      <c r="M196" s="20"/>
      <c r="N196" s="14"/>
      <c r="O196" s="15"/>
      <c r="P196" s="22"/>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c r="HE196" s="5"/>
      <c r="HF196" s="5"/>
      <c r="HG196" s="5"/>
      <c r="HH196" s="5"/>
      <c r="HI196" s="5"/>
      <c r="HJ196" s="5"/>
      <c r="HK196" s="5"/>
      <c r="HL196" s="5"/>
      <c r="HM196" s="5"/>
      <c r="HN196" s="5"/>
      <c r="HO196" s="5"/>
      <c r="HP196" s="5"/>
      <c r="HQ196" s="5"/>
      <c r="HR196" s="5"/>
      <c r="HS196" s="5"/>
      <c r="HT196" s="5"/>
      <c r="HU196" s="5"/>
      <c r="HV196" s="5"/>
      <c r="HW196" s="5"/>
      <c r="HX196" s="5"/>
      <c r="HY196" s="5"/>
      <c r="HZ196" s="5"/>
      <c r="IA196" s="5"/>
      <c r="IB196" s="5"/>
      <c r="IC196" s="5"/>
      <c r="ID196" s="5"/>
      <c r="IE196" s="5"/>
      <c r="IF196" s="5"/>
      <c r="IG196" s="5"/>
      <c r="IH196" s="5"/>
      <c r="II196" s="5"/>
      <c r="IJ196" s="5"/>
      <c r="IK196" s="5"/>
      <c r="IL196" s="5"/>
      <c r="IM196" s="5"/>
      <c r="IN196" s="5"/>
      <c r="IO196" s="5"/>
      <c r="IP196" s="5"/>
      <c r="IQ196" s="5"/>
      <c r="IR196" s="5"/>
      <c r="IS196" s="5"/>
      <c r="IT196" s="5"/>
      <c r="IU196" s="5"/>
      <c r="IV196" s="5"/>
      <c r="IW196" s="5"/>
      <c r="IX196" s="5"/>
      <c r="IY196" s="5"/>
      <c r="IZ196" s="5"/>
      <c r="JA196" s="5"/>
      <c r="JB196" s="5"/>
      <c r="JC196" s="5"/>
      <c r="JD196" s="5"/>
      <c r="JE196" s="5"/>
      <c r="JF196" s="5"/>
      <c r="JG196" s="5"/>
      <c r="JH196" s="5"/>
      <c r="JI196" s="5"/>
      <c r="JJ196" s="5"/>
      <c r="JK196" s="5"/>
      <c r="JL196" s="5"/>
      <c r="JM196" s="5"/>
      <c r="JN196" s="5"/>
      <c r="JO196" s="5"/>
      <c r="JP196" s="5"/>
      <c r="JQ196" s="5"/>
      <c r="JR196" s="5"/>
      <c r="JS196" s="5"/>
      <c r="JT196" s="5"/>
      <c r="JU196" s="5"/>
      <c r="JV196" s="5"/>
      <c r="JW196" s="5"/>
      <c r="JX196" s="5"/>
      <c r="JY196" s="5"/>
      <c r="JZ196" s="5"/>
      <c r="KA196" s="5"/>
      <c r="KB196" s="5"/>
      <c r="KC196" s="5"/>
      <c r="KD196" s="5"/>
      <c r="KE196" s="5"/>
      <c r="KF196" s="5"/>
      <c r="KG196" s="5"/>
      <c r="KH196" s="5"/>
      <c r="KI196" s="5"/>
      <c r="KJ196" s="5"/>
      <c r="KK196" s="5"/>
      <c r="KL196" s="5"/>
      <c r="KM196" s="5"/>
      <c r="KN196" s="5"/>
    </row>
    <row r="197" spans="1:300" s="23" customFormat="1" x14ac:dyDescent="0.3">
      <c r="A197" s="305" t="s">
        <v>50</v>
      </c>
      <c r="B197" s="306"/>
      <c r="C197" s="390"/>
      <c r="D197" s="398" t="s">
        <v>190</v>
      </c>
      <c r="E197" s="391">
        <v>327</v>
      </c>
      <c r="F197" s="392" t="s">
        <v>21</v>
      </c>
      <c r="G197" s="311"/>
      <c r="H197" s="312">
        <f t="shared" ref="H197" si="25">E197*G197</f>
        <v>0</v>
      </c>
      <c r="I197" s="313"/>
      <c r="J197" s="307"/>
      <c r="K197" s="18"/>
      <c r="L197" s="19"/>
      <c r="M197" s="20"/>
      <c r="N197" s="14"/>
      <c r="O197" s="15"/>
      <c r="P197" s="22"/>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c r="HE197" s="5"/>
      <c r="HF197" s="5"/>
      <c r="HG197" s="5"/>
      <c r="HH197" s="5"/>
      <c r="HI197" s="5"/>
      <c r="HJ197" s="5"/>
      <c r="HK197" s="5"/>
      <c r="HL197" s="5"/>
      <c r="HM197" s="5"/>
      <c r="HN197" s="5"/>
      <c r="HO197" s="5"/>
      <c r="HP197" s="5"/>
      <c r="HQ197" s="5"/>
      <c r="HR197" s="5"/>
      <c r="HS197" s="5"/>
      <c r="HT197" s="5"/>
      <c r="HU197" s="5"/>
      <c r="HV197" s="5"/>
      <c r="HW197" s="5"/>
      <c r="HX197" s="5"/>
      <c r="HY197" s="5"/>
      <c r="HZ197" s="5"/>
      <c r="IA197" s="5"/>
      <c r="IB197" s="5"/>
      <c r="IC197" s="5"/>
      <c r="ID197" s="5"/>
      <c r="IE197" s="5"/>
      <c r="IF197" s="5"/>
      <c r="IG197" s="5"/>
      <c r="IH197" s="5"/>
      <c r="II197" s="5"/>
      <c r="IJ197" s="5"/>
      <c r="IK197" s="5"/>
      <c r="IL197" s="5"/>
      <c r="IM197" s="5"/>
      <c r="IN197" s="5"/>
      <c r="IO197" s="5"/>
      <c r="IP197" s="5"/>
      <c r="IQ197" s="5"/>
      <c r="IR197" s="5"/>
      <c r="IS197" s="5"/>
      <c r="IT197" s="5"/>
      <c r="IU197" s="5"/>
      <c r="IV197" s="5"/>
      <c r="IW197" s="5"/>
      <c r="IX197" s="5"/>
      <c r="IY197" s="5"/>
      <c r="IZ197" s="5"/>
      <c r="JA197" s="5"/>
      <c r="JB197" s="5"/>
      <c r="JC197" s="5"/>
      <c r="JD197" s="5"/>
      <c r="JE197" s="5"/>
      <c r="JF197" s="5"/>
      <c r="JG197" s="5"/>
      <c r="JH197" s="5"/>
      <c r="JI197" s="5"/>
      <c r="JJ197" s="5"/>
      <c r="JK197" s="5"/>
      <c r="JL197" s="5"/>
      <c r="JM197" s="5"/>
      <c r="JN197" s="5"/>
      <c r="JO197" s="5"/>
      <c r="JP197" s="5"/>
      <c r="JQ197" s="5"/>
      <c r="JR197" s="5"/>
      <c r="JS197" s="5"/>
      <c r="JT197" s="5"/>
      <c r="JU197" s="5"/>
      <c r="JV197" s="5"/>
      <c r="JW197" s="5"/>
      <c r="JX197" s="5"/>
      <c r="JY197" s="5"/>
      <c r="JZ197" s="5"/>
      <c r="KA197" s="5"/>
      <c r="KB197" s="5"/>
      <c r="KC197" s="5"/>
      <c r="KD197" s="5"/>
      <c r="KE197" s="5"/>
      <c r="KF197" s="5"/>
      <c r="KG197" s="5"/>
      <c r="KH197" s="5"/>
      <c r="KI197" s="5"/>
      <c r="KJ197" s="5"/>
      <c r="KK197" s="5"/>
      <c r="KL197" s="5"/>
      <c r="KM197" s="5"/>
      <c r="KN197" s="5"/>
    </row>
    <row r="198" spans="1:300" s="5" customFormat="1" x14ac:dyDescent="0.3">
      <c r="A198" s="305"/>
      <c r="B198" s="306"/>
      <c r="C198" s="390"/>
      <c r="D198" s="398"/>
      <c r="E198" s="391"/>
      <c r="F198" s="392"/>
      <c r="G198" s="311"/>
      <c r="H198" s="312"/>
      <c r="I198" s="313"/>
      <c r="J198" s="307"/>
      <c r="K198" s="18"/>
      <c r="L198" s="19"/>
      <c r="M198" s="20"/>
      <c r="N198" s="14"/>
      <c r="O198" s="15"/>
      <c r="P198" s="22"/>
    </row>
    <row r="199" spans="1:300" s="5" customFormat="1" ht="107.1" customHeight="1" x14ac:dyDescent="0.3">
      <c r="A199" s="305"/>
      <c r="B199" s="306"/>
      <c r="C199" s="390"/>
      <c r="D199" s="400" t="s">
        <v>213</v>
      </c>
      <c r="E199" s="309"/>
      <c r="F199" s="310"/>
      <c r="G199" s="311"/>
      <c r="H199" s="312"/>
      <c r="I199" s="313"/>
      <c r="J199" s="307"/>
      <c r="K199" s="16"/>
      <c r="L199" s="17"/>
      <c r="M199" s="20"/>
      <c r="N199" s="14"/>
      <c r="O199" s="15"/>
      <c r="P199" s="22"/>
    </row>
    <row r="200" spans="1:300" s="5" customFormat="1" x14ac:dyDescent="0.3">
      <c r="A200" s="305" t="s">
        <v>52</v>
      </c>
      <c r="B200" s="306"/>
      <c r="C200" s="390"/>
      <c r="D200" s="308" t="s">
        <v>214</v>
      </c>
      <c r="E200" s="309">
        <v>19388</v>
      </c>
      <c r="F200" s="310" t="s">
        <v>21</v>
      </c>
      <c r="G200" s="311"/>
      <c r="H200" s="312">
        <f t="shared" ref="H200:H201" si="26">E200*G200</f>
        <v>0</v>
      </c>
      <c r="I200" s="313"/>
      <c r="J200" s="307"/>
      <c r="K200" s="16"/>
      <c r="L200" s="17"/>
      <c r="M200" s="20"/>
      <c r="N200" s="14"/>
      <c r="O200" s="15"/>
      <c r="P200" s="22"/>
    </row>
    <row r="201" spans="1:300" s="5" customFormat="1" x14ac:dyDescent="0.3">
      <c r="A201" s="305" t="s">
        <v>54</v>
      </c>
      <c r="B201" s="306"/>
      <c r="C201" s="390"/>
      <c r="D201" s="308" t="s">
        <v>215</v>
      </c>
      <c r="E201" s="309">
        <v>2310</v>
      </c>
      <c r="F201" s="310" t="s">
        <v>21</v>
      </c>
      <c r="G201" s="311"/>
      <c r="H201" s="312">
        <f t="shared" si="26"/>
        <v>0</v>
      </c>
      <c r="I201" s="313"/>
      <c r="J201" s="307"/>
      <c r="K201" s="16"/>
      <c r="L201" s="17"/>
      <c r="M201" s="20"/>
      <c r="N201" s="14"/>
      <c r="O201" s="15"/>
      <c r="P201" s="22"/>
    </row>
    <row r="202" spans="1:300" s="5" customFormat="1" ht="10.5" customHeight="1" x14ac:dyDescent="0.3">
      <c r="A202" s="305"/>
      <c r="B202" s="306"/>
      <c r="C202" s="390"/>
      <c r="D202" s="308"/>
      <c r="E202" s="391"/>
      <c r="F202" s="392"/>
      <c r="G202" s="311"/>
      <c r="H202" s="312"/>
      <c r="I202" s="313"/>
      <c r="J202" s="307"/>
      <c r="K202" s="18"/>
      <c r="L202" s="19"/>
      <c r="M202" s="20"/>
      <c r="N202" s="14"/>
      <c r="O202" s="15"/>
      <c r="P202" s="22"/>
    </row>
    <row r="203" spans="1:300" s="5" customFormat="1" ht="15" customHeight="1" x14ac:dyDescent="0.3">
      <c r="A203" s="305">
        <v>2.04</v>
      </c>
      <c r="B203" s="306"/>
      <c r="C203" s="390" t="s">
        <v>216</v>
      </c>
      <c r="D203" s="400"/>
      <c r="E203" s="391"/>
      <c r="F203" s="392"/>
      <c r="G203" s="311"/>
      <c r="H203" s="312"/>
      <c r="I203" s="313"/>
      <c r="J203" s="307"/>
      <c r="K203" s="18"/>
      <c r="L203" s="19"/>
      <c r="M203" s="20"/>
      <c r="N203" s="14"/>
      <c r="O203" s="15"/>
      <c r="P203" s="22"/>
    </row>
    <row r="204" spans="1:300" s="5" customFormat="1" ht="15" customHeight="1" x14ac:dyDescent="0.3">
      <c r="A204" s="305"/>
      <c r="B204" s="306"/>
      <c r="C204" s="390"/>
      <c r="D204" s="400" t="s">
        <v>49</v>
      </c>
      <c r="E204" s="391"/>
      <c r="F204" s="392"/>
      <c r="G204" s="311"/>
      <c r="H204" s="312"/>
      <c r="I204" s="313"/>
      <c r="J204" s="307"/>
      <c r="K204" s="18"/>
      <c r="L204" s="19"/>
      <c r="M204" s="20"/>
      <c r="N204" s="14"/>
      <c r="O204" s="15"/>
      <c r="P204" s="22"/>
    </row>
    <row r="205" spans="1:300" s="5" customFormat="1" ht="15" customHeight="1" x14ac:dyDescent="0.3">
      <c r="A205" s="305" t="s">
        <v>19</v>
      </c>
      <c r="B205" s="306"/>
      <c r="C205" s="390"/>
      <c r="D205" s="308" t="s">
        <v>217</v>
      </c>
      <c r="E205" s="391">
        <v>128</v>
      </c>
      <c r="F205" s="310" t="s">
        <v>27</v>
      </c>
      <c r="G205" s="311"/>
      <c r="H205" s="312">
        <f t="shared" ref="H205" si="27">E205*G205</f>
        <v>0</v>
      </c>
      <c r="I205" s="313"/>
      <c r="J205" s="307"/>
      <c r="K205" s="18"/>
      <c r="L205" s="17"/>
      <c r="M205" s="20"/>
      <c r="N205" s="14"/>
      <c r="O205" s="15"/>
      <c r="P205" s="22"/>
    </row>
    <row r="206" spans="1:300" s="5" customFormat="1" ht="11.7" customHeight="1" x14ac:dyDescent="0.3">
      <c r="A206" s="305"/>
      <c r="B206" s="306"/>
      <c r="C206" s="390"/>
      <c r="D206" s="400"/>
      <c r="E206" s="391"/>
      <c r="F206" s="392"/>
      <c r="G206" s="311"/>
      <c r="H206" s="312"/>
      <c r="I206" s="313"/>
      <c r="J206" s="307"/>
      <c r="K206" s="18"/>
      <c r="L206" s="19"/>
      <c r="M206" s="20"/>
      <c r="N206" s="14"/>
      <c r="O206" s="15"/>
      <c r="P206" s="22"/>
    </row>
    <row r="207" spans="1:300" s="5" customFormat="1" ht="15" customHeight="1" x14ac:dyDescent="0.3">
      <c r="A207" s="305"/>
      <c r="B207" s="306"/>
      <c r="C207" s="390"/>
      <c r="D207" s="400" t="s">
        <v>61</v>
      </c>
      <c r="E207" s="391"/>
      <c r="F207" s="392"/>
      <c r="G207" s="311"/>
      <c r="H207" s="312"/>
      <c r="I207" s="313"/>
      <c r="J207" s="307"/>
      <c r="K207" s="18"/>
      <c r="L207" s="19"/>
      <c r="M207" s="20"/>
      <c r="N207" s="14"/>
      <c r="O207" s="15"/>
      <c r="P207" s="22"/>
    </row>
    <row r="208" spans="1:300" s="5" customFormat="1" ht="15" customHeight="1" x14ac:dyDescent="0.3">
      <c r="A208" s="305" t="s">
        <v>22</v>
      </c>
      <c r="B208" s="306"/>
      <c r="C208" s="390"/>
      <c r="D208" s="308" t="s">
        <v>218</v>
      </c>
      <c r="E208" s="311">
        <f>+ROUND(150*E205/1000,2)</f>
        <v>19.2</v>
      </c>
      <c r="F208" s="310" t="s">
        <v>58</v>
      </c>
      <c r="G208" s="311"/>
      <c r="H208" s="312">
        <f t="shared" ref="H208" si="28">E208*G208</f>
        <v>0</v>
      </c>
      <c r="I208" s="313"/>
      <c r="J208" s="307"/>
      <c r="K208" s="20"/>
      <c r="L208" s="17"/>
      <c r="M208" s="20"/>
      <c r="N208" s="14"/>
      <c r="O208" s="15"/>
      <c r="P208" s="22"/>
    </row>
    <row r="209" spans="1:300" s="5" customFormat="1" ht="12" customHeight="1" x14ac:dyDescent="0.3">
      <c r="A209" s="305"/>
      <c r="B209" s="306"/>
      <c r="C209" s="390"/>
      <c r="D209" s="400"/>
      <c r="E209" s="391"/>
      <c r="F209" s="392"/>
      <c r="G209" s="311"/>
      <c r="H209" s="312"/>
      <c r="I209" s="313"/>
      <c r="J209" s="307"/>
      <c r="K209" s="18"/>
      <c r="L209" s="19"/>
      <c r="M209" s="20"/>
      <c r="N209" s="14"/>
      <c r="O209" s="15"/>
      <c r="P209" s="22"/>
    </row>
    <row r="210" spans="1:300" s="5" customFormat="1" ht="15" customHeight="1" x14ac:dyDescent="0.3">
      <c r="A210" s="305"/>
      <c r="B210" s="306"/>
      <c r="C210" s="390"/>
      <c r="D210" s="400" t="s">
        <v>70</v>
      </c>
      <c r="E210" s="391"/>
      <c r="F210" s="392"/>
      <c r="G210" s="311"/>
      <c r="H210" s="312"/>
      <c r="I210" s="313"/>
      <c r="J210" s="307"/>
      <c r="K210" s="18"/>
      <c r="L210" s="19"/>
      <c r="M210" s="20"/>
      <c r="N210" s="14"/>
      <c r="O210" s="15"/>
      <c r="P210" s="22"/>
    </row>
    <row r="211" spans="1:300" s="5" customFormat="1" ht="15" customHeight="1" x14ac:dyDescent="0.3">
      <c r="A211" s="305" t="s">
        <v>25</v>
      </c>
      <c r="B211" s="306"/>
      <c r="C211" s="390"/>
      <c r="D211" s="398" t="s">
        <v>219</v>
      </c>
      <c r="E211" s="391">
        <v>213</v>
      </c>
      <c r="F211" s="310" t="s">
        <v>21</v>
      </c>
      <c r="G211" s="311"/>
      <c r="H211" s="312">
        <f t="shared" ref="H211:H216" si="29">E211*G211</f>
        <v>0</v>
      </c>
      <c r="I211" s="313"/>
      <c r="J211" s="307"/>
      <c r="K211" s="18"/>
      <c r="L211" s="17"/>
      <c r="M211" s="20"/>
      <c r="N211" s="14"/>
      <c r="O211" s="15"/>
      <c r="P211" s="22"/>
    </row>
    <row r="212" spans="1:300" s="5" customFormat="1" ht="15" customHeight="1" x14ac:dyDescent="0.3">
      <c r="A212" s="305" t="s">
        <v>28</v>
      </c>
      <c r="B212" s="306"/>
      <c r="C212" s="390"/>
      <c r="D212" s="308" t="s">
        <v>220</v>
      </c>
      <c r="E212" s="391">
        <v>238</v>
      </c>
      <c r="F212" s="310" t="s">
        <v>21</v>
      </c>
      <c r="G212" s="311"/>
      <c r="H212" s="312">
        <f t="shared" si="29"/>
        <v>0</v>
      </c>
      <c r="I212" s="313"/>
      <c r="J212" s="307"/>
      <c r="K212" s="18"/>
      <c r="L212" s="17"/>
      <c r="M212" s="20"/>
      <c r="N212" s="14"/>
      <c r="O212" s="15"/>
      <c r="P212" s="22"/>
    </row>
    <row r="213" spans="1:300" s="5" customFormat="1" ht="15" customHeight="1" x14ac:dyDescent="0.3">
      <c r="A213" s="305" t="s">
        <v>30</v>
      </c>
      <c r="B213" s="306"/>
      <c r="C213" s="390"/>
      <c r="D213" s="308" t="s">
        <v>221</v>
      </c>
      <c r="E213" s="391">
        <v>648</v>
      </c>
      <c r="F213" s="310" t="s">
        <v>46</v>
      </c>
      <c r="G213" s="311"/>
      <c r="H213" s="312">
        <f t="shared" si="29"/>
        <v>0</v>
      </c>
      <c r="I213" s="313"/>
      <c r="J213" s="307"/>
      <c r="K213" s="18"/>
      <c r="L213" s="17"/>
      <c r="M213" s="20"/>
      <c r="N213" s="14"/>
      <c r="O213" s="15"/>
      <c r="P213" s="22"/>
    </row>
    <row r="214" spans="1:300" s="5" customFormat="1" ht="15" customHeight="1" x14ac:dyDescent="0.3">
      <c r="A214" s="305" t="s">
        <v>32</v>
      </c>
      <c r="B214" s="306"/>
      <c r="C214" s="390"/>
      <c r="D214" s="308" t="s">
        <v>222</v>
      </c>
      <c r="E214" s="391">
        <v>63</v>
      </c>
      <c r="F214" s="310" t="s">
        <v>21</v>
      </c>
      <c r="G214" s="311"/>
      <c r="H214" s="312">
        <f t="shared" si="29"/>
        <v>0</v>
      </c>
      <c r="I214" s="313"/>
      <c r="J214" s="307"/>
      <c r="K214" s="18"/>
      <c r="L214" s="17"/>
      <c r="M214" s="20"/>
      <c r="N214" s="14"/>
      <c r="O214" s="15"/>
      <c r="P214" s="22"/>
    </row>
    <row r="215" spans="1:300" s="5" customFormat="1" ht="15" customHeight="1" x14ac:dyDescent="0.3">
      <c r="A215" s="305" t="s">
        <v>34</v>
      </c>
      <c r="B215" s="306"/>
      <c r="C215" s="390"/>
      <c r="D215" s="308" t="s">
        <v>223</v>
      </c>
      <c r="E215" s="311">
        <f t="shared" ref="E215:E216" si="30">+ROUND(90*E211/1000,2)</f>
        <v>19.170000000000002</v>
      </c>
      <c r="F215" s="310" t="s">
        <v>21</v>
      </c>
      <c r="G215" s="311"/>
      <c r="H215" s="312">
        <f t="shared" si="29"/>
        <v>0</v>
      </c>
      <c r="I215" s="313"/>
      <c r="J215" s="307"/>
      <c r="K215" s="18"/>
      <c r="L215" s="17"/>
      <c r="M215" s="20"/>
      <c r="N215" s="14"/>
      <c r="O215" s="15"/>
      <c r="P215" s="22"/>
    </row>
    <row r="216" spans="1:300" s="5" customFormat="1" ht="15" customHeight="1" x14ac:dyDescent="0.3">
      <c r="A216" s="305" t="s">
        <v>36</v>
      </c>
      <c r="B216" s="306"/>
      <c r="C216" s="390"/>
      <c r="D216" s="308" t="s">
        <v>224</v>
      </c>
      <c r="E216" s="311">
        <f t="shared" si="30"/>
        <v>21.42</v>
      </c>
      <c r="F216" s="310" t="s">
        <v>46</v>
      </c>
      <c r="G216" s="311"/>
      <c r="H216" s="312">
        <f t="shared" si="29"/>
        <v>0</v>
      </c>
      <c r="I216" s="313"/>
      <c r="J216" s="307"/>
      <c r="K216" s="18"/>
      <c r="L216" s="17"/>
      <c r="M216" s="20"/>
      <c r="N216" s="14"/>
      <c r="O216" s="15"/>
      <c r="P216" s="22"/>
    </row>
    <row r="217" spans="1:300" s="5" customFormat="1" ht="12" customHeight="1" x14ac:dyDescent="0.3">
      <c r="A217" s="305"/>
      <c r="B217" s="306"/>
      <c r="C217" s="390"/>
      <c r="D217" s="400"/>
      <c r="E217" s="391"/>
      <c r="F217" s="392"/>
      <c r="G217" s="311"/>
      <c r="H217" s="312"/>
      <c r="I217" s="313"/>
      <c r="J217" s="307"/>
      <c r="K217" s="18"/>
      <c r="L217" s="19"/>
      <c r="M217" s="20"/>
      <c r="N217" s="14"/>
      <c r="O217" s="15"/>
      <c r="P217" s="22"/>
    </row>
    <row r="218" spans="1:300" s="23" customFormat="1" x14ac:dyDescent="0.3">
      <c r="A218" s="417"/>
      <c r="B218" s="418"/>
      <c r="C218" s="419"/>
      <c r="D218" s="420" t="s">
        <v>182</v>
      </c>
      <c r="E218" s="421"/>
      <c r="F218" s="422"/>
      <c r="G218" s="423"/>
      <c r="H218" s="424"/>
      <c r="I218" s="425"/>
      <c r="J218" s="307"/>
      <c r="K218" s="18"/>
      <c r="L218" s="19"/>
      <c r="M218" s="20"/>
      <c r="N218" s="14"/>
      <c r="O218" s="15"/>
      <c r="P218" s="22"/>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c r="HE218" s="5"/>
      <c r="HF218" s="5"/>
      <c r="HG218" s="5"/>
      <c r="HH218" s="5"/>
      <c r="HI218" s="5"/>
      <c r="HJ218" s="5"/>
      <c r="HK218" s="5"/>
      <c r="HL218" s="5"/>
      <c r="HM218" s="5"/>
      <c r="HN218" s="5"/>
      <c r="HO218" s="5"/>
      <c r="HP218" s="5"/>
      <c r="HQ218" s="5"/>
      <c r="HR218" s="5"/>
      <c r="HS218" s="5"/>
      <c r="HT218" s="5"/>
      <c r="HU218" s="5"/>
      <c r="HV218" s="5"/>
      <c r="HW218" s="5"/>
      <c r="HX218" s="5"/>
      <c r="HY218" s="5"/>
      <c r="HZ218" s="5"/>
      <c r="IA218" s="5"/>
      <c r="IB218" s="5"/>
      <c r="IC218" s="5"/>
      <c r="ID218" s="5"/>
      <c r="IE218" s="5"/>
      <c r="IF218" s="5"/>
      <c r="IG218" s="5"/>
      <c r="IH218" s="5"/>
      <c r="II218" s="5"/>
      <c r="IJ218" s="5"/>
      <c r="IK218" s="5"/>
      <c r="IL218" s="5"/>
      <c r="IM218" s="5"/>
      <c r="IN218" s="5"/>
      <c r="IO218" s="5"/>
      <c r="IP218" s="5"/>
      <c r="IQ218" s="5"/>
      <c r="IR218" s="5"/>
      <c r="IS218" s="5"/>
      <c r="IT218" s="5"/>
      <c r="IU218" s="5"/>
      <c r="IV218" s="5"/>
      <c r="IW218" s="5"/>
      <c r="IX218" s="5"/>
      <c r="IY218" s="5"/>
      <c r="IZ218" s="5"/>
      <c r="JA218" s="5"/>
      <c r="JB218" s="5"/>
      <c r="JC218" s="5"/>
      <c r="JD218" s="5"/>
      <c r="JE218" s="5"/>
      <c r="JF218" s="5"/>
      <c r="JG218" s="5"/>
      <c r="JH218" s="5"/>
      <c r="JI218" s="5"/>
      <c r="JJ218" s="5"/>
      <c r="JK218" s="5"/>
      <c r="JL218" s="5"/>
      <c r="JM218" s="5"/>
      <c r="JN218" s="5"/>
      <c r="JO218" s="5"/>
      <c r="JP218" s="5"/>
      <c r="JQ218" s="5"/>
      <c r="JR218" s="5"/>
      <c r="JS218" s="5"/>
      <c r="JT218" s="5"/>
      <c r="JU218" s="5"/>
      <c r="JV218" s="5"/>
      <c r="JW218" s="5"/>
      <c r="JX218" s="5"/>
      <c r="JY218" s="5"/>
      <c r="JZ218" s="5"/>
      <c r="KA218" s="5"/>
      <c r="KB218" s="5"/>
      <c r="KC218" s="5"/>
      <c r="KD218" s="5"/>
      <c r="KE218" s="5"/>
      <c r="KF218" s="5"/>
      <c r="KG218" s="5"/>
      <c r="KH218" s="5"/>
      <c r="KI218" s="5"/>
      <c r="KJ218" s="5"/>
      <c r="KK218" s="5"/>
      <c r="KL218" s="5"/>
      <c r="KM218" s="5"/>
      <c r="KN218" s="5"/>
    </row>
    <row r="219" spans="1:300" s="23" customFormat="1" x14ac:dyDescent="0.3">
      <c r="A219" s="305" t="s">
        <v>39</v>
      </c>
      <c r="B219" s="306"/>
      <c r="C219" s="390"/>
      <c r="D219" s="398" t="s">
        <v>190</v>
      </c>
      <c r="E219" s="391">
        <v>2671</v>
      </c>
      <c r="F219" s="392" t="s">
        <v>21</v>
      </c>
      <c r="G219" s="311"/>
      <c r="H219" s="312">
        <f t="shared" ref="H219" si="31">E219*G219</f>
        <v>0</v>
      </c>
      <c r="I219" s="313"/>
      <c r="J219" s="307"/>
      <c r="K219" s="18"/>
      <c r="L219" s="19"/>
      <c r="M219" s="20"/>
      <c r="N219" s="14"/>
      <c r="O219" s="15"/>
      <c r="P219" s="22"/>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c r="HE219" s="5"/>
      <c r="HF219" s="5"/>
      <c r="HG219" s="5"/>
      <c r="HH219" s="5"/>
      <c r="HI219" s="5"/>
      <c r="HJ219" s="5"/>
      <c r="HK219" s="5"/>
      <c r="HL219" s="5"/>
      <c r="HM219" s="5"/>
      <c r="HN219" s="5"/>
      <c r="HO219" s="5"/>
      <c r="HP219" s="5"/>
      <c r="HQ219" s="5"/>
      <c r="HR219" s="5"/>
      <c r="HS219" s="5"/>
      <c r="HT219" s="5"/>
      <c r="HU219" s="5"/>
      <c r="HV219" s="5"/>
      <c r="HW219" s="5"/>
      <c r="HX219" s="5"/>
      <c r="HY219" s="5"/>
      <c r="HZ219" s="5"/>
      <c r="IA219" s="5"/>
      <c r="IB219" s="5"/>
      <c r="IC219" s="5"/>
      <c r="ID219" s="5"/>
      <c r="IE219" s="5"/>
      <c r="IF219" s="5"/>
      <c r="IG219" s="5"/>
      <c r="IH219" s="5"/>
      <c r="II219" s="5"/>
      <c r="IJ219" s="5"/>
      <c r="IK219" s="5"/>
      <c r="IL219" s="5"/>
      <c r="IM219" s="5"/>
      <c r="IN219" s="5"/>
      <c r="IO219" s="5"/>
      <c r="IP219" s="5"/>
      <c r="IQ219" s="5"/>
      <c r="IR219" s="5"/>
      <c r="IS219" s="5"/>
      <c r="IT219" s="5"/>
      <c r="IU219" s="5"/>
      <c r="IV219" s="5"/>
      <c r="IW219" s="5"/>
      <c r="IX219" s="5"/>
      <c r="IY219" s="5"/>
      <c r="IZ219" s="5"/>
      <c r="JA219" s="5"/>
      <c r="JB219" s="5"/>
      <c r="JC219" s="5"/>
      <c r="JD219" s="5"/>
      <c r="JE219" s="5"/>
      <c r="JF219" s="5"/>
      <c r="JG219" s="5"/>
      <c r="JH219" s="5"/>
      <c r="JI219" s="5"/>
      <c r="JJ219" s="5"/>
      <c r="JK219" s="5"/>
      <c r="JL219" s="5"/>
      <c r="JM219" s="5"/>
      <c r="JN219" s="5"/>
      <c r="JO219" s="5"/>
      <c r="JP219" s="5"/>
      <c r="JQ219" s="5"/>
      <c r="JR219" s="5"/>
      <c r="JS219" s="5"/>
      <c r="JT219" s="5"/>
      <c r="JU219" s="5"/>
      <c r="JV219" s="5"/>
      <c r="JW219" s="5"/>
      <c r="JX219" s="5"/>
      <c r="JY219" s="5"/>
      <c r="JZ219" s="5"/>
      <c r="KA219" s="5"/>
      <c r="KB219" s="5"/>
      <c r="KC219" s="5"/>
      <c r="KD219" s="5"/>
      <c r="KE219" s="5"/>
      <c r="KF219" s="5"/>
      <c r="KG219" s="5"/>
      <c r="KH219" s="5"/>
      <c r="KI219" s="5"/>
      <c r="KJ219" s="5"/>
      <c r="KK219" s="5"/>
      <c r="KL219" s="5"/>
      <c r="KM219" s="5"/>
      <c r="KN219" s="5"/>
    </row>
    <row r="220" spans="1:300" s="5" customFormat="1" ht="12" customHeight="1" x14ac:dyDescent="0.3">
      <c r="A220" s="305"/>
      <c r="B220" s="306"/>
      <c r="C220" s="390"/>
      <c r="D220" s="400"/>
      <c r="E220" s="391"/>
      <c r="F220" s="392"/>
      <c r="G220" s="311"/>
      <c r="H220" s="312"/>
      <c r="I220" s="313"/>
      <c r="J220" s="307"/>
      <c r="K220" s="18"/>
      <c r="L220" s="19"/>
      <c r="M220" s="20"/>
      <c r="N220" s="14"/>
      <c r="O220" s="15"/>
      <c r="P220" s="22"/>
    </row>
    <row r="221" spans="1:300" s="5" customFormat="1" x14ac:dyDescent="0.3">
      <c r="A221" s="319"/>
      <c r="B221" s="306"/>
      <c r="C221" s="307"/>
      <c r="D221" s="400" t="s">
        <v>225</v>
      </c>
      <c r="E221" s="309"/>
      <c r="F221" s="310"/>
      <c r="G221" s="311"/>
      <c r="H221" s="312"/>
      <c r="I221" s="313"/>
      <c r="J221" s="307"/>
      <c r="K221" s="16"/>
      <c r="L221" s="17"/>
      <c r="M221" s="20"/>
      <c r="N221" s="14"/>
      <c r="O221" s="15"/>
      <c r="P221" s="22"/>
    </row>
    <row r="222" spans="1:300" s="5" customFormat="1" ht="41.4" x14ac:dyDescent="0.3">
      <c r="A222" s="305" t="s">
        <v>42</v>
      </c>
      <c r="B222" s="426"/>
      <c r="C222" s="390"/>
      <c r="D222" s="397" t="s">
        <v>226</v>
      </c>
      <c r="E222" s="309">
        <v>529</v>
      </c>
      <c r="F222" s="310" t="s">
        <v>21</v>
      </c>
      <c r="G222" s="311"/>
      <c r="H222" s="312">
        <f t="shared" ref="H222" si="32">E222*G222</f>
        <v>0</v>
      </c>
      <c r="I222" s="313"/>
      <c r="J222" s="307"/>
      <c r="K222" s="16"/>
      <c r="L222" s="17"/>
      <c r="M222" s="20"/>
      <c r="N222" s="14"/>
      <c r="O222" s="15"/>
      <c r="P222" s="22"/>
    </row>
    <row r="223" spans="1:300" s="5" customFormat="1" x14ac:dyDescent="0.3">
      <c r="A223" s="305" t="s">
        <v>44</v>
      </c>
      <c r="B223" s="426"/>
      <c r="C223" s="390"/>
      <c r="D223" s="397" t="s">
        <v>227</v>
      </c>
      <c r="E223" s="309">
        <v>514</v>
      </c>
      <c r="F223" s="310" t="s">
        <v>21</v>
      </c>
      <c r="G223" s="311"/>
      <c r="H223" s="312">
        <f>E223*G223</f>
        <v>0</v>
      </c>
      <c r="I223" s="313"/>
      <c r="J223" s="307"/>
      <c r="K223" s="16"/>
      <c r="L223" s="17"/>
      <c r="M223" s="20"/>
      <c r="N223" s="14"/>
      <c r="O223" s="15"/>
      <c r="P223" s="22"/>
    </row>
    <row r="224" spans="1:300" s="5" customFormat="1" ht="11.7" customHeight="1" x14ac:dyDescent="0.3">
      <c r="A224" s="305"/>
      <c r="B224" s="426"/>
      <c r="C224" s="390"/>
      <c r="D224" s="397"/>
      <c r="E224" s="309"/>
      <c r="F224" s="310"/>
      <c r="G224" s="311"/>
      <c r="H224" s="312"/>
      <c r="I224" s="313"/>
      <c r="J224" s="307"/>
      <c r="K224" s="16"/>
      <c r="L224" s="17"/>
      <c r="M224" s="20"/>
      <c r="N224" s="14"/>
      <c r="O224" s="15"/>
      <c r="P224" s="22"/>
    </row>
    <row r="225" spans="1:16" s="5" customFormat="1" x14ac:dyDescent="0.3">
      <c r="A225" s="305"/>
      <c r="B225" s="426"/>
      <c r="C225" s="390"/>
      <c r="D225" s="400" t="s">
        <v>228</v>
      </c>
      <c r="E225" s="309"/>
      <c r="F225" s="310"/>
      <c r="G225" s="311"/>
      <c r="H225" s="312"/>
      <c r="I225" s="313"/>
      <c r="J225" s="307"/>
      <c r="K225" s="16"/>
      <c r="L225" s="17"/>
      <c r="M225" s="20"/>
      <c r="N225" s="14"/>
      <c r="O225" s="15"/>
      <c r="P225" s="22"/>
    </row>
    <row r="226" spans="1:16" s="5" customFormat="1" ht="27.6" x14ac:dyDescent="0.3">
      <c r="A226" s="305" t="s">
        <v>46</v>
      </c>
      <c r="B226" s="426"/>
      <c r="C226" s="390"/>
      <c r="D226" s="397" t="s">
        <v>229</v>
      </c>
      <c r="E226" s="309">
        <v>2960</v>
      </c>
      <c r="F226" s="310" t="s">
        <v>21</v>
      </c>
      <c r="G226" s="311"/>
      <c r="H226" s="312">
        <f>E226*G226</f>
        <v>0</v>
      </c>
      <c r="I226" s="313" t="s">
        <v>230</v>
      </c>
      <c r="J226" s="307"/>
      <c r="K226" s="16"/>
      <c r="L226" s="17"/>
      <c r="M226" s="20"/>
      <c r="N226" s="14"/>
      <c r="O226" s="15"/>
      <c r="P226" s="22"/>
    </row>
    <row r="227" spans="1:16" s="5" customFormat="1" ht="11.7" customHeight="1" x14ac:dyDescent="0.3">
      <c r="A227" s="305"/>
      <c r="B227" s="426"/>
      <c r="C227" s="390"/>
      <c r="D227" s="397"/>
      <c r="E227" s="309"/>
      <c r="F227" s="310"/>
      <c r="G227" s="311"/>
      <c r="H227" s="312"/>
      <c r="I227" s="313"/>
      <c r="J227" s="307"/>
      <c r="K227" s="37"/>
      <c r="L227" s="25"/>
      <c r="M227" s="28"/>
      <c r="N227" s="29"/>
      <c r="O227" s="32"/>
      <c r="P227" s="22"/>
    </row>
    <row r="228" spans="1:16" s="5" customFormat="1" ht="15" customHeight="1" x14ac:dyDescent="0.3">
      <c r="A228" s="319"/>
      <c r="B228" s="306"/>
      <c r="C228" s="307"/>
      <c r="D228" s="400" t="s">
        <v>231</v>
      </c>
      <c r="E228" s="309"/>
      <c r="F228" s="310"/>
      <c r="G228" s="311"/>
      <c r="H228" s="312"/>
      <c r="I228" s="313"/>
      <c r="J228" s="307"/>
      <c r="K228" s="16"/>
      <c r="L228" s="17"/>
      <c r="M228" s="20"/>
      <c r="N228" s="14"/>
      <c r="O228" s="15"/>
      <c r="P228" s="22"/>
    </row>
    <row r="229" spans="1:16" s="5" customFormat="1" ht="27.75" customHeight="1" x14ac:dyDescent="0.3">
      <c r="A229" s="319" t="s">
        <v>48</v>
      </c>
      <c r="B229" s="306"/>
      <c r="C229" s="307"/>
      <c r="D229" s="398" t="s">
        <v>232</v>
      </c>
      <c r="E229" s="427">
        <v>158</v>
      </c>
      <c r="F229" s="310" t="s">
        <v>46</v>
      </c>
      <c r="G229" s="311"/>
      <c r="H229" s="312">
        <f t="shared" ref="H229:H231" si="33">E229*G229</f>
        <v>0</v>
      </c>
      <c r="I229" s="313"/>
      <c r="J229" s="307"/>
      <c r="K229" s="38"/>
      <c r="L229" s="17"/>
      <c r="M229" s="20"/>
      <c r="N229" s="14"/>
      <c r="O229" s="15"/>
      <c r="P229" s="22"/>
    </row>
    <row r="230" spans="1:16" s="5" customFormat="1" ht="15" customHeight="1" x14ac:dyDescent="0.3">
      <c r="A230" s="319" t="s">
        <v>50</v>
      </c>
      <c r="B230" s="306"/>
      <c r="C230" s="307"/>
      <c r="D230" s="398" t="s">
        <v>233</v>
      </c>
      <c r="E230" s="427">
        <v>158</v>
      </c>
      <c r="F230" s="310" t="s">
        <v>46</v>
      </c>
      <c r="G230" s="311"/>
      <c r="H230" s="312">
        <f t="shared" si="33"/>
        <v>0</v>
      </c>
      <c r="I230" s="313"/>
      <c r="J230" s="307"/>
      <c r="K230" s="38"/>
      <c r="L230" s="17"/>
      <c r="M230" s="20"/>
      <c r="N230" s="14"/>
      <c r="O230" s="15"/>
      <c r="P230" s="22"/>
    </row>
    <row r="231" spans="1:16" s="5" customFormat="1" ht="15" customHeight="1" x14ac:dyDescent="0.3">
      <c r="A231" s="319" t="s">
        <v>52</v>
      </c>
      <c r="B231" s="306"/>
      <c r="C231" s="307"/>
      <c r="D231" s="398" t="s">
        <v>234</v>
      </c>
      <c r="E231" s="427">
        <v>107</v>
      </c>
      <c r="F231" s="310" t="s">
        <v>46</v>
      </c>
      <c r="G231" s="311"/>
      <c r="H231" s="312">
        <f t="shared" si="33"/>
        <v>0</v>
      </c>
      <c r="I231" s="313"/>
      <c r="J231" s="307"/>
      <c r="K231" s="38"/>
      <c r="L231" s="17"/>
      <c r="M231" s="20"/>
      <c r="N231" s="14"/>
      <c r="O231" s="15"/>
      <c r="P231" s="22"/>
    </row>
    <row r="232" spans="1:16" s="5" customFormat="1" ht="15" customHeight="1" x14ac:dyDescent="0.3">
      <c r="A232" s="319"/>
      <c r="B232" s="306"/>
      <c r="C232" s="307"/>
      <c r="D232" s="398"/>
      <c r="E232" s="427"/>
      <c r="F232" s="310"/>
      <c r="G232" s="311"/>
      <c r="H232" s="312"/>
      <c r="I232" s="313"/>
      <c r="J232" s="307"/>
      <c r="K232" s="38"/>
      <c r="L232" s="17"/>
      <c r="M232" s="20"/>
      <c r="N232" s="14"/>
      <c r="O232" s="15"/>
      <c r="P232" s="22"/>
    </row>
    <row r="233" spans="1:16" s="5" customFormat="1" ht="15" customHeight="1" x14ac:dyDescent="0.3">
      <c r="A233" s="319"/>
      <c r="B233" s="306"/>
      <c r="C233" s="307"/>
      <c r="D233" s="400" t="s">
        <v>235</v>
      </c>
      <c r="E233" s="309"/>
      <c r="F233" s="310"/>
      <c r="G233" s="311"/>
      <c r="H233" s="312"/>
      <c r="I233" s="313"/>
      <c r="J233" s="307"/>
      <c r="K233" s="16"/>
      <c r="L233" s="17"/>
      <c r="M233" s="20"/>
      <c r="N233" s="14"/>
      <c r="O233" s="15"/>
      <c r="P233" s="22"/>
    </row>
    <row r="234" spans="1:16" s="5" customFormat="1" ht="15" customHeight="1" x14ac:dyDescent="0.3">
      <c r="A234" s="319" t="s">
        <v>54</v>
      </c>
      <c r="B234" s="306"/>
      <c r="C234" s="307"/>
      <c r="D234" s="398" t="s">
        <v>236</v>
      </c>
      <c r="E234" s="309">
        <v>1</v>
      </c>
      <c r="F234" s="310" t="s">
        <v>100</v>
      </c>
      <c r="G234" s="311"/>
      <c r="H234" s="312">
        <f t="shared" ref="H234:H236" si="34">E234*G234</f>
        <v>0</v>
      </c>
      <c r="I234" s="313"/>
      <c r="J234" s="307"/>
      <c r="K234" s="16"/>
      <c r="L234" s="17"/>
      <c r="M234" s="20"/>
      <c r="N234" s="14"/>
      <c r="O234" s="15"/>
      <c r="P234" s="39"/>
    </row>
    <row r="235" spans="1:16" s="5" customFormat="1" ht="15" customHeight="1" x14ac:dyDescent="0.3">
      <c r="A235" s="319" t="s">
        <v>56</v>
      </c>
      <c r="B235" s="306"/>
      <c r="C235" s="307"/>
      <c r="D235" s="398" t="s">
        <v>237</v>
      </c>
      <c r="E235" s="309">
        <v>1</v>
      </c>
      <c r="F235" s="310" t="s">
        <v>100</v>
      </c>
      <c r="G235" s="311"/>
      <c r="H235" s="312">
        <f t="shared" si="34"/>
        <v>0</v>
      </c>
      <c r="I235" s="313"/>
      <c r="J235" s="307"/>
      <c r="K235" s="16"/>
      <c r="L235" s="17"/>
      <c r="M235" s="20"/>
      <c r="N235" s="14"/>
      <c r="O235" s="15"/>
      <c r="P235" s="22"/>
    </row>
    <row r="236" spans="1:16" s="5" customFormat="1" ht="30.9" customHeight="1" x14ac:dyDescent="0.3">
      <c r="A236" s="319" t="s">
        <v>58</v>
      </c>
      <c r="B236" s="306"/>
      <c r="C236" s="307"/>
      <c r="D236" s="308" t="s">
        <v>238</v>
      </c>
      <c r="E236" s="309">
        <v>1</v>
      </c>
      <c r="F236" s="310" t="s">
        <v>100</v>
      </c>
      <c r="G236" s="311"/>
      <c r="H236" s="312">
        <f t="shared" si="34"/>
        <v>0</v>
      </c>
      <c r="I236" s="313"/>
      <c r="J236" s="307"/>
      <c r="K236" s="16"/>
      <c r="L236" s="17"/>
      <c r="M236" s="20"/>
      <c r="N236" s="14"/>
      <c r="O236" s="15"/>
      <c r="P236" s="22"/>
    </row>
    <row r="237" spans="1:16" s="5" customFormat="1" ht="11.7" customHeight="1" x14ac:dyDescent="0.3">
      <c r="A237" s="319"/>
      <c r="B237" s="306"/>
      <c r="C237" s="307"/>
      <c r="D237" s="308"/>
      <c r="E237" s="309"/>
      <c r="F237" s="310"/>
      <c r="G237" s="311"/>
      <c r="H237" s="312"/>
      <c r="I237" s="313"/>
      <c r="J237" s="307"/>
      <c r="K237" s="16"/>
      <c r="L237" s="17"/>
      <c r="M237" s="20"/>
      <c r="N237" s="14"/>
      <c r="O237" s="15"/>
      <c r="P237" s="22"/>
    </row>
    <row r="238" spans="1:16" s="5" customFormat="1" ht="15" customHeight="1" x14ac:dyDescent="0.3">
      <c r="A238" s="305">
        <v>2.0499999999999998</v>
      </c>
      <c r="B238" s="306"/>
      <c r="C238" s="390" t="s">
        <v>239</v>
      </c>
      <c r="D238" s="397"/>
      <c r="E238" s="309"/>
      <c r="F238" s="310"/>
      <c r="G238" s="311"/>
      <c r="H238" s="312"/>
      <c r="I238" s="313"/>
      <c r="J238" s="307"/>
      <c r="K238" s="16"/>
      <c r="L238" s="17"/>
      <c r="M238" s="20"/>
      <c r="N238" s="14"/>
      <c r="O238" s="15"/>
      <c r="P238" s="22"/>
    </row>
    <row r="239" spans="1:16" s="5" customFormat="1" ht="41.4" x14ac:dyDescent="0.3">
      <c r="A239" s="319" t="s">
        <v>19</v>
      </c>
      <c r="B239" s="306"/>
      <c r="C239" s="307"/>
      <c r="D239" s="308" t="s">
        <v>240</v>
      </c>
      <c r="E239" s="309">
        <v>5574</v>
      </c>
      <c r="F239" s="310" t="s">
        <v>21</v>
      </c>
      <c r="G239" s="311"/>
      <c r="H239" s="312">
        <f t="shared" ref="H239:H244" si="35">E239*G239</f>
        <v>0</v>
      </c>
      <c r="I239" s="313"/>
      <c r="J239" s="307"/>
      <c r="K239" s="16"/>
      <c r="L239" s="17"/>
      <c r="M239" s="20"/>
      <c r="N239" s="14"/>
      <c r="O239" s="15"/>
      <c r="P239" s="22"/>
    </row>
    <row r="240" spans="1:16" s="5" customFormat="1" ht="41.4" x14ac:dyDescent="0.3">
      <c r="A240" s="319" t="s">
        <v>22</v>
      </c>
      <c r="B240" s="306"/>
      <c r="C240" s="307"/>
      <c r="D240" s="308" t="s">
        <v>241</v>
      </c>
      <c r="E240" s="309">
        <v>341</v>
      </c>
      <c r="F240" s="310" t="s">
        <v>21</v>
      </c>
      <c r="G240" s="311"/>
      <c r="H240" s="312">
        <f t="shared" si="35"/>
        <v>0</v>
      </c>
      <c r="I240" s="313"/>
      <c r="J240" s="307"/>
      <c r="K240" s="16"/>
      <c r="L240" s="17"/>
      <c r="M240" s="20"/>
      <c r="N240" s="14"/>
      <c r="O240" s="15"/>
      <c r="P240" s="22"/>
    </row>
    <row r="241" spans="1:16" s="5" customFormat="1" ht="27.6" x14ac:dyDescent="0.3">
      <c r="A241" s="319" t="s">
        <v>25</v>
      </c>
      <c r="B241" s="306"/>
      <c r="C241" s="307"/>
      <c r="D241" s="308" t="s">
        <v>242</v>
      </c>
      <c r="E241" s="309">
        <v>14</v>
      </c>
      <c r="F241" s="310" t="s">
        <v>21</v>
      </c>
      <c r="G241" s="311"/>
      <c r="H241" s="312">
        <f t="shared" si="35"/>
        <v>0</v>
      </c>
      <c r="I241" s="313"/>
      <c r="J241" s="307"/>
      <c r="K241" s="16"/>
      <c r="L241" s="17"/>
      <c r="M241" s="20"/>
      <c r="N241" s="14"/>
      <c r="O241" s="15"/>
      <c r="P241" s="22"/>
    </row>
    <row r="242" spans="1:16" s="5" customFormat="1" x14ac:dyDescent="0.3">
      <c r="A242" s="319" t="s">
        <v>28</v>
      </c>
      <c r="B242" s="306"/>
      <c r="C242" s="307"/>
      <c r="D242" s="308" t="s">
        <v>243</v>
      </c>
      <c r="E242" s="309">
        <v>5959</v>
      </c>
      <c r="F242" s="310" t="s">
        <v>21</v>
      </c>
      <c r="G242" s="311"/>
      <c r="H242" s="312">
        <f t="shared" si="35"/>
        <v>0</v>
      </c>
      <c r="I242" s="313"/>
      <c r="J242" s="307"/>
      <c r="K242" s="16"/>
      <c r="L242" s="17"/>
      <c r="M242" s="20"/>
      <c r="N242" s="14"/>
      <c r="O242" s="15"/>
      <c r="P242" s="22"/>
    </row>
    <row r="243" spans="1:16" s="5" customFormat="1" x14ac:dyDescent="0.3">
      <c r="A243" s="319" t="s">
        <v>30</v>
      </c>
      <c r="B243" s="306"/>
      <c r="C243" s="307"/>
      <c r="D243" s="308" t="s">
        <v>244</v>
      </c>
      <c r="E243" s="309">
        <v>324</v>
      </c>
      <c r="F243" s="310" t="s">
        <v>46</v>
      </c>
      <c r="G243" s="311"/>
      <c r="H243" s="312">
        <f t="shared" si="35"/>
        <v>0</v>
      </c>
      <c r="I243" s="313"/>
      <c r="J243" s="307"/>
      <c r="K243" s="16"/>
      <c r="L243" s="17"/>
      <c r="M243" s="20"/>
      <c r="N243" s="14"/>
      <c r="O243" s="15"/>
      <c r="P243" s="22"/>
    </row>
    <row r="244" spans="1:16" s="5" customFormat="1" ht="15" customHeight="1" x14ac:dyDescent="0.3">
      <c r="A244" s="319" t="s">
        <v>32</v>
      </c>
      <c r="B244" s="306"/>
      <c r="C244" s="307"/>
      <c r="D244" s="308" t="s">
        <v>245</v>
      </c>
      <c r="E244" s="309">
        <v>324</v>
      </c>
      <c r="F244" s="310" t="s">
        <v>46</v>
      </c>
      <c r="G244" s="311"/>
      <c r="H244" s="312">
        <f t="shared" si="35"/>
        <v>0</v>
      </c>
      <c r="I244" s="313"/>
      <c r="J244" s="307"/>
      <c r="K244" s="16"/>
      <c r="L244" s="17"/>
      <c r="M244" s="20"/>
      <c r="N244" s="14"/>
      <c r="O244" s="15"/>
      <c r="P244" s="22"/>
    </row>
    <row r="245" spans="1:16" s="5" customFormat="1" ht="11.7" customHeight="1" x14ac:dyDescent="0.3">
      <c r="A245" s="319"/>
      <c r="B245" s="306"/>
      <c r="C245" s="307"/>
      <c r="D245" s="308"/>
      <c r="E245" s="309"/>
      <c r="F245" s="310"/>
      <c r="G245" s="311"/>
      <c r="H245" s="312"/>
      <c r="I245" s="313"/>
      <c r="J245" s="307"/>
      <c r="K245" s="16"/>
      <c r="L245" s="17"/>
      <c r="M245" s="20"/>
      <c r="N245" s="14"/>
      <c r="O245" s="15"/>
      <c r="P245" s="8"/>
    </row>
    <row r="246" spans="1:16" s="5" customFormat="1" ht="15" customHeight="1" x14ac:dyDescent="0.3">
      <c r="A246" s="305">
        <v>2.06</v>
      </c>
      <c r="B246" s="306"/>
      <c r="C246" s="390" t="s">
        <v>246</v>
      </c>
      <c r="D246" s="397"/>
      <c r="E246" s="309"/>
      <c r="F246" s="428"/>
      <c r="G246" s="311"/>
      <c r="H246" s="312"/>
      <c r="I246" s="313"/>
      <c r="J246" s="307"/>
      <c r="K246" s="16"/>
      <c r="L246" s="40"/>
      <c r="M246" s="20"/>
      <c r="N246" s="14"/>
      <c r="O246" s="15"/>
      <c r="P246" s="8"/>
    </row>
    <row r="247" spans="1:16" s="5" customFormat="1" ht="15" customHeight="1" x14ac:dyDescent="0.3">
      <c r="A247" s="305"/>
      <c r="B247" s="306"/>
      <c r="C247" s="390"/>
      <c r="D247" s="397" t="s">
        <v>247</v>
      </c>
      <c r="E247" s="429"/>
      <c r="F247" s="380"/>
      <c r="G247" s="311"/>
      <c r="H247" s="312"/>
      <c r="I247" s="313"/>
      <c r="J247" s="307"/>
      <c r="K247" s="10"/>
      <c r="L247" s="12"/>
      <c r="M247" s="20"/>
      <c r="N247" s="14"/>
      <c r="O247" s="15"/>
      <c r="P247" s="22"/>
    </row>
    <row r="248" spans="1:16" s="5" customFormat="1" x14ac:dyDescent="0.3">
      <c r="A248" s="305" t="s">
        <v>19</v>
      </c>
      <c r="B248" s="306"/>
      <c r="C248" s="390"/>
      <c r="D248" s="397" t="s">
        <v>248</v>
      </c>
      <c r="E248" s="429">
        <f>11+2</f>
        <v>13</v>
      </c>
      <c r="F248" s="380" t="s">
        <v>249</v>
      </c>
      <c r="G248" s="311"/>
      <c r="H248" s="312">
        <f t="shared" ref="H248" si="36">E248*G248</f>
        <v>0</v>
      </c>
      <c r="I248" s="313"/>
      <c r="J248" s="307"/>
      <c r="K248" s="10"/>
      <c r="L248" s="12"/>
      <c r="M248" s="20"/>
      <c r="N248" s="14"/>
      <c r="O248" s="15"/>
      <c r="P248" s="22"/>
    </row>
    <row r="249" spans="1:16" s="5" customFormat="1" ht="16.5" customHeight="1" x14ac:dyDescent="0.3">
      <c r="A249" s="305"/>
      <c r="B249" s="306"/>
      <c r="C249" s="390"/>
      <c r="D249" s="397"/>
      <c r="E249" s="429"/>
      <c r="F249" s="380"/>
      <c r="G249" s="311"/>
      <c r="H249" s="312"/>
      <c r="I249" s="313"/>
      <c r="J249" s="307"/>
      <c r="K249" s="10"/>
      <c r="L249" s="12"/>
      <c r="M249" s="20"/>
      <c r="N249" s="14"/>
      <c r="O249" s="15"/>
      <c r="P249" s="22"/>
    </row>
    <row r="250" spans="1:16" s="5" customFormat="1" ht="16.5" customHeight="1" x14ac:dyDescent="0.3">
      <c r="A250" s="305"/>
      <c r="B250" s="306"/>
      <c r="C250" s="390"/>
      <c r="D250" s="397" t="s">
        <v>250</v>
      </c>
      <c r="E250" s="429"/>
      <c r="F250" s="380"/>
      <c r="G250" s="311"/>
      <c r="H250" s="312"/>
      <c r="I250" s="313"/>
      <c r="J250" s="307"/>
      <c r="K250" s="10"/>
      <c r="L250" s="12"/>
      <c r="M250" s="20"/>
      <c r="N250" s="14"/>
      <c r="O250" s="15"/>
      <c r="P250" s="22"/>
    </row>
    <row r="251" spans="1:16" s="5" customFormat="1" ht="28.5" customHeight="1" x14ac:dyDescent="0.3">
      <c r="A251" s="305" t="s">
        <v>22</v>
      </c>
      <c r="B251" s="306"/>
      <c r="C251" s="390"/>
      <c r="D251" s="397" t="s">
        <v>251</v>
      </c>
      <c r="E251" s="429">
        <v>8</v>
      </c>
      <c r="F251" s="380" t="s">
        <v>249</v>
      </c>
      <c r="G251" s="311"/>
      <c r="H251" s="312">
        <f t="shared" ref="H251" si="37">E251*G251</f>
        <v>0</v>
      </c>
      <c r="I251" s="313"/>
      <c r="J251" s="307"/>
      <c r="K251" s="10"/>
      <c r="L251" s="12"/>
      <c r="M251" s="20"/>
      <c r="N251" s="14"/>
      <c r="O251" s="15"/>
      <c r="P251" s="22"/>
    </row>
    <row r="252" spans="1:16" s="5" customFormat="1" ht="16.5" customHeight="1" x14ac:dyDescent="0.3">
      <c r="A252" s="305"/>
      <c r="B252" s="306"/>
      <c r="C252" s="390"/>
      <c r="D252" s="397"/>
      <c r="E252" s="429"/>
      <c r="F252" s="380"/>
      <c r="G252" s="311"/>
      <c r="H252" s="312"/>
      <c r="I252" s="313"/>
      <c r="J252" s="307"/>
      <c r="K252" s="10"/>
      <c r="L252" s="12"/>
      <c r="M252" s="20"/>
      <c r="N252" s="14"/>
      <c r="O252" s="15"/>
      <c r="P252" s="22"/>
    </row>
    <row r="253" spans="1:16" s="5" customFormat="1" ht="16.5" customHeight="1" x14ac:dyDescent="0.3">
      <c r="A253" s="305"/>
      <c r="B253" s="306"/>
      <c r="C253" s="390"/>
      <c r="D253" s="397" t="s">
        <v>252</v>
      </c>
      <c r="E253" s="429"/>
      <c r="F253" s="380"/>
      <c r="G253" s="311"/>
      <c r="H253" s="312"/>
      <c r="I253" s="313"/>
      <c r="J253" s="307"/>
      <c r="K253" s="10"/>
      <c r="L253" s="12"/>
      <c r="M253" s="20"/>
      <c r="N253" s="14"/>
      <c r="O253" s="15"/>
      <c r="P253" s="22"/>
    </row>
    <row r="254" spans="1:16" s="5" customFormat="1" ht="16.5" customHeight="1" x14ac:dyDescent="0.3">
      <c r="A254" s="305" t="s">
        <v>25</v>
      </c>
      <c r="B254" s="306"/>
      <c r="C254" s="390"/>
      <c r="D254" s="397" t="s">
        <v>253</v>
      </c>
      <c r="E254" s="429">
        <v>4</v>
      </c>
      <c r="F254" s="380" t="s">
        <v>249</v>
      </c>
      <c r="G254" s="311"/>
      <c r="H254" s="312">
        <f t="shared" ref="H254:H255" si="38">E254*G254</f>
        <v>0</v>
      </c>
      <c r="I254" s="313"/>
      <c r="J254" s="307"/>
      <c r="K254" s="10"/>
      <c r="L254" s="12"/>
      <c r="M254" s="20"/>
      <c r="N254" s="14"/>
      <c r="O254" s="15"/>
      <c r="P254" s="22"/>
    </row>
    <row r="255" spans="1:16" s="5" customFormat="1" ht="16.5" customHeight="1" x14ac:dyDescent="0.3">
      <c r="A255" s="305" t="s">
        <v>28</v>
      </c>
      <c r="B255" s="306"/>
      <c r="C255" s="390"/>
      <c r="D255" s="397" t="s">
        <v>254</v>
      </c>
      <c r="E255" s="429">
        <v>1</v>
      </c>
      <c r="F255" s="380" t="s">
        <v>249</v>
      </c>
      <c r="G255" s="311"/>
      <c r="H255" s="312">
        <f t="shared" si="38"/>
        <v>0</v>
      </c>
      <c r="I255" s="313"/>
      <c r="J255" s="307"/>
      <c r="K255" s="10"/>
      <c r="L255" s="12"/>
      <c r="M255" s="20"/>
      <c r="N255" s="14"/>
      <c r="O255" s="15"/>
      <c r="P255" s="22"/>
    </row>
    <row r="256" spans="1:16" s="5" customFormat="1" ht="17.100000000000001" customHeight="1" x14ac:dyDescent="0.3">
      <c r="A256" s="305"/>
      <c r="B256" s="306"/>
      <c r="C256" s="390"/>
      <c r="D256" s="397"/>
      <c r="E256" s="429"/>
      <c r="F256" s="380"/>
      <c r="G256" s="311"/>
      <c r="H256" s="312"/>
      <c r="I256" s="313"/>
      <c r="J256" s="307"/>
      <c r="K256" s="10"/>
      <c r="L256" s="12"/>
      <c r="M256" s="20"/>
      <c r="N256" s="14"/>
      <c r="O256" s="15"/>
      <c r="P256" s="22"/>
    </row>
    <row r="257" spans="1:16" s="5" customFormat="1" ht="15" customHeight="1" x14ac:dyDescent="0.3">
      <c r="A257" s="305"/>
      <c r="B257" s="306"/>
      <c r="C257" s="390"/>
      <c r="D257" s="397" t="s">
        <v>255</v>
      </c>
      <c r="E257" s="429"/>
      <c r="F257" s="380"/>
      <c r="G257" s="311"/>
      <c r="H257" s="312"/>
      <c r="I257" s="313"/>
      <c r="J257" s="307"/>
      <c r="K257" s="10"/>
      <c r="L257" s="12"/>
      <c r="M257" s="20"/>
      <c r="N257" s="14"/>
      <c r="O257" s="15"/>
      <c r="P257" s="22"/>
    </row>
    <row r="258" spans="1:16" s="5" customFormat="1" ht="27.6" x14ac:dyDescent="0.3">
      <c r="A258" s="305" t="s">
        <v>30</v>
      </c>
      <c r="B258" s="306"/>
      <c r="C258" s="390"/>
      <c r="D258" s="397" t="s">
        <v>256</v>
      </c>
      <c r="E258" s="429">
        <v>2</v>
      </c>
      <c r="F258" s="380" t="s">
        <v>249</v>
      </c>
      <c r="G258" s="311"/>
      <c r="H258" s="312">
        <f t="shared" ref="H258:H259" si="39">E258*G258</f>
        <v>0</v>
      </c>
      <c r="I258" s="313"/>
      <c r="J258" s="307"/>
      <c r="K258" s="10"/>
      <c r="L258" s="12"/>
      <c r="M258" s="20"/>
      <c r="N258" s="14"/>
      <c r="O258" s="15"/>
      <c r="P258" s="22"/>
    </row>
    <row r="259" spans="1:16" s="5" customFormat="1" ht="27.6" x14ac:dyDescent="0.3">
      <c r="A259" s="305" t="s">
        <v>32</v>
      </c>
      <c r="B259" s="306"/>
      <c r="C259" s="390"/>
      <c r="D259" s="397" t="s">
        <v>257</v>
      </c>
      <c r="E259" s="429">
        <v>2</v>
      </c>
      <c r="F259" s="380" t="s">
        <v>249</v>
      </c>
      <c r="G259" s="311"/>
      <c r="H259" s="312">
        <f t="shared" si="39"/>
        <v>0</v>
      </c>
      <c r="I259" s="313"/>
      <c r="J259" s="307"/>
      <c r="K259" s="10"/>
      <c r="L259" s="12"/>
      <c r="M259" s="20"/>
      <c r="N259" s="14"/>
      <c r="O259" s="15"/>
      <c r="P259" s="22"/>
    </row>
    <row r="260" spans="1:16" s="5" customFormat="1" ht="15" customHeight="1" x14ac:dyDescent="0.3">
      <c r="A260" s="305"/>
      <c r="B260" s="306"/>
      <c r="C260" s="390"/>
      <c r="D260" s="397"/>
      <c r="E260" s="429"/>
      <c r="F260" s="380"/>
      <c r="G260" s="311"/>
      <c r="H260" s="312"/>
      <c r="I260" s="313"/>
      <c r="J260" s="307"/>
      <c r="K260" s="10"/>
      <c r="L260" s="12"/>
      <c r="M260" s="20"/>
      <c r="N260" s="14"/>
      <c r="O260" s="15"/>
      <c r="P260" s="22"/>
    </row>
    <row r="261" spans="1:16" s="5" customFormat="1" ht="15" customHeight="1" x14ac:dyDescent="0.3">
      <c r="A261" s="319"/>
      <c r="B261" s="306"/>
      <c r="C261" s="307"/>
      <c r="D261" s="397" t="s">
        <v>258</v>
      </c>
      <c r="E261" s="309"/>
      <c r="F261" s="310"/>
      <c r="G261" s="311"/>
      <c r="H261" s="312"/>
      <c r="I261" s="313"/>
      <c r="J261" s="307"/>
      <c r="K261" s="16"/>
      <c r="L261" s="17"/>
      <c r="M261" s="20"/>
      <c r="N261" s="14"/>
      <c r="O261" s="15"/>
      <c r="P261" s="8"/>
    </row>
    <row r="262" spans="1:16" s="5" customFormat="1" ht="27.6" x14ac:dyDescent="0.3">
      <c r="A262" s="319" t="s">
        <v>34</v>
      </c>
      <c r="B262" s="306"/>
      <c r="C262" s="307"/>
      <c r="D262" s="397" t="s">
        <v>259</v>
      </c>
      <c r="E262" s="309">
        <v>1</v>
      </c>
      <c r="F262" s="310" t="s">
        <v>249</v>
      </c>
      <c r="G262" s="311"/>
      <c r="H262" s="312">
        <f t="shared" ref="H262:H265" si="40">E262*G262</f>
        <v>0</v>
      </c>
      <c r="I262" s="313"/>
      <c r="J262" s="307"/>
      <c r="K262" s="16"/>
      <c r="L262" s="17"/>
      <c r="M262" s="20"/>
      <c r="N262" s="14"/>
      <c r="O262" s="15"/>
      <c r="P262" s="8"/>
    </row>
    <row r="263" spans="1:16" s="5" customFormat="1" ht="27.6" x14ac:dyDescent="0.3">
      <c r="A263" s="319" t="s">
        <v>36</v>
      </c>
      <c r="B263" s="306"/>
      <c r="C263" s="307"/>
      <c r="D263" s="397" t="s">
        <v>260</v>
      </c>
      <c r="E263" s="309">
        <v>2</v>
      </c>
      <c r="F263" s="310" t="s">
        <v>249</v>
      </c>
      <c r="G263" s="311"/>
      <c r="H263" s="312">
        <f>E263*G263</f>
        <v>0</v>
      </c>
      <c r="I263" s="313"/>
      <c r="J263" s="307"/>
      <c r="K263" s="16"/>
      <c r="L263" s="17"/>
      <c r="M263" s="20"/>
      <c r="N263" s="14"/>
      <c r="O263" s="15"/>
      <c r="P263" s="8"/>
    </row>
    <row r="264" spans="1:16" s="5" customFormat="1" ht="27.6" x14ac:dyDescent="0.3">
      <c r="A264" s="319" t="s">
        <v>39</v>
      </c>
      <c r="B264" s="306"/>
      <c r="C264" s="307"/>
      <c r="D264" s="397" t="s">
        <v>261</v>
      </c>
      <c r="E264" s="309">
        <v>2</v>
      </c>
      <c r="F264" s="310" t="s">
        <v>249</v>
      </c>
      <c r="G264" s="311"/>
      <c r="H264" s="312">
        <f>E264*G264</f>
        <v>0</v>
      </c>
      <c r="I264" s="313"/>
      <c r="J264" s="307"/>
      <c r="K264" s="16"/>
      <c r="L264" s="17"/>
      <c r="M264" s="20"/>
      <c r="N264" s="14"/>
      <c r="O264" s="15"/>
      <c r="P264" s="8"/>
    </row>
    <row r="265" spans="1:16" s="5" customFormat="1" ht="27.6" x14ac:dyDescent="0.3">
      <c r="A265" s="319" t="s">
        <v>42</v>
      </c>
      <c r="B265" s="306"/>
      <c r="C265" s="307"/>
      <c r="D265" s="308" t="s">
        <v>262</v>
      </c>
      <c r="E265" s="309">
        <v>1</v>
      </c>
      <c r="F265" s="310" t="s">
        <v>249</v>
      </c>
      <c r="G265" s="311"/>
      <c r="H265" s="312">
        <f t="shared" si="40"/>
        <v>0</v>
      </c>
      <c r="I265" s="313"/>
      <c r="J265" s="307"/>
      <c r="K265" s="16"/>
      <c r="L265" s="17"/>
      <c r="M265" s="20"/>
      <c r="N265" s="14"/>
      <c r="O265" s="15"/>
      <c r="P265" s="8"/>
    </row>
    <row r="266" spans="1:16" s="5" customFormat="1" ht="15" customHeight="1" x14ac:dyDescent="0.3">
      <c r="A266" s="319"/>
      <c r="B266" s="306"/>
      <c r="C266" s="307"/>
      <c r="D266" s="308"/>
      <c r="E266" s="309"/>
      <c r="F266" s="310"/>
      <c r="G266" s="311"/>
      <c r="H266" s="312"/>
      <c r="I266" s="313"/>
      <c r="J266" s="307"/>
      <c r="K266" s="16"/>
      <c r="L266" s="17"/>
      <c r="M266" s="20"/>
      <c r="N266" s="14"/>
      <c r="O266" s="15"/>
      <c r="P266" s="8"/>
    </row>
    <row r="267" spans="1:16" s="5" customFormat="1" ht="15" customHeight="1" x14ac:dyDescent="0.3">
      <c r="A267" s="319"/>
      <c r="B267" s="306"/>
      <c r="C267" s="307"/>
      <c r="D267" s="397" t="s">
        <v>263</v>
      </c>
      <c r="E267" s="309"/>
      <c r="F267" s="310"/>
      <c r="G267" s="311"/>
      <c r="H267" s="312"/>
      <c r="I267" s="313"/>
      <c r="J267" s="307"/>
      <c r="K267" s="16"/>
      <c r="L267" s="17"/>
      <c r="M267" s="20"/>
      <c r="N267" s="14"/>
      <c r="O267" s="15"/>
      <c r="P267" s="8"/>
    </row>
    <row r="268" spans="1:16" s="5" customFormat="1" ht="15" customHeight="1" x14ac:dyDescent="0.3">
      <c r="A268" s="319" t="s">
        <v>44</v>
      </c>
      <c r="B268" s="306"/>
      <c r="C268" s="307"/>
      <c r="D268" s="308" t="s">
        <v>264</v>
      </c>
      <c r="E268" s="309">
        <v>12</v>
      </c>
      <c r="F268" s="310" t="s">
        <v>249</v>
      </c>
      <c r="G268" s="311"/>
      <c r="H268" s="312">
        <f>E268*G268</f>
        <v>0</v>
      </c>
      <c r="I268" s="313"/>
      <c r="J268" s="307"/>
      <c r="K268" s="16"/>
      <c r="L268" s="17"/>
      <c r="M268" s="20"/>
      <c r="N268" s="14"/>
      <c r="O268" s="15"/>
      <c r="P268" s="8"/>
    </row>
    <row r="269" spans="1:16" s="5" customFormat="1" ht="15" customHeight="1" x14ac:dyDescent="0.3">
      <c r="A269" s="319" t="s">
        <v>46</v>
      </c>
      <c r="B269" s="306"/>
      <c r="C269" s="307"/>
      <c r="D269" s="308" t="s">
        <v>265</v>
      </c>
      <c r="E269" s="309">
        <v>4</v>
      </c>
      <c r="F269" s="310" t="s">
        <v>249</v>
      </c>
      <c r="G269" s="311"/>
      <c r="H269" s="312">
        <f t="shared" ref="H269:H274" si="41">E269*G269</f>
        <v>0</v>
      </c>
      <c r="I269" s="313"/>
      <c r="J269" s="307"/>
      <c r="K269" s="16"/>
      <c r="L269" s="17"/>
      <c r="M269" s="20"/>
      <c r="N269" s="14"/>
      <c r="O269" s="15"/>
      <c r="P269" s="8"/>
    </row>
    <row r="270" spans="1:16" s="5" customFormat="1" ht="15" customHeight="1" x14ac:dyDescent="0.3">
      <c r="A270" s="319" t="s">
        <v>48</v>
      </c>
      <c r="B270" s="306"/>
      <c r="C270" s="307"/>
      <c r="D270" s="308" t="s">
        <v>266</v>
      </c>
      <c r="E270" s="309">
        <v>1</v>
      </c>
      <c r="F270" s="310" t="s">
        <v>249</v>
      </c>
      <c r="G270" s="311"/>
      <c r="H270" s="312">
        <f t="shared" si="41"/>
        <v>0</v>
      </c>
      <c r="I270" s="313"/>
      <c r="J270" s="307"/>
      <c r="K270" s="16"/>
      <c r="L270" s="17"/>
      <c r="M270" s="20"/>
      <c r="N270" s="14"/>
      <c r="O270" s="15"/>
      <c r="P270" s="8"/>
    </row>
    <row r="271" spans="1:16" s="5" customFormat="1" ht="15" customHeight="1" x14ac:dyDescent="0.3">
      <c r="A271" s="319" t="s">
        <v>50</v>
      </c>
      <c r="B271" s="306"/>
      <c r="C271" s="307"/>
      <c r="D271" s="308" t="s">
        <v>267</v>
      </c>
      <c r="E271" s="309">
        <v>12</v>
      </c>
      <c r="F271" s="310" t="s">
        <v>249</v>
      </c>
      <c r="G271" s="311"/>
      <c r="H271" s="312">
        <f>E271*G271</f>
        <v>0</v>
      </c>
      <c r="I271" s="313"/>
      <c r="J271" s="307"/>
      <c r="K271" s="16"/>
      <c r="L271" s="17"/>
      <c r="M271" s="20"/>
      <c r="N271" s="14"/>
      <c r="O271" s="15"/>
      <c r="P271" s="8"/>
    </row>
    <row r="272" spans="1:16" s="5" customFormat="1" ht="15" customHeight="1" x14ac:dyDescent="0.3">
      <c r="A272" s="319" t="s">
        <v>52</v>
      </c>
      <c r="B272" s="306"/>
      <c r="C272" s="307"/>
      <c r="D272" s="308" t="s">
        <v>268</v>
      </c>
      <c r="E272" s="309">
        <v>1</v>
      </c>
      <c r="F272" s="310" t="s">
        <v>249</v>
      </c>
      <c r="G272" s="311"/>
      <c r="H272" s="312">
        <f t="shared" si="41"/>
        <v>0</v>
      </c>
      <c r="I272" s="313"/>
      <c r="J272" s="307"/>
      <c r="K272" s="16"/>
      <c r="L272" s="17"/>
      <c r="M272" s="20"/>
      <c r="N272" s="14"/>
      <c r="O272" s="15"/>
      <c r="P272" s="8"/>
    </row>
    <row r="273" spans="1:16" s="5" customFormat="1" ht="15" customHeight="1" x14ac:dyDescent="0.3">
      <c r="A273" s="319" t="s">
        <v>54</v>
      </c>
      <c r="B273" s="306"/>
      <c r="C273" s="307"/>
      <c r="D273" s="308" t="s">
        <v>269</v>
      </c>
      <c r="E273" s="309">
        <v>13</v>
      </c>
      <c r="F273" s="310" t="s">
        <v>249</v>
      </c>
      <c r="G273" s="311"/>
      <c r="H273" s="312">
        <f t="shared" si="41"/>
        <v>0</v>
      </c>
      <c r="I273" s="313"/>
      <c r="J273" s="307"/>
      <c r="K273" s="16"/>
      <c r="L273" s="17"/>
      <c r="M273" s="20"/>
      <c r="N273" s="14"/>
      <c r="O273" s="15"/>
      <c r="P273" s="8"/>
    </row>
    <row r="274" spans="1:16" s="5" customFormat="1" ht="15" customHeight="1" x14ac:dyDescent="0.3">
      <c r="A274" s="319" t="s">
        <v>56</v>
      </c>
      <c r="B274" s="306"/>
      <c r="C274" s="307"/>
      <c r="D274" s="308" t="s">
        <v>270</v>
      </c>
      <c r="E274" s="309">
        <v>4</v>
      </c>
      <c r="F274" s="310" t="s">
        <v>249</v>
      </c>
      <c r="G274" s="311"/>
      <c r="H274" s="312">
        <f t="shared" si="41"/>
        <v>0</v>
      </c>
      <c r="I274" s="313"/>
      <c r="J274" s="307"/>
      <c r="K274" s="16"/>
      <c r="L274" s="17"/>
      <c r="M274" s="20"/>
      <c r="N274" s="14"/>
      <c r="O274" s="15"/>
      <c r="P274" s="8"/>
    </row>
    <row r="275" spans="1:16" s="5" customFormat="1" ht="15" customHeight="1" x14ac:dyDescent="0.3">
      <c r="A275" s="319"/>
      <c r="B275" s="306"/>
      <c r="C275" s="307"/>
      <c r="D275" s="308"/>
      <c r="E275" s="309"/>
      <c r="F275" s="310"/>
      <c r="G275" s="311"/>
      <c r="H275" s="312"/>
      <c r="I275" s="313"/>
      <c r="J275" s="307"/>
      <c r="K275" s="16"/>
      <c r="L275" s="17"/>
      <c r="M275" s="20"/>
      <c r="N275" s="14"/>
      <c r="O275" s="15"/>
      <c r="P275" s="8"/>
    </row>
    <row r="276" spans="1:16" s="5" customFormat="1" ht="15" customHeight="1" x14ac:dyDescent="0.3">
      <c r="A276" s="430"/>
      <c r="B276" s="402"/>
      <c r="C276" s="431"/>
      <c r="D276" s="404"/>
      <c r="E276" s="432"/>
      <c r="F276" s="433"/>
      <c r="G276" s="407"/>
      <c r="H276" s="408"/>
      <c r="I276" s="409"/>
      <c r="J276" s="307"/>
      <c r="K276" s="37"/>
      <c r="L276" s="25"/>
      <c r="M276" s="28"/>
      <c r="N276" s="29"/>
      <c r="O276" s="32"/>
      <c r="P276" s="8"/>
    </row>
    <row r="277" spans="1:16" s="5" customFormat="1" ht="15" customHeight="1" x14ac:dyDescent="0.3">
      <c r="A277" s="305">
        <v>2.0699999999999998</v>
      </c>
      <c r="B277" s="306"/>
      <c r="C277" s="390" t="s">
        <v>271</v>
      </c>
      <c r="D277" s="397"/>
      <c r="E277" s="309"/>
      <c r="F277" s="310"/>
      <c r="G277" s="311"/>
      <c r="H277" s="312"/>
      <c r="I277" s="313"/>
      <c r="J277" s="307"/>
      <c r="K277" s="16"/>
      <c r="L277" s="17"/>
      <c r="M277" s="20"/>
      <c r="N277" s="14"/>
      <c r="O277" s="15"/>
      <c r="P277" s="8"/>
    </row>
    <row r="278" spans="1:16" s="5" customFormat="1" ht="27.6" x14ac:dyDescent="0.3">
      <c r="A278" s="305" t="s">
        <v>19</v>
      </c>
      <c r="B278" s="306"/>
      <c r="C278" s="390"/>
      <c r="D278" s="434" t="s">
        <v>272</v>
      </c>
      <c r="E278" s="309">
        <v>181</v>
      </c>
      <c r="F278" s="310" t="s">
        <v>21</v>
      </c>
      <c r="G278" s="311"/>
      <c r="H278" s="312">
        <f>E278*G278</f>
        <v>0</v>
      </c>
      <c r="I278" s="313"/>
      <c r="J278" s="307"/>
      <c r="K278" s="16"/>
      <c r="L278" s="17"/>
      <c r="M278" s="20"/>
      <c r="N278" s="14"/>
      <c r="O278" s="15"/>
      <c r="P278" s="8"/>
    </row>
    <row r="279" spans="1:16" s="5" customFormat="1" ht="27.6" x14ac:dyDescent="0.3">
      <c r="A279" s="319" t="s">
        <v>22</v>
      </c>
      <c r="B279" s="306"/>
      <c r="C279" s="307"/>
      <c r="D279" s="434" t="s">
        <v>242</v>
      </c>
      <c r="E279" s="309">
        <v>1617</v>
      </c>
      <c r="F279" s="310" t="s">
        <v>21</v>
      </c>
      <c r="G279" s="311"/>
      <c r="H279" s="312">
        <f t="shared" ref="H279:H286" si="42">E279*G279</f>
        <v>0</v>
      </c>
      <c r="I279" s="313"/>
      <c r="J279" s="307"/>
      <c r="K279" s="16"/>
      <c r="L279" s="17"/>
      <c r="M279" s="20"/>
      <c r="N279" s="14"/>
      <c r="O279" s="15"/>
      <c r="P279" s="22"/>
    </row>
    <row r="280" spans="1:16" s="5" customFormat="1" ht="27.6" x14ac:dyDescent="0.3">
      <c r="A280" s="319" t="s">
        <v>25</v>
      </c>
      <c r="B280" s="306"/>
      <c r="C280" s="307"/>
      <c r="D280" s="434" t="s">
        <v>273</v>
      </c>
      <c r="E280" s="309">
        <v>535</v>
      </c>
      <c r="F280" s="310" t="s">
        <v>21</v>
      </c>
      <c r="G280" s="311"/>
      <c r="H280" s="312">
        <f>E280*G280</f>
        <v>0</v>
      </c>
      <c r="I280" s="313"/>
      <c r="J280" s="307"/>
      <c r="K280" s="16"/>
      <c r="L280" s="17"/>
      <c r="M280" s="20"/>
      <c r="N280" s="14"/>
      <c r="O280" s="15"/>
      <c r="P280" s="22"/>
    </row>
    <row r="281" spans="1:16" s="5" customFormat="1" ht="27.6" x14ac:dyDescent="0.3">
      <c r="A281" s="319" t="s">
        <v>28</v>
      </c>
      <c r="B281" s="306"/>
      <c r="C281" s="307"/>
      <c r="D281" s="434" t="s">
        <v>274</v>
      </c>
      <c r="E281" s="309">
        <v>61</v>
      </c>
      <c r="F281" s="310" t="s">
        <v>21</v>
      </c>
      <c r="G281" s="311"/>
      <c r="H281" s="312">
        <f t="shared" si="42"/>
        <v>0</v>
      </c>
      <c r="I281" s="313"/>
      <c r="J281" s="307"/>
      <c r="K281" s="16"/>
      <c r="L281" s="17"/>
      <c r="M281" s="20"/>
      <c r="N281" s="14"/>
      <c r="O281" s="15"/>
      <c r="P281" s="22"/>
    </row>
    <row r="282" spans="1:16" s="5" customFormat="1" ht="41.4" x14ac:dyDescent="0.3">
      <c r="A282" s="319" t="s">
        <v>30</v>
      </c>
      <c r="B282" s="306"/>
      <c r="C282" s="307"/>
      <c r="D282" s="434" t="s">
        <v>241</v>
      </c>
      <c r="E282" s="309">
        <v>104</v>
      </c>
      <c r="F282" s="310" t="s">
        <v>21</v>
      </c>
      <c r="G282" s="311"/>
      <c r="H282" s="312">
        <f>E282*G282</f>
        <v>0</v>
      </c>
      <c r="I282" s="313"/>
      <c r="J282" s="307"/>
      <c r="K282" s="16"/>
      <c r="L282" s="17"/>
      <c r="M282" s="20"/>
      <c r="N282" s="14"/>
      <c r="O282" s="15"/>
      <c r="P282" s="22"/>
    </row>
    <row r="283" spans="1:16" s="5" customFormat="1" ht="80.25" customHeight="1" x14ac:dyDescent="0.3">
      <c r="A283" s="319" t="s">
        <v>32</v>
      </c>
      <c r="B283" s="306"/>
      <c r="C283" s="307"/>
      <c r="D283" s="434" t="s">
        <v>275</v>
      </c>
      <c r="E283" s="309">
        <v>4683</v>
      </c>
      <c r="F283" s="310" t="s">
        <v>21</v>
      </c>
      <c r="G283" s="311"/>
      <c r="H283" s="312">
        <f t="shared" si="42"/>
        <v>0</v>
      </c>
      <c r="I283" s="313" t="s">
        <v>276</v>
      </c>
      <c r="J283" s="307"/>
      <c r="K283" s="16"/>
      <c r="L283" s="17"/>
      <c r="M283" s="20"/>
      <c r="N283" s="14"/>
      <c r="O283" s="15"/>
      <c r="P283" s="22"/>
    </row>
    <row r="284" spans="1:16" s="5" customFormat="1" ht="61.5" customHeight="1" x14ac:dyDescent="0.3">
      <c r="A284" s="319" t="s">
        <v>34</v>
      </c>
      <c r="B284" s="306"/>
      <c r="C284" s="307"/>
      <c r="D284" s="434" t="s">
        <v>277</v>
      </c>
      <c r="E284" s="309">
        <v>389</v>
      </c>
      <c r="F284" s="310" t="s">
        <v>21</v>
      </c>
      <c r="G284" s="311"/>
      <c r="H284" s="312">
        <f t="shared" si="42"/>
        <v>0</v>
      </c>
      <c r="I284" s="313"/>
      <c r="J284" s="307"/>
      <c r="K284" s="16"/>
      <c r="L284" s="17"/>
      <c r="M284" s="20"/>
      <c r="N284" s="14"/>
      <c r="O284" s="15"/>
      <c r="P284" s="22"/>
    </row>
    <row r="285" spans="1:16" s="5" customFormat="1" ht="57" customHeight="1" x14ac:dyDescent="0.3">
      <c r="A285" s="319" t="s">
        <v>36</v>
      </c>
      <c r="B285" s="306"/>
      <c r="C285" s="307"/>
      <c r="D285" s="434" t="s">
        <v>278</v>
      </c>
      <c r="E285" s="309">
        <v>448</v>
      </c>
      <c r="F285" s="310" t="s">
        <v>21</v>
      </c>
      <c r="G285" s="311"/>
      <c r="H285" s="312">
        <f t="shared" si="42"/>
        <v>0</v>
      </c>
      <c r="I285" s="313" t="s">
        <v>276</v>
      </c>
      <c r="J285" s="307"/>
      <c r="K285" s="16"/>
      <c r="L285" s="17"/>
      <c r="M285" s="20"/>
      <c r="N285" s="14"/>
      <c r="O285" s="15"/>
      <c r="P285" s="22"/>
    </row>
    <row r="286" spans="1:16" s="5" customFormat="1" ht="27.6" x14ac:dyDescent="0.3">
      <c r="A286" s="319" t="s">
        <v>39</v>
      </c>
      <c r="B286" s="306"/>
      <c r="C286" s="307"/>
      <c r="D286" s="434" t="s">
        <v>279</v>
      </c>
      <c r="E286" s="309">
        <v>33</v>
      </c>
      <c r="F286" s="310" t="s">
        <v>21</v>
      </c>
      <c r="G286" s="311"/>
      <c r="H286" s="312">
        <f t="shared" si="42"/>
        <v>0</v>
      </c>
      <c r="I286" s="313" t="s">
        <v>276</v>
      </c>
      <c r="J286" s="307"/>
      <c r="K286" s="16"/>
      <c r="L286" s="17"/>
      <c r="M286" s="20"/>
      <c r="N286" s="14"/>
      <c r="O286" s="15"/>
      <c r="P286" s="22"/>
    </row>
    <row r="287" spans="1:16" s="5" customFormat="1" ht="15" customHeight="1" x14ac:dyDescent="0.3">
      <c r="A287" s="319"/>
      <c r="B287" s="306"/>
      <c r="C287" s="307"/>
      <c r="D287" s="397"/>
      <c r="E287" s="309"/>
      <c r="F287" s="310"/>
      <c r="G287" s="311"/>
      <c r="H287" s="312"/>
      <c r="I287" s="313"/>
      <c r="J287" s="307"/>
      <c r="K287" s="16"/>
      <c r="L287" s="17"/>
      <c r="M287" s="20"/>
      <c r="N287" s="14"/>
      <c r="O287" s="15"/>
      <c r="P287" s="8"/>
    </row>
    <row r="288" spans="1:16" s="5" customFormat="1" ht="41.4" x14ac:dyDescent="0.3">
      <c r="A288" s="319"/>
      <c r="B288" s="306"/>
      <c r="C288" s="307"/>
      <c r="D288" s="397" t="s">
        <v>280</v>
      </c>
      <c r="E288" s="309"/>
      <c r="F288" s="310"/>
      <c r="G288" s="311"/>
      <c r="H288" s="312"/>
      <c r="I288" s="313"/>
      <c r="J288" s="307"/>
      <c r="K288" s="16"/>
      <c r="L288" s="17"/>
      <c r="M288" s="20"/>
      <c r="N288" s="14"/>
      <c r="O288" s="15"/>
      <c r="P288" s="8"/>
    </row>
    <row r="289" spans="1:16" s="5" customFormat="1" ht="28.5" customHeight="1" x14ac:dyDescent="0.3">
      <c r="A289" s="319" t="s">
        <v>42</v>
      </c>
      <c r="B289" s="306"/>
      <c r="C289" s="307"/>
      <c r="D289" s="397" t="s">
        <v>281</v>
      </c>
      <c r="E289" s="309">
        <v>4</v>
      </c>
      <c r="F289" s="310" t="s">
        <v>282</v>
      </c>
      <c r="G289" s="311"/>
      <c r="H289" s="312">
        <f t="shared" ref="H289:H291" si="43">E289*G289</f>
        <v>0</v>
      </c>
      <c r="I289" s="313"/>
      <c r="J289" s="307"/>
      <c r="K289" s="16"/>
      <c r="L289" s="17"/>
      <c r="M289" s="20"/>
      <c r="N289" s="14"/>
      <c r="O289" s="15"/>
      <c r="P289" s="8"/>
    </row>
    <row r="290" spans="1:16" s="5" customFormat="1" ht="28.5" customHeight="1" x14ac:dyDescent="0.3">
      <c r="A290" s="319" t="s">
        <v>44</v>
      </c>
      <c r="B290" s="306"/>
      <c r="C290" s="307"/>
      <c r="D290" s="397" t="s">
        <v>283</v>
      </c>
      <c r="E290" s="309">
        <v>4</v>
      </c>
      <c r="F290" s="310" t="s">
        <v>282</v>
      </c>
      <c r="G290" s="311"/>
      <c r="H290" s="312">
        <f t="shared" si="43"/>
        <v>0</v>
      </c>
      <c r="I290" s="313"/>
      <c r="J290" s="307"/>
      <c r="K290" s="16"/>
      <c r="L290" s="17"/>
      <c r="M290" s="20"/>
      <c r="N290" s="14"/>
      <c r="O290" s="15"/>
      <c r="P290" s="8"/>
    </row>
    <row r="291" spans="1:16" s="5" customFormat="1" ht="28.5" customHeight="1" x14ac:dyDescent="0.3">
      <c r="A291" s="319" t="s">
        <v>46</v>
      </c>
      <c r="B291" s="306"/>
      <c r="C291" s="307"/>
      <c r="D291" s="397" t="s">
        <v>284</v>
      </c>
      <c r="E291" s="309">
        <v>2</v>
      </c>
      <c r="F291" s="310" t="s">
        <v>282</v>
      </c>
      <c r="G291" s="311"/>
      <c r="H291" s="312">
        <f t="shared" si="43"/>
        <v>0</v>
      </c>
      <c r="I291" s="313"/>
      <c r="J291" s="307"/>
      <c r="K291" s="16"/>
      <c r="L291" s="17"/>
      <c r="M291" s="20"/>
      <c r="N291" s="14"/>
      <c r="O291" s="15"/>
      <c r="P291" s="8"/>
    </row>
    <row r="292" spans="1:16" s="5" customFormat="1" ht="15" customHeight="1" x14ac:dyDescent="0.3">
      <c r="A292" s="319"/>
      <c r="B292" s="306"/>
      <c r="C292" s="307"/>
      <c r="D292" s="397"/>
      <c r="E292" s="309"/>
      <c r="F292" s="310"/>
      <c r="G292" s="311"/>
      <c r="H292" s="312"/>
      <c r="I292" s="313"/>
      <c r="J292" s="307"/>
      <c r="K292" s="16"/>
      <c r="L292" s="17"/>
      <c r="M292" s="20"/>
      <c r="N292" s="14"/>
      <c r="O292" s="15"/>
      <c r="P292" s="8"/>
    </row>
    <row r="293" spans="1:16" s="5" customFormat="1" ht="15" customHeight="1" x14ac:dyDescent="0.3">
      <c r="A293" s="305">
        <v>2.08</v>
      </c>
      <c r="B293" s="306"/>
      <c r="C293" s="390" t="s">
        <v>285</v>
      </c>
      <c r="D293" s="435"/>
      <c r="E293" s="309"/>
      <c r="F293" s="310"/>
      <c r="G293" s="311"/>
      <c r="H293" s="312"/>
      <c r="I293" s="313"/>
      <c r="J293" s="307"/>
      <c r="K293" s="16"/>
      <c r="L293" s="17"/>
      <c r="M293" s="20"/>
      <c r="N293" s="14"/>
      <c r="O293" s="15"/>
      <c r="P293" s="8"/>
    </row>
    <row r="294" spans="1:16" s="5" customFormat="1" x14ac:dyDescent="0.3">
      <c r="A294" s="319"/>
      <c r="B294" s="306"/>
      <c r="C294" s="436"/>
      <c r="D294" s="397" t="s">
        <v>247</v>
      </c>
      <c r="E294" s="429"/>
      <c r="F294" s="392"/>
      <c r="G294" s="311"/>
      <c r="H294" s="312"/>
      <c r="I294" s="313"/>
      <c r="J294" s="307"/>
      <c r="K294" s="10"/>
      <c r="L294" s="19"/>
      <c r="M294" s="20"/>
      <c r="N294" s="14"/>
      <c r="O294" s="15"/>
      <c r="P294" s="22"/>
    </row>
    <row r="295" spans="1:16" s="5" customFormat="1" ht="27.6" x14ac:dyDescent="0.3">
      <c r="A295" s="319" t="s">
        <v>19</v>
      </c>
      <c r="B295" s="306"/>
      <c r="C295" s="436"/>
      <c r="D295" s="397" t="s">
        <v>286</v>
      </c>
      <c r="E295" s="429">
        <v>28</v>
      </c>
      <c r="F295" s="392" t="s">
        <v>249</v>
      </c>
      <c r="G295" s="311"/>
      <c r="H295" s="312">
        <f t="shared" ref="H295:H300" si="44">E295*G295</f>
        <v>0</v>
      </c>
      <c r="I295" s="313"/>
      <c r="J295" s="307"/>
      <c r="K295" s="10"/>
      <c r="L295" s="19"/>
      <c r="M295" s="20"/>
      <c r="N295" s="14"/>
      <c r="O295" s="15"/>
      <c r="P295" s="22"/>
    </row>
    <row r="296" spans="1:16" s="5" customFormat="1" ht="27.6" x14ac:dyDescent="0.3">
      <c r="A296" s="319" t="s">
        <v>22</v>
      </c>
      <c r="B296" s="306"/>
      <c r="C296" s="436"/>
      <c r="D296" s="397" t="s">
        <v>287</v>
      </c>
      <c r="E296" s="429">
        <v>29</v>
      </c>
      <c r="F296" s="392" t="s">
        <v>249</v>
      </c>
      <c r="G296" s="311"/>
      <c r="H296" s="312">
        <f t="shared" si="44"/>
        <v>0</v>
      </c>
      <c r="I296" s="313"/>
      <c r="J296" s="307"/>
      <c r="K296" s="10"/>
      <c r="L296" s="19"/>
      <c r="M296" s="20"/>
      <c r="N296" s="14"/>
      <c r="O296" s="15"/>
      <c r="P296" s="22"/>
    </row>
    <row r="297" spans="1:16" s="5" customFormat="1" x14ac:dyDescent="0.3">
      <c r="A297" s="319" t="s">
        <v>25</v>
      </c>
      <c r="B297" s="306"/>
      <c r="C297" s="436"/>
      <c r="D297" s="397" t="s">
        <v>248</v>
      </c>
      <c r="E297" s="429">
        <f>8+21</f>
        <v>29</v>
      </c>
      <c r="F297" s="392" t="s">
        <v>249</v>
      </c>
      <c r="G297" s="311"/>
      <c r="H297" s="312">
        <f t="shared" si="44"/>
        <v>0</v>
      </c>
      <c r="I297" s="313"/>
      <c r="J297" s="307"/>
      <c r="K297" s="10"/>
      <c r="L297" s="19"/>
      <c r="M297" s="20"/>
      <c r="N297" s="14"/>
      <c r="O297" s="15"/>
      <c r="P297" s="22"/>
    </row>
    <row r="298" spans="1:16" s="5" customFormat="1" x14ac:dyDescent="0.3">
      <c r="A298" s="319" t="s">
        <v>28</v>
      </c>
      <c r="B298" s="306"/>
      <c r="C298" s="436"/>
      <c r="D298" s="397" t="s">
        <v>288</v>
      </c>
      <c r="E298" s="429">
        <f>7+7</f>
        <v>14</v>
      </c>
      <c r="F298" s="392" t="s">
        <v>249</v>
      </c>
      <c r="G298" s="311"/>
      <c r="H298" s="312">
        <f t="shared" si="44"/>
        <v>0</v>
      </c>
      <c r="I298" s="313"/>
      <c r="J298" s="307"/>
      <c r="K298" s="10"/>
      <c r="L298" s="19"/>
      <c r="M298" s="20"/>
      <c r="N298" s="14"/>
      <c r="O298" s="15"/>
      <c r="P298" s="22"/>
    </row>
    <row r="299" spans="1:16" s="5" customFormat="1" x14ac:dyDescent="0.3">
      <c r="A299" s="319" t="s">
        <v>30</v>
      </c>
      <c r="B299" s="306"/>
      <c r="C299" s="436"/>
      <c r="D299" s="397" t="s">
        <v>289</v>
      </c>
      <c r="E299" s="429">
        <v>2</v>
      </c>
      <c r="F299" s="392" t="s">
        <v>249</v>
      </c>
      <c r="G299" s="311"/>
      <c r="H299" s="312">
        <f t="shared" si="44"/>
        <v>0</v>
      </c>
      <c r="I299" s="313"/>
      <c r="J299" s="307"/>
      <c r="K299" s="10"/>
      <c r="L299" s="19"/>
      <c r="M299" s="20"/>
      <c r="N299" s="14"/>
      <c r="O299" s="15"/>
      <c r="P299" s="22"/>
    </row>
    <row r="300" spans="1:16" s="5" customFormat="1" x14ac:dyDescent="0.3">
      <c r="A300" s="319" t="s">
        <v>32</v>
      </c>
      <c r="B300" s="306"/>
      <c r="C300" s="436"/>
      <c r="D300" s="397" t="s">
        <v>290</v>
      </c>
      <c r="E300" s="429">
        <f>28+16</f>
        <v>44</v>
      </c>
      <c r="F300" s="392" t="s">
        <v>249</v>
      </c>
      <c r="G300" s="311"/>
      <c r="H300" s="312">
        <f t="shared" si="44"/>
        <v>0</v>
      </c>
      <c r="I300" s="313"/>
      <c r="J300" s="307"/>
      <c r="K300" s="10"/>
      <c r="L300" s="19"/>
      <c r="M300" s="20"/>
      <c r="N300" s="14"/>
      <c r="O300" s="15"/>
      <c r="P300" s="22"/>
    </row>
    <row r="301" spans="1:16" s="5" customFormat="1" ht="14.25" customHeight="1" x14ac:dyDescent="0.3">
      <c r="A301" s="319" t="s">
        <v>34</v>
      </c>
      <c r="B301" s="306"/>
      <c r="C301" s="436"/>
      <c r="D301" s="397" t="s">
        <v>291</v>
      </c>
      <c r="E301" s="429">
        <v>20</v>
      </c>
      <c r="F301" s="392" t="s">
        <v>249</v>
      </c>
      <c r="G301" s="311"/>
      <c r="H301" s="312">
        <f>E301*G301</f>
        <v>0</v>
      </c>
      <c r="I301" s="313"/>
      <c r="J301" s="307"/>
      <c r="K301" s="10"/>
      <c r="L301" s="19"/>
      <c r="M301" s="20"/>
      <c r="N301" s="14"/>
      <c r="O301" s="15"/>
      <c r="P301" s="22"/>
    </row>
    <row r="302" spans="1:16" s="5" customFormat="1" x14ac:dyDescent="0.3">
      <c r="A302" s="319"/>
      <c r="B302" s="306"/>
      <c r="C302" s="436"/>
      <c r="D302" s="397"/>
      <c r="E302" s="429"/>
      <c r="F302" s="392"/>
      <c r="G302" s="311"/>
      <c r="H302" s="312"/>
      <c r="I302" s="313"/>
      <c r="J302" s="307"/>
      <c r="K302" s="10"/>
      <c r="L302" s="19"/>
      <c r="M302" s="20"/>
      <c r="N302" s="14"/>
      <c r="O302" s="15"/>
      <c r="P302" s="22"/>
    </row>
    <row r="303" spans="1:16" s="5" customFormat="1" x14ac:dyDescent="0.3">
      <c r="A303" s="319"/>
      <c r="B303" s="306"/>
      <c r="C303" s="436"/>
      <c r="D303" s="397" t="s">
        <v>255</v>
      </c>
      <c r="E303" s="429"/>
      <c r="F303" s="392"/>
      <c r="G303" s="311"/>
      <c r="H303" s="312"/>
      <c r="I303" s="313"/>
      <c r="J303" s="307"/>
      <c r="K303" s="10"/>
      <c r="L303" s="19"/>
      <c r="M303" s="20"/>
      <c r="N303" s="14"/>
      <c r="O303" s="15"/>
      <c r="P303" s="22"/>
    </row>
    <row r="304" spans="1:16" s="5" customFormat="1" ht="27.6" x14ac:dyDescent="0.3">
      <c r="A304" s="319" t="s">
        <v>36</v>
      </c>
      <c r="B304" s="306"/>
      <c r="C304" s="436"/>
      <c r="D304" s="397" t="s">
        <v>292</v>
      </c>
      <c r="E304" s="429">
        <v>1</v>
      </c>
      <c r="F304" s="392" t="s">
        <v>249</v>
      </c>
      <c r="G304" s="311"/>
      <c r="H304" s="312">
        <f t="shared" ref="H304:H307" si="45">E304*G304</f>
        <v>0</v>
      </c>
      <c r="I304" s="313"/>
      <c r="J304" s="307"/>
      <c r="K304" s="10"/>
      <c r="L304" s="19"/>
      <c r="M304" s="20"/>
      <c r="N304" s="14"/>
      <c r="O304" s="15"/>
      <c r="P304" s="22"/>
    </row>
    <row r="305" spans="1:16" s="5" customFormat="1" ht="27.6" x14ac:dyDescent="0.3">
      <c r="A305" s="319" t="s">
        <v>39</v>
      </c>
      <c r="B305" s="306"/>
      <c r="C305" s="436"/>
      <c r="D305" s="397" t="s">
        <v>293</v>
      </c>
      <c r="E305" s="429">
        <v>6</v>
      </c>
      <c r="F305" s="392" t="s">
        <v>249</v>
      </c>
      <c r="G305" s="311"/>
      <c r="H305" s="312">
        <f t="shared" si="45"/>
        <v>0</v>
      </c>
      <c r="I305" s="313"/>
      <c r="J305" s="307"/>
      <c r="K305" s="10"/>
      <c r="L305" s="19"/>
      <c r="M305" s="20"/>
      <c r="N305" s="14"/>
      <c r="O305" s="15"/>
      <c r="P305" s="22"/>
    </row>
    <row r="306" spans="1:16" s="5" customFormat="1" ht="27.6" x14ac:dyDescent="0.3">
      <c r="A306" s="319" t="s">
        <v>42</v>
      </c>
      <c r="B306" s="306"/>
      <c r="C306" s="436"/>
      <c r="D306" s="397" t="s">
        <v>294</v>
      </c>
      <c r="E306" s="429">
        <v>2</v>
      </c>
      <c r="F306" s="392" t="s">
        <v>249</v>
      </c>
      <c r="G306" s="311"/>
      <c r="H306" s="312">
        <f t="shared" si="45"/>
        <v>0</v>
      </c>
      <c r="I306" s="313"/>
      <c r="J306" s="307"/>
      <c r="K306" s="10"/>
      <c r="L306" s="19"/>
      <c r="M306" s="20"/>
      <c r="N306" s="14"/>
      <c r="O306" s="15"/>
      <c r="P306" s="22"/>
    </row>
    <row r="307" spans="1:16" s="5" customFormat="1" ht="27.6" x14ac:dyDescent="0.3">
      <c r="A307" s="319" t="s">
        <v>44</v>
      </c>
      <c r="B307" s="306"/>
      <c r="C307" s="436"/>
      <c r="D307" s="397" t="s">
        <v>295</v>
      </c>
      <c r="E307" s="429">
        <v>8</v>
      </c>
      <c r="F307" s="392" t="s">
        <v>249</v>
      </c>
      <c r="G307" s="311"/>
      <c r="H307" s="312">
        <f t="shared" si="45"/>
        <v>0</v>
      </c>
      <c r="I307" s="313"/>
      <c r="J307" s="307"/>
      <c r="K307" s="10"/>
      <c r="L307" s="19"/>
      <c r="M307" s="20"/>
      <c r="N307" s="14"/>
      <c r="O307" s="15"/>
      <c r="P307" s="22"/>
    </row>
    <row r="308" spans="1:16" s="5" customFormat="1" x14ac:dyDescent="0.3">
      <c r="A308" s="319"/>
      <c r="B308" s="306"/>
      <c r="C308" s="436"/>
      <c r="D308" s="397"/>
      <c r="E308" s="429"/>
      <c r="F308" s="392"/>
      <c r="G308" s="311"/>
      <c r="H308" s="312"/>
      <c r="I308" s="313"/>
      <c r="J308" s="307"/>
      <c r="K308" s="10"/>
      <c r="L308" s="19"/>
      <c r="M308" s="20"/>
      <c r="N308" s="14"/>
      <c r="O308" s="15"/>
      <c r="P308" s="22"/>
    </row>
    <row r="309" spans="1:16" s="5" customFormat="1" x14ac:dyDescent="0.3">
      <c r="A309" s="319"/>
      <c r="B309" s="306"/>
      <c r="C309" s="436"/>
      <c r="D309" s="397" t="s">
        <v>296</v>
      </c>
      <c r="E309" s="429"/>
      <c r="F309" s="392"/>
      <c r="G309" s="311"/>
      <c r="H309" s="312"/>
      <c r="I309" s="313"/>
      <c r="J309" s="307"/>
      <c r="K309" s="10"/>
      <c r="L309" s="19"/>
      <c r="M309" s="20"/>
      <c r="N309" s="14"/>
      <c r="O309" s="15"/>
      <c r="P309" s="22"/>
    </row>
    <row r="310" spans="1:16" s="5" customFormat="1" x14ac:dyDescent="0.3">
      <c r="A310" s="319" t="s">
        <v>46</v>
      </c>
      <c r="B310" s="306"/>
      <c r="C310" s="436"/>
      <c r="D310" s="397" t="s">
        <v>297</v>
      </c>
      <c r="E310" s="429">
        <v>7</v>
      </c>
      <c r="F310" s="392" t="s">
        <v>249</v>
      </c>
      <c r="G310" s="311"/>
      <c r="H310" s="312">
        <f t="shared" ref="H310" si="46">E310*G310</f>
        <v>0</v>
      </c>
      <c r="I310" s="313"/>
      <c r="J310" s="307"/>
      <c r="K310" s="10"/>
      <c r="L310" s="19"/>
      <c r="M310" s="20"/>
      <c r="N310" s="14"/>
      <c r="O310" s="15"/>
      <c r="P310" s="22"/>
    </row>
    <row r="311" spans="1:16" s="5" customFormat="1" x14ac:dyDescent="0.3">
      <c r="A311" s="319"/>
      <c r="B311" s="306"/>
      <c r="C311" s="436"/>
      <c r="D311" s="397"/>
      <c r="E311" s="429"/>
      <c r="F311" s="380"/>
      <c r="G311" s="311"/>
      <c r="H311" s="312"/>
      <c r="I311" s="313"/>
      <c r="J311" s="307"/>
      <c r="K311" s="10"/>
      <c r="L311" s="12"/>
      <c r="M311" s="20"/>
      <c r="N311" s="14"/>
      <c r="O311" s="15"/>
      <c r="P311" s="22"/>
    </row>
    <row r="312" spans="1:16" s="5" customFormat="1" x14ac:dyDescent="0.3">
      <c r="A312" s="319"/>
      <c r="B312" s="306"/>
      <c r="C312" s="436"/>
      <c r="D312" s="397" t="s">
        <v>298</v>
      </c>
      <c r="E312" s="429"/>
      <c r="F312" s="380"/>
      <c r="G312" s="311"/>
      <c r="H312" s="312"/>
      <c r="I312" s="313"/>
      <c r="J312" s="307"/>
      <c r="K312" s="10"/>
      <c r="L312" s="12"/>
      <c r="M312" s="20"/>
      <c r="N312" s="14"/>
      <c r="O312" s="15"/>
      <c r="P312" s="22"/>
    </row>
    <row r="313" spans="1:16" s="5" customFormat="1" x14ac:dyDescent="0.3">
      <c r="A313" s="319" t="s">
        <v>48</v>
      </c>
      <c r="B313" s="306"/>
      <c r="C313" s="436"/>
      <c r="D313" s="397" t="s">
        <v>299</v>
      </c>
      <c r="E313" s="429">
        <v>1</v>
      </c>
      <c r="F313" s="380" t="s">
        <v>100</v>
      </c>
      <c r="G313" s="311"/>
      <c r="H313" s="379" t="s">
        <v>300</v>
      </c>
      <c r="I313" s="313"/>
      <c r="J313" s="307"/>
      <c r="K313" s="10"/>
      <c r="L313" s="12"/>
      <c r="M313" s="20"/>
      <c r="N313" s="11"/>
      <c r="O313" s="41"/>
      <c r="P313" s="22"/>
    </row>
    <row r="314" spans="1:16" s="5" customFormat="1" x14ac:dyDescent="0.3">
      <c r="A314" s="319" t="s">
        <v>50</v>
      </c>
      <c r="B314" s="306"/>
      <c r="C314" s="436"/>
      <c r="D314" s="397" t="s">
        <v>301</v>
      </c>
      <c r="E314" s="429">
        <v>1</v>
      </c>
      <c r="F314" s="380" t="s">
        <v>100</v>
      </c>
      <c r="G314" s="311"/>
      <c r="H314" s="379" t="s">
        <v>300</v>
      </c>
      <c r="I314" s="313"/>
      <c r="J314" s="307"/>
      <c r="K314" s="42"/>
      <c r="L314" s="43"/>
      <c r="M314" s="28"/>
      <c r="N314" s="44"/>
      <c r="O314" s="45"/>
      <c r="P314" s="22"/>
    </row>
    <row r="315" spans="1:16" s="5" customFormat="1" x14ac:dyDescent="0.3">
      <c r="A315" s="319"/>
      <c r="B315" s="306"/>
      <c r="C315" s="436"/>
      <c r="D315" s="397"/>
      <c r="E315" s="429"/>
      <c r="F315" s="380"/>
      <c r="G315" s="311"/>
      <c r="H315" s="312"/>
      <c r="I315" s="313"/>
      <c r="J315" s="307"/>
      <c r="K315" s="10"/>
      <c r="L315" s="12"/>
      <c r="M315" s="20"/>
      <c r="N315" s="14"/>
      <c r="O315" s="15"/>
      <c r="P315" s="22"/>
    </row>
    <row r="316" spans="1:16" s="5" customFormat="1" x14ac:dyDescent="0.3">
      <c r="A316" s="319"/>
      <c r="B316" s="306"/>
      <c r="C316" s="436"/>
      <c r="D316" s="397" t="s">
        <v>302</v>
      </c>
      <c r="E316" s="429"/>
      <c r="F316" s="380"/>
      <c r="G316" s="311"/>
      <c r="H316" s="312"/>
      <c r="I316" s="313"/>
      <c r="J316" s="307"/>
      <c r="K316" s="10"/>
      <c r="L316" s="12"/>
      <c r="M316" s="20"/>
      <c r="N316" s="14"/>
      <c r="O316" s="15"/>
      <c r="P316" s="22"/>
    </row>
    <row r="317" spans="1:16" s="5" customFormat="1" x14ac:dyDescent="0.3">
      <c r="A317" s="319" t="s">
        <v>52</v>
      </c>
      <c r="B317" s="306"/>
      <c r="C317" s="436"/>
      <c r="D317" s="397" t="s">
        <v>303</v>
      </c>
      <c r="E317" s="429"/>
      <c r="F317" s="380"/>
      <c r="G317" s="311"/>
      <c r="H317" s="312"/>
      <c r="I317" s="313"/>
      <c r="J317" s="307"/>
      <c r="K317" s="10"/>
      <c r="L317" s="12"/>
      <c r="M317" s="20"/>
      <c r="N317" s="14"/>
      <c r="O317" s="15"/>
      <c r="P317" s="22"/>
    </row>
    <row r="318" spans="1:16" s="5" customFormat="1" x14ac:dyDescent="0.3">
      <c r="A318" s="319" t="s">
        <v>54</v>
      </c>
      <c r="B318" s="306"/>
      <c r="C318" s="436"/>
      <c r="D318" s="397" t="s">
        <v>304</v>
      </c>
      <c r="E318" s="429">
        <v>12</v>
      </c>
      <c r="F318" s="380" t="s">
        <v>249</v>
      </c>
      <c r="G318" s="311"/>
      <c r="H318" s="312">
        <f t="shared" ref="H318" si="47">E318*G318</f>
        <v>0</v>
      </c>
      <c r="I318" s="313"/>
      <c r="J318" s="307"/>
      <c r="K318" s="10"/>
      <c r="L318" s="12"/>
      <c r="M318" s="20"/>
      <c r="N318" s="14"/>
      <c r="O318" s="15"/>
      <c r="P318" s="22"/>
    </row>
    <row r="319" spans="1:16" s="5" customFormat="1" ht="8.25" customHeight="1" x14ac:dyDescent="0.3">
      <c r="A319" s="430"/>
      <c r="B319" s="402"/>
      <c r="C319" s="437"/>
      <c r="D319" s="438"/>
      <c r="E319" s="439"/>
      <c r="F319" s="440"/>
      <c r="G319" s="407"/>
      <c r="H319" s="408"/>
      <c r="I319" s="409"/>
      <c r="J319" s="307"/>
      <c r="K319" s="10"/>
      <c r="L319" s="12"/>
      <c r="M319" s="20"/>
      <c r="N319" s="14"/>
      <c r="O319" s="15"/>
      <c r="P319" s="22"/>
    </row>
    <row r="320" spans="1:16" s="5" customFormat="1" ht="27.6" x14ac:dyDescent="0.3">
      <c r="A320" s="319"/>
      <c r="B320" s="306"/>
      <c r="C320" s="436"/>
      <c r="D320" s="397" t="s">
        <v>305</v>
      </c>
      <c r="E320" s="429"/>
      <c r="F320" s="380"/>
      <c r="G320" s="311"/>
      <c r="H320" s="312"/>
      <c r="I320" s="313"/>
      <c r="J320" s="307"/>
      <c r="K320" s="10"/>
      <c r="L320" s="12"/>
      <c r="M320" s="20"/>
      <c r="N320" s="14"/>
      <c r="O320" s="15"/>
      <c r="P320" s="22"/>
    </row>
    <row r="321" spans="1:16" s="5" customFormat="1" x14ac:dyDescent="0.3">
      <c r="A321" s="319" t="s">
        <v>56</v>
      </c>
      <c r="B321" s="306"/>
      <c r="C321" s="436"/>
      <c r="D321" s="397" t="s">
        <v>306</v>
      </c>
      <c r="E321" s="429">
        <v>4</v>
      </c>
      <c r="F321" s="380" t="s">
        <v>249</v>
      </c>
      <c r="G321" s="311"/>
      <c r="H321" s="312">
        <f t="shared" ref="H321:H323" si="48">E321*G321</f>
        <v>0</v>
      </c>
      <c r="I321" s="313"/>
      <c r="J321" s="307"/>
      <c r="K321" s="10"/>
      <c r="L321" s="12"/>
      <c r="M321" s="20"/>
      <c r="N321" s="14"/>
      <c r="O321" s="15"/>
      <c r="P321" s="22"/>
    </row>
    <row r="322" spans="1:16" s="5" customFormat="1" x14ac:dyDescent="0.3">
      <c r="A322" s="319" t="s">
        <v>58</v>
      </c>
      <c r="B322" s="306"/>
      <c r="C322" s="436"/>
      <c r="D322" s="397" t="s">
        <v>307</v>
      </c>
      <c r="E322" s="429">
        <v>7</v>
      </c>
      <c r="F322" s="380" t="s">
        <v>249</v>
      </c>
      <c r="G322" s="311"/>
      <c r="H322" s="312">
        <f t="shared" si="48"/>
        <v>0</v>
      </c>
      <c r="I322" s="313"/>
      <c r="J322" s="307"/>
      <c r="K322" s="10"/>
      <c r="L322" s="12"/>
      <c r="M322" s="20"/>
      <c r="N322" s="14"/>
      <c r="O322" s="15"/>
      <c r="P322" s="22"/>
    </row>
    <row r="323" spans="1:16" s="5" customFormat="1" x14ac:dyDescent="0.3">
      <c r="A323" s="319" t="s">
        <v>60</v>
      </c>
      <c r="B323" s="306"/>
      <c r="C323" s="436"/>
      <c r="D323" s="397" t="s">
        <v>308</v>
      </c>
      <c r="E323" s="429">
        <v>7</v>
      </c>
      <c r="F323" s="380" t="s">
        <v>249</v>
      </c>
      <c r="G323" s="311"/>
      <c r="H323" s="312">
        <f t="shared" si="48"/>
        <v>0</v>
      </c>
      <c r="I323" s="313"/>
      <c r="J323" s="307"/>
      <c r="K323" s="10"/>
      <c r="L323" s="12"/>
      <c r="M323" s="20"/>
      <c r="N323" s="14"/>
      <c r="O323" s="15"/>
      <c r="P323" s="22"/>
    </row>
    <row r="324" spans="1:16" s="5" customFormat="1" ht="8.25" customHeight="1" x14ac:dyDescent="0.3">
      <c r="A324" s="319"/>
      <c r="B324" s="306"/>
      <c r="C324" s="436"/>
      <c r="D324" s="397"/>
      <c r="E324" s="429"/>
      <c r="F324" s="380"/>
      <c r="G324" s="311"/>
      <c r="H324" s="312"/>
      <c r="I324" s="313"/>
      <c r="J324" s="307"/>
      <c r="K324" s="10"/>
      <c r="L324" s="12"/>
      <c r="M324" s="20"/>
      <c r="N324" s="14"/>
      <c r="O324" s="15"/>
      <c r="P324" s="22"/>
    </row>
    <row r="325" spans="1:16" s="5" customFormat="1" ht="27.6" x14ac:dyDescent="0.3">
      <c r="A325" s="319"/>
      <c r="B325" s="306"/>
      <c r="C325" s="436"/>
      <c r="D325" s="397" t="s">
        <v>309</v>
      </c>
      <c r="E325" s="429"/>
      <c r="F325" s="380"/>
      <c r="G325" s="311"/>
      <c r="H325" s="312"/>
      <c r="I325" s="313"/>
      <c r="J325" s="307"/>
      <c r="K325" s="10"/>
      <c r="L325" s="12"/>
      <c r="M325" s="20"/>
      <c r="N325" s="14"/>
      <c r="O325" s="15"/>
      <c r="P325" s="22"/>
    </row>
    <row r="326" spans="1:16" s="5" customFormat="1" x14ac:dyDescent="0.3">
      <c r="A326" s="319" t="s">
        <v>62</v>
      </c>
      <c r="B326" s="306"/>
      <c r="C326" s="436"/>
      <c r="D326" s="397" t="s">
        <v>310</v>
      </c>
      <c r="E326" s="429">
        <v>1</v>
      </c>
      <c r="F326" s="380" t="s">
        <v>249</v>
      </c>
      <c r="G326" s="311"/>
      <c r="H326" s="312">
        <f t="shared" ref="H326" si="49">E326*G326</f>
        <v>0</v>
      </c>
      <c r="I326" s="313"/>
      <c r="J326" s="307"/>
      <c r="K326" s="10"/>
      <c r="L326" s="12"/>
      <c r="M326" s="20"/>
      <c r="N326" s="14"/>
      <c r="O326" s="15"/>
      <c r="P326" s="22"/>
    </row>
    <row r="327" spans="1:16" s="5" customFormat="1" ht="6.6" customHeight="1" x14ac:dyDescent="0.3">
      <c r="A327" s="319"/>
      <c r="B327" s="306"/>
      <c r="C327" s="436"/>
      <c r="D327" s="397"/>
      <c r="E327" s="429"/>
      <c r="F327" s="380"/>
      <c r="G327" s="311"/>
      <c r="H327" s="312"/>
      <c r="I327" s="313"/>
      <c r="J327" s="307"/>
      <c r="K327" s="10"/>
      <c r="L327" s="12"/>
      <c r="M327" s="20"/>
      <c r="N327" s="14"/>
      <c r="O327" s="15"/>
      <c r="P327" s="22"/>
    </row>
    <row r="328" spans="1:16" s="5" customFormat="1" x14ac:dyDescent="0.3">
      <c r="A328" s="319"/>
      <c r="B328" s="306"/>
      <c r="C328" s="436"/>
      <c r="D328" s="397" t="s">
        <v>263</v>
      </c>
      <c r="E328" s="429"/>
      <c r="F328" s="380"/>
      <c r="G328" s="311"/>
      <c r="H328" s="312"/>
      <c r="I328" s="313"/>
      <c r="J328" s="307"/>
      <c r="K328" s="10"/>
      <c r="L328" s="12"/>
      <c r="M328" s="20"/>
      <c r="N328" s="14"/>
      <c r="O328" s="15"/>
      <c r="P328" s="22"/>
    </row>
    <row r="329" spans="1:16" s="5" customFormat="1" x14ac:dyDescent="0.3">
      <c r="A329" s="319" t="s">
        <v>64</v>
      </c>
      <c r="B329" s="306"/>
      <c r="C329" s="436"/>
      <c r="D329" s="397" t="s">
        <v>311</v>
      </c>
      <c r="E329" s="429">
        <v>1</v>
      </c>
      <c r="F329" s="380" t="s">
        <v>249</v>
      </c>
      <c r="G329" s="311"/>
      <c r="H329" s="312">
        <f>E329*G329</f>
        <v>0</v>
      </c>
      <c r="I329" s="313"/>
      <c r="J329" s="307"/>
      <c r="K329" s="10"/>
      <c r="L329" s="12"/>
      <c r="M329" s="20"/>
      <c r="N329" s="14"/>
      <c r="O329" s="15"/>
      <c r="P329" s="22"/>
    </row>
    <row r="330" spans="1:16" s="5" customFormat="1" x14ac:dyDescent="0.3">
      <c r="A330" s="319" t="s">
        <v>66</v>
      </c>
      <c r="B330" s="306"/>
      <c r="C330" s="436"/>
      <c r="D330" s="397" t="s">
        <v>264</v>
      </c>
      <c r="E330" s="429">
        <v>25</v>
      </c>
      <c r="F330" s="380" t="s">
        <v>249</v>
      </c>
      <c r="G330" s="311"/>
      <c r="H330" s="312">
        <f t="shared" ref="H330:H336" si="50">E330*G330</f>
        <v>0</v>
      </c>
      <c r="I330" s="313"/>
      <c r="J330" s="307"/>
      <c r="K330" s="10"/>
      <c r="L330" s="12"/>
      <c r="M330" s="20"/>
      <c r="N330" s="14"/>
      <c r="O330" s="15"/>
      <c r="P330" s="22"/>
    </row>
    <row r="331" spans="1:16" s="5" customFormat="1" x14ac:dyDescent="0.3">
      <c r="A331" s="319" t="s">
        <v>68</v>
      </c>
      <c r="B331" s="306"/>
      <c r="C331" s="436"/>
      <c r="D331" s="397" t="s">
        <v>265</v>
      </c>
      <c r="E331" s="429">
        <v>6</v>
      </c>
      <c r="F331" s="380" t="s">
        <v>249</v>
      </c>
      <c r="G331" s="311"/>
      <c r="H331" s="312">
        <f t="shared" si="50"/>
        <v>0</v>
      </c>
      <c r="I331" s="313"/>
      <c r="J331" s="307"/>
      <c r="K331" s="10"/>
      <c r="L331" s="12"/>
      <c r="M331" s="20"/>
      <c r="N331" s="14"/>
      <c r="O331" s="15"/>
      <c r="P331" s="22"/>
    </row>
    <row r="332" spans="1:16" s="5" customFormat="1" x14ac:dyDescent="0.3">
      <c r="A332" s="319" t="s">
        <v>71</v>
      </c>
      <c r="B332" s="306"/>
      <c r="C332" s="436"/>
      <c r="D332" s="397" t="s">
        <v>312</v>
      </c>
      <c r="E332" s="429">
        <v>7</v>
      </c>
      <c r="F332" s="380" t="s">
        <v>249</v>
      </c>
      <c r="G332" s="311"/>
      <c r="H332" s="312">
        <f t="shared" si="50"/>
        <v>0</v>
      </c>
      <c r="I332" s="313"/>
      <c r="J332" s="307"/>
      <c r="K332" s="10"/>
      <c r="L332" s="12"/>
      <c r="M332" s="20"/>
      <c r="N332" s="14"/>
      <c r="O332" s="15"/>
      <c r="P332" s="22"/>
    </row>
    <row r="333" spans="1:16" s="5" customFormat="1" x14ac:dyDescent="0.3">
      <c r="A333" s="319" t="s">
        <v>73</v>
      </c>
      <c r="B333" s="306"/>
      <c r="C333" s="436"/>
      <c r="D333" s="397" t="s">
        <v>266</v>
      </c>
      <c r="E333" s="429">
        <v>3</v>
      </c>
      <c r="F333" s="380" t="s">
        <v>249</v>
      </c>
      <c r="G333" s="311"/>
      <c r="H333" s="312">
        <f t="shared" si="50"/>
        <v>0</v>
      </c>
      <c r="I333" s="313"/>
      <c r="J333" s="307"/>
      <c r="K333" s="10"/>
      <c r="L333" s="12"/>
      <c r="M333" s="20"/>
      <c r="N333" s="14"/>
      <c r="O333" s="15"/>
      <c r="P333" s="22"/>
    </row>
    <row r="334" spans="1:16" s="5" customFormat="1" x14ac:dyDescent="0.3">
      <c r="A334" s="319" t="s">
        <v>75</v>
      </c>
      <c r="B334" s="306"/>
      <c r="C334" s="436"/>
      <c r="D334" s="397" t="s">
        <v>267</v>
      </c>
      <c r="E334" s="429">
        <v>34</v>
      </c>
      <c r="F334" s="380" t="s">
        <v>249</v>
      </c>
      <c r="G334" s="311"/>
      <c r="H334" s="312">
        <f t="shared" si="50"/>
        <v>0</v>
      </c>
      <c r="I334" s="313"/>
      <c r="J334" s="307"/>
      <c r="K334" s="10"/>
      <c r="L334" s="12"/>
      <c r="M334" s="20"/>
      <c r="N334" s="14"/>
      <c r="O334" s="15"/>
      <c r="P334" s="22"/>
    </row>
    <row r="335" spans="1:16" s="5" customFormat="1" x14ac:dyDescent="0.3">
      <c r="A335" s="319" t="s">
        <v>77</v>
      </c>
      <c r="B335" s="306"/>
      <c r="C335" s="436"/>
      <c r="D335" s="397" t="s">
        <v>268</v>
      </c>
      <c r="E335" s="429">
        <v>4</v>
      </c>
      <c r="F335" s="380" t="s">
        <v>249</v>
      </c>
      <c r="G335" s="311"/>
      <c r="H335" s="312">
        <f t="shared" si="50"/>
        <v>0</v>
      </c>
      <c r="I335" s="313"/>
      <c r="J335" s="307"/>
      <c r="K335" s="10"/>
      <c r="L335" s="12"/>
      <c r="M335" s="20"/>
      <c r="N335" s="14"/>
      <c r="O335" s="15"/>
      <c r="P335" s="22"/>
    </row>
    <row r="336" spans="1:16" s="5" customFormat="1" x14ac:dyDescent="0.3">
      <c r="A336" s="319" t="s">
        <v>80</v>
      </c>
      <c r="B336" s="306"/>
      <c r="C336" s="436"/>
      <c r="D336" s="397" t="s">
        <v>269</v>
      </c>
      <c r="E336" s="429">
        <v>58</v>
      </c>
      <c r="F336" s="380" t="s">
        <v>249</v>
      </c>
      <c r="G336" s="311"/>
      <c r="H336" s="312">
        <f t="shared" si="50"/>
        <v>0</v>
      </c>
      <c r="I336" s="313"/>
      <c r="J336" s="307"/>
      <c r="K336" s="10"/>
      <c r="L336" s="12"/>
      <c r="M336" s="20"/>
      <c r="N336" s="14"/>
      <c r="O336" s="15"/>
      <c r="P336" s="22"/>
    </row>
    <row r="337" spans="1:16" s="5" customFormat="1" x14ac:dyDescent="0.3">
      <c r="A337" s="319"/>
      <c r="B337" s="306"/>
      <c r="C337" s="436"/>
      <c r="D337" s="397"/>
      <c r="E337" s="429"/>
      <c r="F337" s="380"/>
      <c r="G337" s="311"/>
      <c r="H337" s="312"/>
      <c r="I337" s="313"/>
      <c r="J337" s="307"/>
      <c r="K337" s="10"/>
      <c r="L337" s="12"/>
      <c r="M337" s="20"/>
      <c r="N337" s="14"/>
      <c r="O337" s="15"/>
      <c r="P337" s="22"/>
    </row>
    <row r="338" spans="1:16" s="5" customFormat="1" ht="15.75" customHeight="1" x14ac:dyDescent="0.3">
      <c r="A338" s="382" t="s">
        <v>313</v>
      </c>
      <c r="B338" s="383" t="s">
        <v>314</v>
      </c>
      <c r="C338" s="384"/>
      <c r="D338" s="385"/>
      <c r="E338" s="309"/>
      <c r="F338" s="310"/>
      <c r="G338" s="311"/>
      <c r="H338" s="312"/>
      <c r="I338" s="313"/>
      <c r="J338" s="307"/>
      <c r="K338" s="16"/>
      <c r="L338" s="17"/>
      <c r="M338" s="20"/>
      <c r="N338" s="14"/>
      <c r="O338" s="15"/>
      <c r="P338" s="8"/>
    </row>
    <row r="339" spans="1:16" s="5" customFormat="1" ht="9.75" customHeight="1" x14ac:dyDescent="0.3">
      <c r="A339" s="305"/>
      <c r="B339" s="426"/>
      <c r="C339" s="390"/>
      <c r="D339" s="397"/>
      <c r="E339" s="309"/>
      <c r="F339" s="310"/>
      <c r="G339" s="311"/>
      <c r="H339" s="312"/>
      <c r="I339" s="313"/>
      <c r="J339" s="307"/>
      <c r="K339" s="16"/>
      <c r="L339" s="17"/>
      <c r="M339" s="20"/>
      <c r="N339" s="14"/>
      <c r="O339" s="15"/>
      <c r="P339" s="8"/>
    </row>
    <row r="340" spans="1:16" s="5" customFormat="1" ht="15.75" customHeight="1" x14ac:dyDescent="0.3">
      <c r="A340" s="305">
        <v>3.01</v>
      </c>
      <c r="B340" s="426"/>
      <c r="C340" s="390" t="s">
        <v>315</v>
      </c>
      <c r="D340" s="397"/>
      <c r="E340" s="309"/>
      <c r="F340" s="310"/>
      <c r="G340" s="311"/>
      <c r="H340" s="312"/>
      <c r="I340" s="313" t="s">
        <v>316</v>
      </c>
      <c r="J340" s="307"/>
      <c r="K340" s="16"/>
      <c r="L340" s="17"/>
      <c r="M340" s="20"/>
      <c r="N340" s="14"/>
      <c r="O340" s="15"/>
      <c r="P340" s="8"/>
    </row>
    <row r="341" spans="1:16" s="5" customFormat="1" ht="15.75" customHeight="1" x14ac:dyDescent="0.3">
      <c r="A341" s="305"/>
      <c r="B341" s="426"/>
      <c r="C341" s="390"/>
      <c r="D341" s="397" t="s">
        <v>317</v>
      </c>
      <c r="E341" s="309"/>
      <c r="F341" s="310"/>
      <c r="G341" s="311"/>
      <c r="H341" s="312"/>
      <c r="I341" s="313"/>
      <c r="J341" s="307"/>
      <c r="K341" s="16"/>
      <c r="L341" s="17"/>
      <c r="M341" s="20"/>
      <c r="N341" s="14"/>
      <c r="O341" s="15"/>
      <c r="P341" s="8"/>
    </row>
    <row r="342" spans="1:16" s="48" customFormat="1" ht="111.75" customHeight="1" x14ac:dyDescent="0.3">
      <c r="A342" s="319" t="s">
        <v>19</v>
      </c>
      <c r="B342" s="441"/>
      <c r="C342" s="396"/>
      <c r="D342" s="397" t="s">
        <v>318</v>
      </c>
      <c r="E342" s="442">
        <v>30187</v>
      </c>
      <c r="F342" s="310" t="s">
        <v>21</v>
      </c>
      <c r="G342" s="311"/>
      <c r="H342" s="312">
        <f t="shared" ref="H342" si="51">E342*G342</f>
        <v>0</v>
      </c>
      <c r="I342" s="313"/>
      <c r="J342" s="412"/>
      <c r="K342" s="46"/>
      <c r="L342" s="17"/>
      <c r="M342" s="20"/>
      <c r="N342" s="14"/>
      <c r="O342" s="15"/>
      <c r="P342" s="47"/>
    </row>
    <row r="343" spans="1:16" s="5" customFormat="1" ht="11.1" customHeight="1" x14ac:dyDescent="0.3">
      <c r="A343" s="305"/>
      <c r="B343" s="426"/>
      <c r="C343" s="390"/>
      <c r="D343" s="397"/>
      <c r="E343" s="309"/>
      <c r="F343" s="310"/>
      <c r="G343" s="311"/>
      <c r="H343" s="312"/>
      <c r="I343" s="313"/>
      <c r="J343" s="412"/>
      <c r="K343" s="16"/>
      <c r="L343" s="17"/>
      <c r="M343" s="20"/>
      <c r="N343" s="14"/>
      <c r="O343" s="15"/>
      <c r="P343" s="22"/>
    </row>
    <row r="344" spans="1:16" s="5" customFormat="1" x14ac:dyDescent="0.3">
      <c r="A344" s="305"/>
      <c r="B344" s="426"/>
      <c r="C344" s="390"/>
      <c r="D344" s="397" t="s">
        <v>319</v>
      </c>
      <c r="E344" s="309"/>
      <c r="F344" s="310"/>
      <c r="G344" s="311"/>
      <c r="H344" s="312"/>
      <c r="I344" s="313"/>
      <c r="J344" s="412"/>
      <c r="K344" s="16"/>
      <c r="L344" s="17"/>
      <c r="M344" s="20"/>
      <c r="N344" s="14"/>
      <c r="O344" s="15"/>
      <c r="P344" s="8"/>
    </row>
    <row r="345" spans="1:16" s="5" customFormat="1" ht="27.6" x14ac:dyDescent="0.3">
      <c r="A345" s="305" t="s">
        <v>22</v>
      </c>
      <c r="B345" s="426"/>
      <c r="C345" s="390"/>
      <c r="D345" s="397" t="s">
        <v>320</v>
      </c>
      <c r="E345" s="309">
        <f>1297-E346</f>
        <v>252</v>
      </c>
      <c r="F345" s="310" t="s">
        <v>21</v>
      </c>
      <c r="G345" s="311"/>
      <c r="H345" s="312">
        <f t="shared" ref="H345:H347" si="52">E345*G345</f>
        <v>0</v>
      </c>
      <c r="I345" s="313"/>
      <c r="J345" s="412"/>
      <c r="K345" s="16"/>
      <c r="L345" s="17"/>
      <c r="M345" s="20"/>
      <c r="N345" s="14"/>
      <c r="O345" s="15"/>
      <c r="P345" s="8"/>
    </row>
    <row r="346" spans="1:16" s="5" customFormat="1" ht="27.6" x14ac:dyDescent="0.3">
      <c r="A346" s="305" t="s">
        <v>25</v>
      </c>
      <c r="B346" s="426"/>
      <c r="C346" s="390"/>
      <c r="D346" s="397" t="s">
        <v>321</v>
      </c>
      <c r="E346" s="309">
        <v>1045</v>
      </c>
      <c r="F346" s="310" t="s">
        <v>21</v>
      </c>
      <c r="G346" s="311"/>
      <c r="H346" s="312">
        <f t="shared" si="52"/>
        <v>0</v>
      </c>
      <c r="I346" s="313"/>
      <c r="J346" s="412"/>
      <c r="K346" s="16"/>
      <c r="L346" s="17"/>
      <c r="M346" s="20"/>
      <c r="N346" s="14"/>
      <c r="O346" s="15"/>
      <c r="P346" s="8"/>
    </row>
    <row r="347" spans="1:16" s="5" customFormat="1" x14ac:dyDescent="0.3">
      <c r="A347" s="305" t="s">
        <v>28</v>
      </c>
      <c r="B347" s="426"/>
      <c r="C347" s="390"/>
      <c r="D347" s="397" t="s">
        <v>322</v>
      </c>
      <c r="E347" s="309">
        <f>2982-E349</f>
        <v>758</v>
      </c>
      <c r="F347" s="310" t="s">
        <v>21</v>
      </c>
      <c r="G347" s="311"/>
      <c r="H347" s="312">
        <f t="shared" si="52"/>
        <v>0</v>
      </c>
      <c r="I347" s="313"/>
      <c r="J347" s="412"/>
      <c r="K347" s="16"/>
      <c r="L347" s="17"/>
      <c r="M347" s="20"/>
      <c r="N347" s="14"/>
      <c r="O347" s="15"/>
      <c r="P347" s="8"/>
    </row>
    <row r="348" spans="1:16" s="5" customFormat="1" x14ac:dyDescent="0.3">
      <c r="A348" s="305" t="s">
        <v>30</v>
      </c>
      <c r="B348" s="426"/>
      <c r="C348" s="390"/>
      <c r="D348" s="397" t="s">
        <v>323</v>
      </c>
      <c r="E348" s="309">
        <v>2291</v>
      </c>
      <c r="F348" s="310" t="s">
        <v>21</v>
      </c>
      <c r="G348" s="311"/>
      <c r="H348" s="312">
        <f>E348*G348</f>
        <v>0</v>
      </c>
      <c r="I348" s="313"/>
      <c r="J348" s="412"/>
      <c r="K348" s="16"/>
      <c r="L348" s="17"/>
      <c r="M348" s="20"/>
      <c r="N348" s="14"/>
      <c r="O348" s="15"/>
      <c r="P348" s="8"/>
    </row>
    <row r="349" spans="1:16" s="5" customFormat="1" ht="27.6" x14ac:dyDescent="0.3">
      <c r="A349" s="305" t="s">
        <v>32</v>
      </c>
      <c r="B349" s="426"/>
      <c r="C349" s="390"/>
      <c r="D349" s="397" t="s">
        <v>324</v>
      </c>
      <c r="E349" s="309">
        <v>2224</v>
      </c>
      <c r="F349" s="310" t="s">
        <v>21</v>
      </c>
      <c r="G349" s="311"/>
      <c r="H349" s="312">
        <f>E349*G349</f>
        <v>0</v>
      </c>
      <c r="I349" s="313"/>
      <c r="J349" s="412"/>
      <c r="K349" s="16"/>
      <c r="L349" s="17"/>
      <c r="M349" s="20"/>
      <c r="N349" s="14"/>
      <c r="O349" s="15"/>
      <c r="P349" s="8"/>
    </row>
    <row r="350" spans="1:16" s="5" customFormat="1" x14ac:dyDescent="0.3">
      <c r="A350" s="305" t="s">
        <v>34</v>
      </c>
      <c r="B350" s="426"/>
      <c r="C350" s="390"/>
      <c r="D350" s="397" t="s">
        <v>325</v>
      </c>
      <c r="E350" s="309">
        <v>217</v>
      </c>
      <c r="F350" s="310" t="s">
        <v>21</v>
      </c>
      <c r="G350" s="311"/>
      <c r="H350" s="312"/>
      <c r="I350" s="313"/>
      <c r="J350" s="412"/>
      <c r="K350" s="16"/>
      <c r="L350" s="17"/>
      <c r="M350" s="20"/>
      <c r="N350" s="14"/>
      <c r="O350" s="15"/>
      <c r="P350" s="8"/>
    </row>
    <row r="351" spans="1:16" s="5" customFormat="1" ht="11.7" customHeight="1" x14ac:dyDescent="0.3">
      <c r="A351" s="305"/>
      <c r="B351" s="426"/>
      <c r="C351" s="390"/>
      <c r="D351" s="397"/>
      <c r="E351" s="309"/>
      <c r="F351" s="310"/>
      <c r="G351" s="311"/>
      <c r="H351" s="312"/>
      <c r="I351" s="313"/>
      <c r="J351" s="412"/>
      <c r="K351" s="16"/>
      <c r="L351" s="17"/>
      <c r="M351" s="20"/>
      <c r="N351" s="14"/>
      <c r="O351" s="15"/>
      <c r="P351" s="8"/>
    </row>
    <row r="352" spans="1:16" s="5" customFormat="1" x14ac:dyDescent="0.3">
      <c r="A352" s="305"/>
      <c r="B352" s="426"/>
      <c r="C352" s="390"/>
      <c r="D352" s="397" t="s">
        <v>326</v>
      </c>
      <c r="E352" s="309"/>
      <c r="F352" s="310"/>
      <c r="G352" s="311"/>
      <c r="H352" s="312"/>
      <c r="I352" s="313"/>
      <c r="J352" s="412"/>
      <c r="K352" s="16"/>
      <c r="L352" s="17"/>
      <c r="M352" s="20"/>
      <c r="N352" s="14"/>
      <c r="O352" s="15"/>
      <c r="P352" s="8"/>
    </row>
    <row r="353" spans="1:16" s="5" customFormat="1" x14ac:dyDescent="0.3">
      <c r="A353" s="305" t="s">
        <v>36</v>
      </c>
      <c r="B353" s="306"/>
      <c r="C353" s="390"/>
      <c r="D353" s="397" t="s">
        <v>327</v>
      </c>
      <c r="E353" s="443">
        <v>6486</v>
      </c>
      <c r="F353" s="310" t="s">
        <v>21</v>
      </c>
      <c r="G353" s="311"/>
      <c r="H353" s="312">
        <f t="shared" ref="H353:H354" si="53">E353*G353</f>
        <v>0</v>
      </c>
      <c r="I353" s="313"/>
      <c r="J353" s="412"/>
      <c r="K353" s="49"/>
      <c r="L353" s="17"/>
      <c r="M353" s="20"/>
      <c r="N353" s="14"/>
      <c r="O353" s="15"/>
      <c r="P353" s="22"/>
    </row>
    <row r="354" spans="1:16" s="5" customFormat="1" x14ac:dyDescent="0.3">
      <c r="A354" s="305" t="s">
        <v>39</v>
      </c>
      <c r="B354" s="306"/>
      <c r="C354" s="390"/>
      <c r="D354" s="397" t="s">
        <v>328</v>
      </c>
      <c r="E354" s="443">
        <v>150</v>
      </c>
      <c r="F354" s="310" t="s">
        <v>21</v>
      </c>
      <c r="G354" s="311"/>
      <c r="H354" s="312">
        <f t="shared" si="53"/>
        <v>0</v>
      </c>
      <c r="I354" s="313"/>
      <c r="J354" s="412"/>
      <c r="K354" s="49"/>
      <c r="L354" s="17"/>
      <c r="M354" s="20"/>
      <c r="N354" s="14"/>
      <c r="O354" s="15"/>
      <c r="P354" s="22"/>
    </row>
    <row r="355" spans="1:16" s="5" customFormat="1" x14ac:dyDescent="0.3">
      <c r="A355" s="305" t="s">
        <v>42</v>
      </c>
      <c r="B355" s="306"/>
      <c r="C355" s="390"/>
      <c r="D355" s="397" t="s">
        <v>329</v>
      </c>
      <c r="E355" s="443">
        <v>656</v>
      </c>
      <c r="F355" s="310" t="s">
        <v>21</v>
      </c>
      <c r="G355" s="311"/>
      <c r="H355" s="312">
        <f>E355*G355</f>
        <v>0</v>
      </c>
      <c r="I355" s="313"/>
      <c r="J355" s="412"/>
      <c r="K355" s="49"/>
      <c r="L355" s="17"/>
      <c r="M355" s="20"/>
      <c r="N355" s="14"/>
      <c r="O355" s="15"/>
      <c r="P355" s="22"/>
    </row>
    <row r="356" spans="1:16" s="5" customFormat="1" ht="8.25" customHeight="1" x14ac:dyDescent="0.3">
      <c r="A356" s="305"/>
      <c r="B356" s="426"/>
      <c r="C356" s="390"/>
      <c r="D356" s="397"/>
      <c r="E356" s="309"/>
      <c r="F356" s="310"/>
      <c r="G356" s="311"/>
      <c r="H356" s="312"/>
      <c r="I356" s="313"/>
      <c r="J356" s="307"/>
      <c r="K356" s="16"/>
      <c r="L356" s="17"/>
      <c r="M356" s="20"/>
      <c r="N356" s="50"/>
      <c r="O356" s="51"/>
      <c r="P356" s="8"/>
    </row>
    <row r="357" spans="1:16" s="5" customFormat="1" ht="14.25" customHeight="1" x14ac:dyDescent="0.3">
      <c r="A357" s="305">
        <v>3.02</v>
      </c>
      <c r="B357" s="306"/>
      <c r="C357" s="390" t="s">
        <v>330</v>
      </c>
      <c r="D357" s="397"/>
      <c r="E357" s="309"/>
      <c r="F357" s="310"/>
      <c r="G357" s="311"/>
      <c r="H357" s="312"/>
      <c r="I357" s="313"/>
      <c r="J357" s="307"/>
      <c r="K357" s="16"/>
      <c r="L357" s="17"/>
      <c r="M357" s="20"/>
      <c r="N357" s="14"/>
      <c r="O357" s="15"/>
      <c r="P357" s="22"/>
    </row>
    <row r="358" spans="1:16" s="5" customFormat="1" ht="15.75" customHeight="1" x14ac:dyDescent="0.3">
      <c r="A358" s="305"/>
      <c r="B358" s="426"/>
      <c r="C358" s="390"/>
      <c r="D358" s="397" t="s">
        <v>317</v>
      </c>
      <c r="E358" s="309"/>
      <c r="F358" s="310"/>
      <c r="G358" s="311"/>
      <c r="H358" s="312"/>
      <c r="I358" s="313"/>
      <c r="J358" s="307"/>
      <c r="K358" s="16"/>
      <c r="L358" s="17"/>
      <c r="M358" s="20"/>
      <c r="N358" s="14"/>
      <c r="O358" s="15"/>
      <c r="P358" s="22"/>
    </row>
    <row r="359" spans="1:16" s="5" customFormat="1" ht="15.75" customHeight="1" x14ac:dyDescent="0.3">
      <c r="A359" s="305"/>
      <c r="B359" s="426"/>
      <c r="C359" s="390"/>
      <c r="D359" s="397" t="s">
        <v>331</v>
      </c>
      <c r="E359" s="309"/>
      <c r="F359" s="310"/>
      <c r="G359" s="311"/>
      <c r="H359" s="312"/>
      <c r="I359" s="313"/>
      <c r="J359" s="307"/>
      <c r="K359" s="16"/>
      <c r="L359" s="17"/>
      <c r="M359" s="20"/>
      <c r="N359" s="14"/>
      <c r="O359" s="15"/>
      <c r="P359" s="22"/>
    </row>
    <row r="360" spans="1:16" s="5" customFormat="1" ht="27.6" x14ac:dyDescent="0.3">
      <c r="A360" s="305" t="s">
        <v>19</v>
      </c>
      <c r="B360" s="426"/>
      <c r="C360" s="390"/>
      <c r="D360" s="397" t="s">
        <v>229</v>
      </c>
      <c r="E360" s="309">
        <f>35248+1945</f>
        <v>37193</v>
      </c>
      <c r="F360" s="310" t="s">
        <v>21</v>
      </c>
      <c r="G360" s="311"/>
      <c r="H360" s="312">
        <f t="shared" ref="H360:H369" si="54">E360*G360</f>
        <v>0</v>
      </c>
      <c r="I360" s="313"/>
      <c r="J360" s="412"/>
      <c r="K360" s="16"/>
      <c r="L360" s="17"/>
      <c r="M360" s="20"/>
      <c r="N360" s="14"/>
      <c r="O360" s="15"/>
      <c r="P360" s="22"/>
    </row>
    <row r="361" spans="1:16" s="5" customFormat="1" ht="27.6" x14ac:dyDescent="0.3">
      <c r="A361" s="305" t="s">
        <v>22</v>
      </c>
      <c r="B361" s="426"/>
      <c r="C361" s="390"/>
      <c r="D361" s="397" t="s">
        <v>332</v>
      </c>
      <c r="E361" s="309">
        <v>37350</v>
      </c>
      <c r="F361" s="310" t="s">
        <v>21</v>
      </c>
      <c r="G361" s="311"/>
      <c r="H361" s="312">
        <f t="shared" si="54"/>
        <v>0</v>
      </c>
      <c r="I361" s="313"/>
      <c r="J361" s="412"/>
      <c r="K361" s="16"/>
      <c r="L361" s="17"/>
      <c r="M361" s="20"/>
      <c r="N361" s="14"/>
      <c r="O361" s="15"/>
      <c r="P361" s="22"/>
    </row>
    <row r="362" spans="1:16" s="5" customFormat="1" ht="27.6" x14ac:dyDescent="0.3">
      <c r="A362" s="305" t="s">
        <v>25</v>
      </c>
      <c r="B362" s="426"/>
      <c r="C362" s="390"/>
      <c r="D362" s="397" t="s">
        <v>333</v>
      </c>
      <c r="E362" s="309">
        <v>614</v>
      </c>
      <c r="F362" s="310" t="s">
        <v>21</v>
      </c>
      <c r="G362" s="311"/>
      <c r="H362" s="312">
        <f t="shared" si="54"/>
        <v>0</v>
      </c>
      <c r="I362" s="313"/>
      <c r="J362" s="412"/>
      <c r="K362" s="37"/>
      <c r="L362" s="25"/>
      <c r="M362" s="28"/>
      <c r="N362" s="29"/>
      <c r="O362" s="15"/>
      <c r="P362" s="22"/>
    </row>
    <row r="363" spans="1:16" s="5" customFormat="1" ht="27.6" x14ac:dyDescent="0.3">
      <c r="A363" s="305" t="s">
        <v>28</v>
      </c>
      <c r="B363" s="426"/>
      <c r="C363" s="390"/>
      <c r="D363" s="397" t="s">
        <v>334</v>
      </c>
      <c r="E363" s="309">
        <v>1417</v>
      </c>
      <c r="F363" s="310" t="s">
        <v>21</v>
      </c>
      <c r="G363" s="311"/>
      <c r="H363" s="312">
        <f t="shared" si="54"/>
        <v>0</v>
      </c>
      <c r="I363" s="313"/>
      <c r="J363" s="412"/>
      <c r="K363" s="16"/>
      <c r="L363" s="17"/>
      <c r="M363" s="20"/>
      <c r="N363" s="14"/>
      <c r="O363" s="15"/>
      <c r="P363" s="22"/>
    </row>
    <row r="364" spans="1:16" s="5" customFormat="1" ht="27.6" x14ac:dyDescent="0.3">
      <c r="A364" s="305" t="s">
        <v>30</v>
      </c>
      <c r="B364" s="426"/>
      <c r="C364" s="390"/>
      <c r="D364" s="397" t="s">
        <v>335</v>
      </c>
      <c r="E364" s="309">
        <v>1288</v>
      </c>
      <c r="F364" s="310" t="s">
        <v>21</v>
      </c>
      <c r="G364" s="311"/>
      <c r="H364" s="312">
        <f t="shared" si="54"/>
        <v>0</v>
      </c>
      <c r="I364" s="313"/>
      <c r="J364" s="412"/>
      <c r="K364" s="16"/>
      <c r="L364" s="17"/>
      <c r="M364" s="20"/>
      <c r="N364" s="14"/>
      <c r="O364" s="15"/>
      <c r="P364" s="22"/>
    </row>
    <row r="365" spans="1:16" s="5" customFormat="1" ht="27.6" x14ac:dyDescent="0.3">
      <c r="A365" s="305" t="s">
        <v>32</v>
      </c>
      <c r="B365" s="426"/>
      <c r="C365" s="390"/>
      <c r="D365" s="397" t="s">
        <v>336</v>
      </c>
      <c r="E365" s="309">
        <v>6747</v>
      </c>
      <c r="F365" s="310" t="s">
        <v>21</v>
      </c>
      <c r="G365" s="311"/>
      <c r="H365" s="312">
        <f t="shared" si="54"/>
        <v>0</v>
      </c>
      <c r="I365" s="313"/>
      <c r="J365" s="412"/>
      <c r="K365" s="16"/>
      <c r="L365" s="17"/>
      <c r="M365" s="20"/>
      <c r="N365" s="14"/>
      <c r="O365" s="15"/>
      <c r="P365" s="22"/>
    </row>
    <row r="366" spans="1:16" s="5" customFormat="1" ht="27.6" x14ac:dyDescent="0.3">
      <c r="A366" s="305" t="s">
        <v>34</v>
      </c>
      <c r="B366" s="426"/>
      <c r="C366" s="390"/>
      <c r="D366" s="397" t="s">
        <v>337</v>
      </c>
      <c r="E366" s="309">
        <v>1933</v>
      </c>
      <c r="F366" s="310" t="s">
        <v>21</v>
      </c>
      <c r="G366" s="311"/>
      <c r="H366" s="312">
        <f t="shared" si="54"/>
        <v>0</v>
      </c>
      <c r="I366" s="313"/>
      <c r="J366" s="412"/>
      <c r="K366" s="16"/>
      <c r="L366" s="17"/>
      <c r="M366" s="20"/>
      <c r="N366" s="14"/>
      <c r="O366" s="15"/>
      <c r="P366" s="22"/>
    </row>
    <row r="367" spans="1:16" s="5" customFormat="1" x14ac:dyDescent="0.3">
      <c r="A367" s="305" t="s">
        <v>36</v>
      </c>
      <c r="B367" s="426"/>
      <c r="C367" s="390"/>
      <c r="D367" s="397" t="s">
        <v>338</v>
      </c>
      <c r="E367" s="309">
        <f>2595-E370</f>
        <v>2176</v>
      </c>
      <c r="F367" s="310" t="s">
        <v>21</v>
      </c>
      <c r="G367" s="311"/>
      <c r="H367" s="312">
        <f t="shared" si="54"/>
        <v>0</v>
      </c>
      <c r="I367" s="313"/>
      <c r="J367" s="412"/>
      <c r="K367" s="16"/>
      <c r="L367" s="17"/>
      <c r="M367" s="20"/>
      <c r="N367" s="14"/>
      <c r="O367" s="15"/>
      <c r="P367" s="22"/>
    </row>
    <row r="368" spans="1:16" s="5" customFormat="1" ht="27.6" x14ac:dyDescent="0.3">
      <c r="A368" s="305" t="s">
        <v>39</v>
      </c>
      <c r="B368" s="426"/>
      <c r="C368" s="390"/>
      <c r="D368" s="397" t="s">
        <v>339</v>
      </c>
      <c r="E368" s="309">
        <v>1</v>
      </c>
      <c r="F368" s="310" t="s">
        <v>100</v>
      </c>
      <c r="G368" s="311"/>
      <c r="H368" s="312">
        <f t="shared" si="54"/>
        <v>0</v>
      </c>
      <c r="I368" s="313"/>
      <c r="J368" s="412"/>
      <c r="K368" s="16"/>
      <c r="L368" s="17"/>
      <c r="M368" s="20"/>
      <c r="N368" s="14"/>
      <c r="O368" s="15"/>
      <c r="P368" s="22"/>
    </row>
    <row r="369" spans="1:16" s="5" customFormat="1" ht="27.6" x14ac:dyDescent="0.3">
      <c r="A369" s="305" t="s">
        <v>42</v>
      </c>
      <c r="B369" s="426"/>
      <c r="C369" s="390"/>
      <c r="D369" s="397" t="s">
        <v>340</v>
      </c>
      <c r="E369" s="309">
        <v>23</v>
      </c>
      <c r="F369" s="310" t="s">
        <v>21</v>
      </c>
      <c r="G369" s="311"/>
      <c r="H369" s="312">
        <f t="shared" si="54"/>
        <v>0</v>
      </c>
      <c r="I369" s="313"/>
      <c r="J369" s="412"/>
      <c r="K369" s="16"/>
      <c r="L369" s="17"/>
      <c r="M369" s="20"/>
      <c r="N369" s="14"/>
      <c r="O369" s="15"/>
      <c r="P369" s="22"/>
    </row>
    <row r="370" spans="1:16" s="5" customFormat="1" x14ac:dyDescent="0.3">
      <c r="A370" s="305" t="s">
        <v>44</v>
      </c>
      <c r="B370" s="426"/>
      <c r="C370" s="390"/>
      <c r="D370" s="397" t="s">
        <v>329</v>
      </c>
      <c r="E370" s="309">
        <v>419</v>
      </c>
      <c r="F370" s="310" t="s">
        <v>21</v>
      </c>
      <c r="G370" s="311"/>
      <c r="H370" s="312">
        <f>E370*G370</f>
        <v>0</v>
      </c>
      <c r="I370" s="313"/>
      <c r="J370" s="412"/>
      <c r="K370" s="16"/>
      <c r="L370" s="17"/>
      <c r="M370" s="20"/>
      <c r="N370" s="14"/>
      <c r="O370" s="15"/>
      <c r="P370" s="22"/>
    </row>
    <row r="371" spans="1:16" s="5" customFormat="1" x14ac:dyDescent="0.3">
      <c r="A371" s="305" t="s">
        <v>46</v>
      </c>
      <c r="B371" s="426"/>
      <c r="C371" s="390"/>
      <c r="D371" s="397" t="s">
        <v>341</v>
      </c>
      <c r="E371" s="309">
        <v>186</v>
      </c>
      <c r="F371" s="310" t="s">
        <v>21</v>
      </c>
      <c r="G371" s="311"/>
      <c r="H371" s="312">
        <f>E371*G371</f>
        <v>0</v>
      </c>
      <c r="I371" s="313" t="s">
        <v>342</v>
      </c>
      <c r="J371" s="412"/>
      <c r="K371" s="16"/>
      <c r="L371" s="17"/>
      <c r="M371" s="20"/>
      <c r="N371" s="14"/>
      <c r="O371" s="15"/>
      <c r="P371" s="22"/>
    </row>
    <row r="372" spans="1:16" s="5" customFormat="1" ht="7.5" customHeight="1" x14ac:dyDescent="0.3">
      <c r="A372" s="401"/>
      <c r="B372" s="444"/>
      <c r="C372" s="403"/>
      <c r="D372" s="438"/>
      <c r="E372" s="432"/>
      <c r="F372" s="433"/>
      <c r="G372" s="407"/>
      <c r="H372" s="408"/>
      <c r="I372" s="409"/>
      <c r="J372" s="307"/>
      <c r="K372" s="16"/>
      <c r="L372" s="17"/>
      <c r="M372" s="20"/>
      <c r="N372" s="14"/>
      <c r="O372" s="15"/>
      <c r="P372" s="22"/>
    </row>
    <row r="373" spans="1:16" s="5" customFormat="1" x14ac:dyDescent="0.3">
      <c r="A373" s="305"/>
      <c r="B373" s="426"/>
      <c r="C373" s="390"/>
      <c r="D373" s="397" t="s">
        <v>343</v>
      </c>
      <c r="E373" s="309"/>
      <c r="F373" s="310"/>
      <c r="G373" s="311"/>
      <c r="H373" s="312"/>
      <c r="I373" s="313"/>
      <c r="J373" s="307"/>
      <c r="K373" s="16"/>
      <c r="L373" s="17"/>
      <c r="M373" s="20"/>
      <c r="N373" s="14"/>
      <c r="O373" s="15"/>
      <c r="P373" s="22"/>
    </row>
    <row r="374" spans="1:16" s="5" customFormat="1" x14ac:dyDescent="0.3">
      <c r="A374" s="305" t="s">
        <v>48</v>
      </c>
      <c r="B374" s="426"/>
      <c r="C374" s="390"/>
      <c r="D374" s="397" t="s">
        <v>344</v>
      </c>
      <c r="E374" s="309">
        <v>96</v>
      </c>
      <c r="F374" s="310" t="s">
        <v>249</v>
      </c>
      <c r="G374" s="311"/>
      <c r="H374" s="312">
        <f t="shared" ref="H374:H380" si="55">E374*G374</f>
        <v>0</v>
      </c>
      <c r="I374" s="313"/>
      <c r="J374" s="412"/>
      <c r="K374" s="16"/>
      <c r="L374" s="17"/>
      <c r="M374" s="20"/>
      <c r="N374" s="14"/>
      <c r="O374" s="15"/>
      <c r="P374" s="22"/>
    </row>
    <row r="375" spans="1:16" s="5" customFormat="1" x14ac:dyDescent="0.3">
      <c r="A375" s="305" t="s">
        <v>50</v>
      </c>
      <c r="B375" s="426"/>
      <c r="C375" s="390"/>
      <c r="D375" s="397" t="s">
        <v>345</v>
      </c>
      <c r="E375" s="309">
        <v>143</v>
      </c>
      <c r="F375" s="310" t="s">
        <v>249</v>
      </c>
      <c r="G375" s="311"/>
      <c r="H375" s="312">
        <f t="shared" si="55"/>
        <v>0</v>
      </c>
      <c r="I375" s="313"/>
      <c r="J375" s="412"/>
      <c r="K375" s="16"/>
      <c r="L375" s="17"/>
      <c r="M375" s="20"/>
      <c r="N375" s="14"/>
      <c r="O375" s="15"/>
      <c r="P375" s="22"/>
    </row>
    <row r="376" spans="1:16" s="5" customFormat="1" x14ac:dyDescent="0.3">
      <c r="A376" s="305" t="s">
        <v>52</v>
      </c>
      <c r="B376" s="426"/>
      <c r="C376" s="390"/>
      <c r="D376" s="397" t="s">
        <v>346</v>
      </c>
      <c r="E376" s="309">
        <v>22</v>
      </c>
      <c r="F376" s="310" t="s">
        <v>249</v>
      </c>
      <c r="G376" s="311"/>
      <c r="H376" s="312">
        <f t="shared" si="55"/>
        <v>0</v>
      </c>
      <c r="I376" s="313"/>
      <c r="J376" s="412"/>
      <c r="K376" s="16"/>
      <c r="L376" s="17"/>
      <c r="M376" s="20"/>
      <c r="N376" s="14"/>
      <c r="O376" s="15"/>
      <c r="P376" s="22"/>
    </row>
    <row r="377" spans="1:16" s="5" customFormat="1" x14ac:dyDescent="0.3">
      <c r="A377" s="305" t="s">
        <v>54</v>
      </c>
      <c r="B377" s="426"/>
      <c r="C377" s="390"/>
      <c r="D377" s="397" t="s">
        <v>347</v>
      </c>
      <c r="E377" s="309">
        <v>122</v>
      </c>
      <c r="F377" s="310" t="s">
        <v>46</v>
      </c>
      <c r="G377" s="311"/>
      <c r="H377" s="312">
        <f t="shared" si="55"/>
        <v>0</v>
      </c>
      <c r="I377" s="313"/>
      <c r="J377" s="412"/>
      <c r="K377" s="16"/>
      <c r="L377" s="17"/>
      <c r="M377" s="20"/>
      <c r="N377" s="14"/>
      <c r="O377" s="15"/>
      <c r="P377" s="22"/>
    </row>
    <row r="378" spans="1:16" s="5" customFormat="1" x14ac:dyDescent="0.3">
      <c r="A378" s="305" t="s">
        <v>56</v>
      </c>
      <c r="B378" s="426"/>
      <c r="C378" s="390"/>
      <c r="D378" s="397" t="s">
        <v>348</v>
      </c>
      <c r="E378" s="309">
        <v>94</v>
      </c>
      <c r="F378" s="310" t="s">
        <v>46</v>
      </c>
      <c r="G378" s="311"/>
      <c r="H378" s="312">
        <f t="shared" si="55"/>
        <v>0</v>
      </c>
      <c r="I378" s="313"/>
      <c r="J378" s="412"/>
      <c r="K378" s="16"/>
      <c r="L378" s="17"/>
      <c r="M378" s="20"/>
      <c r="N378" s="14"/>
      <c r="O378" s="15"/>
      <c r="P378" s="22"/>
    </row>
    <row r="379" spans="1:16" s="5" customFormat="1" x14ac:dyDescent="0.3">
      <c r="A379" s="305" t="s">
        <v>58</v>
      </c>
      <c r="B379" s="426"/>
      <c r="C379" s="390"/>
      <c r="D379" s="397" t="s">
        <v>349</v>
      </c>
      <c r="E379" s="309">
        <v>1019</v>
      </c>
      <c r="F379" s="310" t="s">
        <v>46</v>
      </c>
      <c r="G379" s="311"/>
      <c r="H379" s="312">
        <f t="shared" si="55"/>
        <v>0</v>
      </c>
      <c r="I379" s="313"/>
      <c r="J379" s="412"/>
      <c r="K379" s="16"/>
      <c r="L379" s="17"/>
      <c r="M379" s="20"/>
      <c r="N379" s="14"/>
      <c r="O379" s="15"/>
      <c r="P379" s="22"/>
    </row>
    <row r="380" spans="1:16" s="5" customFormat="1" x14ac:dyDescent="0.3">
      <c r="A380" s="305" t="s">
        <v>60</v>
      </c>
      <c r="B380" s="426"/>
      <c r="C380" s="390"/>
      <c r="D380" s="397" t="s">
        <v>350</v>
      </c>
      <c r="E380" s="309">
        <v>2025</v>
      </c>
      <c r="F380" s="310" t="s">
        <v>249</v>
      </c>
      <c r="G380" s="311"/>
      <c r="H380" s="312">
        <f t="shared" si="55"/>
        <v>0</v>
      </c>
      <c r="I380" s="313"/>
      <c r="J380" s="412"/>
      <c r="K380" s="16"/>
      <c r="L380" s="17"/>
      <c r="M380" s="20"/>
      <c r="N380" s="14"/>
      <c r="O380" s="15"/>
      <c r="P380" s="22"/>
    </row>
    <row r="381" spans="1:16" s="5" customFormat="1" x14ac:dyDescent="0.3">
      <c r="A381" s="305" t="s">
        <v>62</v>
      </c>
      <c r="B381" s="426"/>
      <c r="C381" s="390"/>
      <c r="D381" s="397" t="s">
        <v>351</v>
      </c>
      <c r="E381" s="309">
        <f>31+10</f>
        <v>41</v>
      </c>
      <c r="F381" s="310" t="s">
        <v>249</v>
      </c>
      <c r="G381" s="311"/>
      <c r="H381" s="312">
        <f>E381*G381</f>
        <v>0</v>
      </c>
      <c r="I381" s="313"/>
      <c r="J381" s="412"/>
      <c r="K381" s="16"/>
      <c r="L381" s="17"/>
      <c r="M381" s="20"/>
      <c r="N381" s="50"/>
      <c r="O381" s="15"/>
      <c r="P381" s="8"/>
    </row>
    <row r="382" spans="1:16" s="5" customFormat="1" x14ac:dyDescent="0.3">
      <c r="A382" s="305" t="s">
        <v>64</v>
      </c>
      <c r="B382" s="426"/>
      <c r="C382" s="390"/>
      <c r="D382" s="397" t="s">
        <v>352</v>
      </c>
      <c r="E382" s="309">
        <v>93</v>
      </c>
      <c r="F382" s="310" t="s">
        <v>249</v>
      </c>
      <c r="G382" s="311"/>
      <c r="H382" s="312">
        <f>E382*G382</f>
        <v>0</v>
      </c>
      <c r="I382" s="313"/>
      <c r="J382" s="412"/>
      <c r="K382" s="16"/>
      <c r="L382" s="17"/>
      <c r="M382" s="20"/>
      <c r="N382" s="50"/>
      <c r="O382" s="15"/>
      <c r="P382" s="8"/>
    </row>
    <row r="383" spans="1:16" s="5" customFormat="1" x14ac:dyDescent="0.3">
      <c r="A383" s="305" t="s">
        <v>66</v>
      </c>
      <c r="B383" s="426"/>
      <c r="C383" s="390"/>
      <c r="D383" s="397" t="s">
        <v>353</v>
      </c>
      <c r="E383" s="309">
        <v>65</v>
      </c>
      <c r="F383" s="310" t="s">
        <v>249</v>
      </c>
      <c r="G383" s="311"/>
      <c r="H383" s="312">
        <f>E383*G383</f>
        <v>0</v>
      </c>
      <c r="I383" s="313"/>
      <c r="J383" s="412"/>
      <c r="K383" s="16"/>
      <c r="L383" s="17"/>
      <c r="M383" s="20"/>
      <c r="N383" s="50"/>
      <c r="O383" s="15"/>
      <c r="P383" s="8"/>
    </row>
    <row r="384" spans="1:16" s="5" customFormat="1" x14ac:dyDescent="0.3">
      <c r="A384" s="305" t="s">
        <v>68</v>
      </c>
      <c r="B384" s="426"/>
      <c r="C384" s="390"/>
      <c r="D384" s="397" t="s">
        <v>354</v>
      </c>
      <c r="E384" s="309">
        <f>+(E380-SUM(E381:E383))*11.4</f>
        <v>20816.400000000001</v>
      </c>
      <c r="F384" s="310" t="s">
        <v>46</v>
      </c>
      <c r="G384" s="311"/>
      <c r="H384" s="312">
        <f>E384*G384</f>
        <v>0</v>
      </c>
      <c r="I384" s="313"/>
      <c r="J384" s="412"/>
      <c r="K384" s="16"/>
      <c r="L384" s="17"/>
      <c r="M384" s="20"/>
      <c r="N384" s="14"/>
      <c r="O384" s="15"/>
      <c r="P384" s="22"/>
    </row>
    <row r="385" spans="1:16" s="5" customFormat="1" ht="9.75" customHeight="1" x14ac:dyDescent="0.3">
      <c r="A385" s="305"/>
      <c r="B385" s="426"/>
      <c r="C385" s="390"/>
      <c r="D385" s="397"/>
      <c r="E385" s="309"/>
      <c r="F385" s="310"/>
      <c r="G385" s="311"/>
      <c r="H385" s="312"/>
      <c r="I385" s="313"/>
      <c r="J385" s="307"/>
      <c r="K385" s="16"/>
      <c r="L385" s="17"/>
      <c r="M385" s="20"/>
      <c r="N385" s="14"/>
      <c r="O385" s="15"/>
      <c r="P385" s="22"/>
    </row>
    <row r="386" spans="1:16" s="5" customFormat="1" x14ac:dyDescent="0.3">
      <c r="A386" s="305"/>
      <c r="B386" s="426"/>
      <c r="C386" s="390"/>
      <c r="D386" s="397" t="s">
        <v>355</v>
      </c>
      <c r="E386" s="309"/>
      <c r="F386" s="310"/>
      <c r="G386" s="311"/>
      <c r="H386" s="312"/>
      <c r="I386" s="313"/>
      <c r="J386" s="307"/>
      <c r="K386" s="16"/>
      <c r="L386" s="17"/>
      <c r="M386" s="20"/>
      <c r="N386" s="14"/>
      <c r="O386" s="15"/>
      <c r="P386" s="22"/>
    </row>
    <row r="387" spans="1:16" s="5" customFormat="1" x14ac:dyDescent="0.3">
      <c r="A387" s="305" t="s">
        <v>71</v>
      </c>
      <c r="B387" s="426"/>
      <c r="C387" s="390"/>
      <c r="D387" s="397" t="s">
        <v>356</v>
      </c>
      <c r="E387" s="309">
        <f>+E367</f>
        <v>2176</v>
      </c>
      <c r="F387" s="310" t="s">
        <v>21</v>
      </c>
      <c r="G387" s="311"/>
      <c r="H387" s="312">
        <f t="shared" ref="H387" si="56">E387*G387</f>
        <v>0</v>
      </c>
      <c r="I387" s="313"/>
      <c r="J387" s="412"/>
      <c r="K387" s="16"/>
      <c r="L387" s="17"/>
      <c r="M387" s="20"/>
      <c r="N387" s="14"/>
      <c r="O387" s="15"/>
      <c r="P387" s="22"/>
    </row>
    <row r="388" spans="1:16" s="5" customFormat="1" ht="9.15" customHeight="1" x14ac:dyDescent="0.3">
      <c r="A388" s="305"/>
      <c r="B388" s="426"/>
      <c r="C388" s="390"/>
      <c r="D388" s="397"/>
      <c r="E388" s="309"/>
      <c r="F388" s="310"/>
      <c r="G388" s="311"/>
      <c r="H388" s="312"/>
      <c r="I388" s="313"/>
      <c r="J388" s="307"/>
      <c r="K388" s="16"/>
      <c r="L388" s="17"/>
      <c r="M388" s="20"/>
      <c r="N388" s="14"/>
      <c r="O388" s="15"/>
      <c r="P388" s="22"/>
    </row>
    <row r="389" spans="1:16" s="5" customFormat="1" x14ac:dyDescent="0.3">
      <c r="A389" s="305"/>
      <c r="B389" s="426"/>
      <c r="C389" s="390"/>
      <c r="D389" s="397" t="s">
        <v>357</v>
      </c>
      <c r="E389" s="309"/>
      <c r="F389" s="310"/>
      <c r="G389" s="311"/>
      <c r="H389" s="312"/>
      <c r="I389" s="313"/>
      <c r="J389" s="307"/>
      <c r="K389" s="16"/>
      <c r="L389" s="17"/>
      <c r="M389" s="20"/>
      <c r="N389" s="14"/>
      <c r="O389" s="15"/>
      <c r="P389" s="22"/>
    </row>
    <row r="390" spans="1:16" s="5" customFormat="1" ht="55.2" x14ac:dyDescent="0.3">
      <c r="A390" s="305" t="s">
        <v>73</v>
      </c>
      <c r="B390" s="426"/>
      <c r="C390" s="390"/>
      <c r="D390" s="397" t="s">
        <v>358</v>
      </c>
      <c r="E390" s="309">
        <v>52</v>
      </c>
      <c r="F390" s="310" t="s">
        <v>21</v>
      </c>
      <c r="G390" s="311"/>
      <c r="H390" s="312">
        <f t="shared" ref="H390:H391" si="57">E390*G390</f>
        <v>0</v>
      </c>
      <c r="I390" s="313"/>
      <c r="J390" s="412"/>
      <c r="K390" s="16"/>
      <c r="L390" s="17"/>
      <c r="M390" s="20"/>
      <c r="N390" s="14"/>
      <c r="O390" s="15"/>
      <c r="P390" s="22"/>
    </row>
    <row r="391" spans="1:16" s="5" customFormat="1" ht="41.4" x14ac:dyDescent="0.3">
      <c r="A391" s="305" t="s">
        <v>75</v>
      </c>
      <c r="B391" s="426"/>
      <c r="C391" s="390"/>
      <c r="D391" s="397" t="s">
        <v>359</v>
      </c>
      <c r="E391" s="309">
        <f>1091+318</f>
        <v>1409</v>
      </c>
      <c r="F391" s="310" t="s">
        <v>21</v>
      </c>
      <c r="G391" s="311"/>
      <c r="H391" s="312">
        <f t="shared" si="57"/>
        <v>0</v>
      </c>
      <c r="I391" s="313"/>
      <c r="J391" s="412"/>
      <c r="K391" s="16"/>
      <c r="L391" s="17"/>
      <c r="M391" s="20"/>
      <c r="N391" s="14"/>
      <c r="O391" s="15"/>
      <c r="P391" s="22"/>
    </row>
    <row r="392" spans="1:16" s="5" customFormat="1" x14ac:dyDescent="0.3">
      <c r="A392" s="305"/>
      <c r="B392" s="426"/>
      <c r="C392" s="390"/>
      <c r="D392" s="397"/>
      <c r="E392" s="309"/>
      <c r="F392" s="310"/>
      <c r="G392" s="311"/>
      <c r="H392" s="312"/>
      <c r="I392" s="313"/>
      <c r="J392" s="412"/>
      <c r="K392" s="16"/>
      <c r="L392" s="17"/>
      <c r="M392" s="20"/>
      <c r="N392" s="14"/>
      <c r="O392" s="15"/>
      <c r="P392" s="22"/>
    </row>
    <row r="393" spans="1:16" s="5" customFormat="1" ht="27.6" x14ac:dyDescent="0.3">
      <c r="A393" s="305" t="s">
        <v>77</v>
      </c>
      <c r="B393" s="426"/>
      <c r="C393" s="390"/>
      <c r="D393" s="397" t="s">
        <v>360</v>
      </c>
      <c r="E393" s="309">
        <f>17+68</f>
        <v>85</v>
      </c>
      <c r="F393" s="310" t="s">
        <v>21</v>
      </c>
      <c r="G393" s="311"/>
      <c r="H393" s="312">
        <f t="shared" ref="H393" si="58">E393*G393</f>
        <v>0</v>
      </c>
      <c r="I393" s="313"/>
      <c r="J393" s="412"/>
      <c r="K393" s="16"/>
      <c r="L393" s="17"/>
      <c r="M393" s="20"/>
      <c r="N393" s="14"/>
      <c r="O393" s="15"/>
      <c r="P393" s="22"/>
    </row>
    <row r="394" spans="1:16" s="5" customFormat="1" x14ac:dyDescent="0.3">
      <c r="A394" s="305" t="s">
        <v>80</v>
      </c>
      <c r="B394" s="426"/>
      <c r="C394" s="390"/>
      <c r="D394" s="397" t="s">
        <v>361</v>
      </c>
      <c r="E394" s="309">
        <f>21+5</f>
        <v>26</v>
      </c>
      <c r="F394" s="310" t="s">
        <v>21</v>
      </c>
      <c r="G394" s="311"/>
      <c r="H394" s="312">
        <f>E394*G394</f>
        <v>0</v>
      </c>
      <c r="I394" s="313"/>
      <c r="J394" s="412"/>
      <c r="K394" s="16"/>
      <c r="L394" s="17"/>
      <c r="M394" s="20"/>
      <c r="N394" s="14"/>
      <c r="O394" s="15"/>
      <c r="P394" s="22"/>
    </row>
    <row r="395" spans="1:16" s="5" customFormat="1" ht="9.75" customHeight="1" x14ac:dyDescent="0.3">
      <c r="A395" s="305"/>
      <c r="B395" s="426"/>
      <c r="C395" s="390"/>
      <c r="D395" s="397"/>
      <c r="E395" s="309"/>
      <c r="F395" s="310"/>
      <c r="G395" s="311"/>
      <c r="H395" s="312"/>
      <c r="I395" s="313"/>
      <c r="J395" s="307"/>
      <c r="K395" s="16"/>
      <c r="L395" s="17"/>
      <c r="M395" s="20"/>
      <c r="N395" s="14"/>
      <c r="O395" s="15"/>
      <c r="P395" s="22"/>
    </row>
    <row r="396" spans="1:16" s="5" customFormat="1" x14ac:dyDescent="0.3">
      <c r="A396" s="305"/>
      <c r="B396" s="426"/>
      <c r="C396" s="390"/>
      <c r="D396" s="397" t="s">
        <v>362</v>
      </c>
      <c r="E396" s="309"/>
      <c r="F396" s="310"/>
      <c r="G396" s="311"/>
      <c r="H396" s="312"/>
      <c r="I396" s="313"/>
      <c r="J396" s="307"/>
      <c r="K396" s="16"/>
      <c r="L396" s="17"/>
      <c r="M396" s="20"/>
      <c r="N396" s="14"/>
      <c r="O396" s="15"/>
      <c r="P396" s="22"/>
    </row>
    <row r="397" spans="1:16" s="5" customFormat="1" x14ac:dyDescent="0.3">
      <c r="A397" s="305" t="s">
        <v>81</v>
      </c>
      <c r="B397" s="426"/>
      <c r="C397" s="390"/>
      <c r="D397" s="397" t="s">
        <v>363</v>
      </c>
      <c r="E397" s="309">
        <f>3505-2612</f>
        <v>893</v>
      </c>
      <c r="F397" s="310" t="s">
        <v>21</v>
      </c>
      <c r="G397" s="311"/>
      <c r="H397" s="312">
        <f t="shared" ref="H397" si="59">E397*G397</f>
        <v>0</v>
      </c>
      <c r="I397" s="313"/>
      <c r="J397" s="412"/>
      <c r="K397" s="16"/>
      <c r="L397" s="17"/>
      <c r="M397" s="20"/>
      <c r="N397" s="14"/>
      <c r="O397" s="15"/>
      <c r="P397" s="22"/>
    </row>
    <row r="398" spans="1:16" s="5" customFormat="1" ht="8.6999999999999993" customHeight="1" x14ac:dyDescent="0.3">
      <c r="A398" s="305"/>
      <c r="B398" s="426"/>
      <c r="C398" s="390"/>
      <c r="D398" s="397"/>
      <c r="E398" s="309"/>
      <c r="F398" s="310"/>
      <c r="G398" s="311"/>
      <c r="H398" s="312"/>
      <c r="I398" s="313"/>
      <c r="J398" s="307"/>
      <c r="K398" s="16"/>
      <c r="L398" s="17"/>
      <c r="M398" s="20"/>
      <c r="N398" s="14"/>
      <c r="O398" s="15"/>
      <c r="P398" s="22"/>
    </row>
    <row r="399" spans="1:16" s="5" customFormat="1" x14ac:dyDescent="0.3">
      <c r="A399" s="305">
        <v>3.03</v>
      </c>
      <c r="B399" s="306"/>
      <c r="C399" s="390" t="s">
        <v>364</v>
      </c>
      <c r="D399" s="397"/>
      <c r="E399" s="309"/>
      <c r="F399" s="310"/>
      <c r="G399" s="311"/>
      <c r="H399" s="312"/>
      <c r="I399" s="313"/>
      <c r="J399" s="307"/>
      <c r="K399" s="16"/>
      <c r="L399" s="17"/>
      <c r="M399" s="20"/>
      <c r="N399" s="14"/>
      <c r="O399" s="15"/>
      <c r="P399" s="22"/>
    </row>
    <row r="400" spans="1:16" s="5" customFormat="1" x14ac:dyDescent="0.3">
      <c r="A400" s="305"/>
      <c r="B400" s="306"/>
      <c r="C400" s="390"/>
      <c r="D400" s="397" t="s">
        <v>317</v>
      </c>
      <c r="E400" s="309"/>
      <c r="F400" s="310"/>
      <c r="G400" s="311"/>
      <c r="H400" s="312"/>
      <c r="I400" s="313"/>
      <c r="J400" s="307"/>
      <c r="K400" s="16"/>
      <c r="L400" s="17"/>
      <c r="M400" s="20"/>
      <c r="N400" s="14"/>
      <c r="O400" s="15"/>
      <c r="P400" s="22"/>
    </row>
    <row r="401" spans="1:16" s="5" customFormat="1" x14ac:dyDescent="0.3">
      <c r="A401" s="305" t="s">
        <v>19</v>
      </c>
      <c r="B401" s="306"/>
      <c r="C401" s="390"/>
      <c r="D401" s="397" t="s">
        <v>365</v>
      </c>
      <c r="E401" s="309">
        <f>87599-E407</f>
        <v>87157</v>
      </c>
      <c r="F401" s="310" t="s">
        <v>21</v>
      </c>
      <c r="G401" s="311"/>
      <c r="H401" s="312">
        <f>E401*G401</f>
        <v>0</v>
      </c>
      <c r="I401" s="313"/>
      <c r="J401" s="412"/>
      <c r="K401" s="16"/>
      <c r="L401" s="17"/>
      <c r="M401" s="20"/>
      <c r="N401" s="14"/>
      <c r="O401" s="15"/>
      <c r="P401" s="22"/>
    </row>
    <row r="402" spans="1:16" s="5" customFormat="1" ht="9.75" customHeight="1" x14ac:dyDescent="0.3">
      <c r="A402" s="305"/>
      <c r="B402" s="306"/>
      <c r="C402" s="390"/>
      <c r="D402" s="397"/>
      <c r="E402" s="309"/>
      <c r="F402" s="310"/>
      <c r="G402" s="311"/>
      <c r="H402" s="312"/>
      <c r="I402" s="313"/>
      <c r="J402" s="307"/>
      <c r="K402" s="16"/>
      <c r="L402" s="17"/>
      <c r="M402" s="20"/>
      <c r="N402" s="14"/>
      <c r="O402" s="15"/>
      <c r="P402" s="22"/>
    </row>
    <row r="403" spans="1:16" s="5" customFormat="1" x14ac:dyDescent="0.3">
      <c r="A403" s="305"/>
      <c r="B403" s="426"/>
      <c r="C403" s="390"/>
      <c r="D403" s="397" t="s">
        <v>366</v>
      </c>
      <c r="E403" s="309"/>
      <c r="F403" s="310"/>
      <c r="G403" s="311"/>
      <c r="H403" s="312"/>
      <c r="I403" s="313"/>
      <c r="J403" s="307"/>
      <c r="K403" s="16"/>
      <c r="L403" s="17"/>
      <c r="M403" s="20"/>
      <c r="N403" s="14"/>
      <c r="O403" s="15"/>
      <c r="P403" s="22"/>
    </row>
    <row r="404" spans="1:16" s="5" customFormat="1" x14ac:dyDescent="0.3">
      <c r="A404" s="305"/>
      <c r="B404" s="426"/>
      <c r="C404" s="390"/>
      <c r="D404" s="397" t="s">
        <v>367</v>
      </c>
      <c r="E404" s="309"/>
      <c r="F404" s="310"/>
      <c r="G404" s="311"/>
      <c r="H404" s="312"/>
      <c r="I404" s="313"/>
      <c r="J404" s="307"/>
      <c r="K404" s="16"/>
      <c r="L404" s="17"/>
      <c r="M404" s="20"/>
      <c r="N404" s="14"/>
      <c r="O404" s="15"/>
      <c r="P404" s="22"/>
    </row>
    <row r="405" spans="1:16" s="5" customFormat="1" ht="27.6" x14ac:dyDescent="0.3">
      <c r="A405" s="305" t="s">
        <v>22</v>
      </c>
      <c r="B405" s="426"/>
      <c r="C405" s="390"/>
      <c r="D405" s="397" t="s">
        <v>368</v>
      </c>
      <c r="E405" s="309">
        <v>391</v>
      </c>
      <c r="F405" s="310" t="s">
        <v>21</v>
      </c>
      <c r="G405" s="311"/>
      <c r="H405" s="312">
        <f t="shared" ref="H405:H414" si="60">E405*G405</f>
        <v>0</v>
      </c>
      <c r="I405" s="313"/>
      <c r="J405" s="412"/>
      <c r="K405" s="16"/>
      <c r="L405" s="17"/>
      <c r="M405" s="20"/>
      <c r="N405" s="14"/>
      <c r="O405" s="15"/>
      <c r="P405" s="22"/>
    </row>
    <row r="406" spans="1:16" s="5" customFormat="1" ht="27.6" x14ac:dyDescent="0.3">
      <c r="A406" s="305" t="s">
        <v>25</v>
      </c>
      <c r="B406" s="426"/>
      <c r="C406" s="390"/>
      <c r="D406" s="397" t="s">
        <v>369</v>
      </c>
      <c r="E406" s="309">
        <v>331</v>
      </c>
      <c r="F406" s="310" t="s">
        <v>21</v>
      </c>
      <c r="G406" s="311"/>
      <c r="H406" s="312">
        <f t="shared" si="60"/>
        <v>0</v>
      </c>
      <c r="I406" s="313"/>
      <c r="J406" s="412"/>
      <c r="K406" s="16"/>
      <c r="L406" s="17"/>
      <c r="M406" s="20"/>
      <c r="N406" s="14"/>
      <c r="O406" s="15"/>
      <c r="P406" s="22"/>
    </row>
    <row r="407" spans="1:16" s="5" customFormat="1" x14ac:dyDescent="0.3">
      <c r="A407" s="305" t="s">
        <v>28</v>
      </c>
      <c r="B407" s="426"/>
      <c r="C407" s="390"/>
      <c r="D407" s="397" t="s">
        <v>370</v>
      </c>
      <c r="E407" s="309">
        <v>442</v>
      </c>
      <c r="F407" s="310" t="s">
        <v>21</v>
      </c>
      <c r="G407" s="311"/>
      <c r="H407" s="312">
        <f t="shared" si="60"/>
        <v>0</v>
      </c>
      <c r="I407" s="313"/>
      <c r="J407" s="412"/>
      <c r="K407" s="16"/>
      <c r="L407" s="17"/>
      <c r="M407" s="20"/>
      <c r="N407" s="14"/>
      <c r="O407" s="15"/>
      <c r="P407" s="22"/>
    </row>
    <row r="408" spans="1:16" s="5" customFormat="1" ht="55.2" x14ac:dyDescent="0.3">
      <c r="A408" s="305" t="s">
        <v>30</v>
      </c>
      <c r="B408" s="426"/>
      <c r="C408" s="390"/>
      <c r="D408" s="397" t="s">
        <v>371</v>
      </c>
      <c r="E408" s="309">
        <f>950+88-E406-E410</f>
        <v>556</v>
      </c>
      <c r="F408" s="310" t="s">
        <v>21</v>
      </c>
      <c r="G408" s="311"/>
      <c r="H408" s="312">
        <f t="shared" si="60"/>
        <v>0</v>
      </c>
      <c r="I408" s="313"/>
      <c r="J408" s="412"/>
      <c r="K408" s="16"/>
      <c r="L408" s="17"/>
      <c r="M408" s="20"/>
      <c r="N408" s="14"/>
      <c r="O408" s="15"/>
      <c r="P408" s="22"/>
    </row>
    <row r="409" spans="1:16" s="5" customFormat="1" ht="55.2" x14ac:dyDescent="0.3">
      <c r="A409" s="305" t="s">
        <v>32</v>
      </c>
      <c r="B409" s="426"/>
      <c r="C409" s="390"/>
      <c r="D409" s="397" t="s">
        <v>372</v>
      </c>
      <c r="E409" s="309">
        <f>240+26+27</f>
        <v>293</v>
      </c>
      <c r="F409" s="310" t="s">
        <v>21</v>
      </c>
      <c r="G409" s="311"/>
      <c r="H409" s="312">
        <f t="shared" si="60"/>
        <v>0</v>
      </c>
      <c r="I409" s="313"/>
      <c r="J409" s="412"/>
      <c r="K409" s="16"/>
      <c r="L409" s="17"/>
      <c r="M409" s="20"/>
      <c r="N409" s="14"/>
      <c r="O409" s="15"/>
      <c r="P409" s="22"/>
    </row>
    <row r="410" spans="1:16" s="5" customFormat="1" ht="27.6" x14ac:dyDescent="0.3">
      <c r="A410" s="305" t="s">
        <v>34</v>
      </c>
      <c r="B410" s="426"/>
      <c r="C410" s="390"/>
      <c r="D410" s="397" t="s">
        <v>373</v>
      </c>
      <c r="E410" s="309">
        <v>151</v>
      </c>
      <c r="F410" s="310" t="s">
        <v>21</v>
      </c>
      <c r="G410" s="311"/>
      <c r="H410" s="312">
        <f t="shared" si="60"/>
        <v>0</v>
      </c>
      <c r="I410" s="313"/>
      <c r="J410" s="412"/>
      <c r="K410" s="16"/>
      <c r="L410" s="17"/>
      <c r="M410" s="20"/>
      <c r="N410" s="14"/>
      <c r="O410" s="15"/>
      <c r="P410" s="22"/>
    </row>
    <row r="411" spans="1:16" s="5" customFormat="1" x14ac:dyDescent="0.3">
      <c r="A411" s="305" t="s">
        <v>36</v>
      </c>
      <c r="B411" s="426"/>
      <c r="C411" s="390"/>
      <c r="D411" s="397" t="s">
        <v>374</v>
      </c>
      <c r="E411" s="309">
        <f>+E408+E410</f>
        <v>707</v>
      </c>
      <c r="F411" s="310" t="s">
        <v>21</v>
      </c>
      <c r="G411" s="311"/>
      <c r="H411" s="312">
        <f t="shared" si="60"/>
        <v>0</v>
      </c>
      <c r="I411" s="313"/>
      <c r="J411" s="412"/>
      <c r="K411" s="16"/>
      <c r="L411" s="17"/>
      <c r="M411" s="20"/>
      <c r="N411" s="14"/>
      <c r="O411" s="15"/>
      <c r="P411" s="22"/>
    </row>
    <row r="412" spans="1:16" s="5" customFormat="1" x14ac:dyDescent="0.3">
      <c r="A412" s="305" t="s">
        <v>39</v>
      </c>
      <c r="B412" s="426"/>
      <c r="C412" s="390"/>
      <c r="D412" s="397" t="s">
        <v>375</v>
      </c>
      <c r="E412" s="309">
        <f>+E409</f>
        <v>293</v>
      </c>
      <c r="F412" s="310" t="s">
        <v>21</v>
      </c>
      <c r="G412" s="311"/>
      <c r="H412" s="312">
        <f t="shared" si="60"/>
        <v>0</v>
      </c>
      <c r="I412" s="313"/>
      <c r="J412" s="412"/>
      <c r="K412" s="16"/>
      <c r="L412" s="17"/>
      <c r="M412" s="20"/>
      <c r="N412" s="14"/>
      <c r="O412" s="15"/>
      <c r="P412" s="22"/>
    </row>
    <row r="413" spans="1:16" s="5" customFormat="1" x14ac:dyDescent="0.3">
      <c r="A413" s="305" t="s">
        <v>42</v>
      </c>
      <c r="B413" s="426"/>
      <c r="C413" s="390"/>
      <c r="D413" s="397" t="s">
        <v>376</v>
      </c>
      <c r="E413" s="309">
        <v>1</v>
      </c>
      <c r="F413" s="310" t="s">
        <v>100</v>
      </c>
      <c r="G413" s="311"/>
      <c r="H413" s="312">
        <f t="shared" si="60"/>
        <v>0</v>
      </c>
      <c r="I413" s="313"/>
      <c r="J413" s="412"/>
      <c r="K413" s="16"/>
      <c r="L413" s="17"/>
      <c r="M413" s="20"/>
      <c r="N413" s="14"/>
      <c r="O413" s="15"/>
      <c r="P413" s="22"/>
    </row>
    <row r="414" spans="1:16" s="5" customFormat="1" x14ac:dyDescent="0.3">
      <c r="A414" s="305" t="s">
        <v>44</v>
      </c>
      <c r="B414" s="426"/>
      <c r="C414" s="390"/>
      <c r="D414" s="397" t="s">
        <v>377</v>
      </c>
      <c r="E414" s="309">
        <v>1</v>
      </c>
      <c r="F414" s="310" t="s">
        <v>100</v>
      </c>
      <c r="G414" s="311"/>
      <c r="H414" s="312">
        <f t="shared" si="60"/>
        <v>0</v>
      </c>
      <c r="I414" s="313"/>
      <c r="J414" s="412"/>
      <c r="K414" s="16"/>
      <c r="L414" s="17"/>
      <c r="M414" s="20"/>
      <c r="N414" s="14"/>
      <c r="O414" s="15"/>
      <c r="P414" s="22"/>
    </row>
    <row r="415" spans="1:16" s="5" customFormat="1" ht="7.5" customHeight="1" x14ac:dyDescent="0.3">
      <c r="A415" s="305"/>
      <c r="B415" s="426"/>
      <c r="C415" s="390"/>
      <c r="D415" s="397"/>
      <c r="E415" s="309"/>
      <c r="F415" s="310"/>
      <c r="G415" s="311"/>
      <c r="H415" s="312"/>
      <c r="I415" s="313"/>
      <c r="J415" s="412"/>
      <c r="K415" s="16"/>
      <c r="L415" s="17"/>
      <c r="M415" s="20"/>
      <c r="N415" s="14"/>
      <c r="O415" s="15"/>
      <c r="P415" s="22"/>
    </row>
    <row r="416" spans="1:16" s="5" customFormat="1" x14ac:dyDescent="0.3">
      <c r="A416" s="305"/>
      <c r="B416" s="426"/>
      <c r="C416" s="390"/>
      <c r="D416" s="397" t="s">
        <v>326</v>
      </c>
      <c r="E416" s="309"/>
      <c r="F416" s="310"/>
      <c r="G416" s="311"/>
      <c r="H416" s="312"/>
      <c r="I416" s="313"/>
      <c r="J416" s="412"/>
      <c r="K416" s="16"/>
      <c r="L416" s="17"/>
      <c r="M416" s="20"/>
      <c r="N416" s="14"/>
      <c r="O416" s="15"/>
      <c r="P416" s="22"/>
    </row>
    <row r="417" spans="1:16" s="5" customFormat="1" x14ac:dyDescent="0.3">
      <c r="A417" s="305" t="s">
        <v>46</v>
      </c>
      <c r="B417" s="426"/>
      <c r="C417" s="390"/>
      <c r="D417" s="397" t="s">
        <v>378</v>
      </c>
      <c r="E417" s="309">
        <v>1912</v>
      </c>
      <c r="F417" s="310" t="s">
        <v>21</v>
      </c>
      <c r="G417" s="311"/>
      <c r="H417" s="312">
        <f t="shared" ref="H417" si="61">E417*G417</f>
        <v>0</v>
      </c>
      <c r="I417" s="313"/>
      <c r="J417" s="412"/>
      <c r="K417" s="16"/>
      <c r="L417" s="17"/>
      <c r="M417" s="20"/>
      <c r="N417" s="14"/>
      <c r="O417" s="15"/>
      <c r="P417" s="22"/>
    </row>
    <row r="418" spans="1:16" s="5" customFormat="1" x14ac:dyDescent="0.3">
      <c r="A418" s="401" t="s">
        <v>48</v>
      </c>
      <c r="B418" s="444"/>
      <c r="C418" s="403"/>
      <c r="D418" s="438" t="s">
        <v>329</v>
      </c>
      <c r="E418" s="432">
        <v>419</v>
      </c>
      <c r="F418" s="433" t="s">
        <v>21</v>
      </c>
      <c r="G418" s="407"/>
      <c r="H418" s="408">
        <f>E418*G418</f>
        <v>0</v>
      </c>
      <c r="I418" s="409"/>
      <c r="J418" s="412"/>
      <c r="K418" s="37"/>
      <c r="L418" s="25"/>
      <c r="M418" s="28"/>
      <c r="N418" s="29"/>
      <c r="O418" s="15"/>
      <c r="P418" s="22"/>
    </row>
    <row r="419" spans="1:16" s="5" customFormat="1" x14ac:dyDescent="0.3">
      <c r="A419" s="305"/>
      <c r="B419" s="426"/>
      <c r="C419" s="390"/>
      <c r="D419" s="397"/>
      <c r="E419" s="309"/>
      <c r="F419" s="310"/>
      <c r="G419" s="311"/>
      <c r="H419" s="312"/>
      <c r="I419" s="313"/>
      <c r="J419" s="307"/>
      <c r="K419" s="16"/>
      <c r="L419" s="17"/>
      <c r="M419" s="20"/>
      <c r="N419" s="14"/>
      <c r="O419" s="15"/>
      <c r="P419" s="22"/>
    </row>
    <row r="420" spans="1:16" s="5" customFormat="1" ht="14.25" customHeight="1" x14ac:dyDescent="0.3">
      <c r="A420" s="382" t="s">
        <v>379</v>
      </c>
      <c r="B420" s="383" t="s">
        <v>380</v>
      </c>
      <c r="C420" s="384"/>
      <c r="D420" s="385"/>
      <c r="E420" s="309"/>
      <c r="F420" s="310"/>
      <c r="G420" s="311"/>
      <c r="H420" s="312"/>
      <c r="I420" s="313"/>
      <c r="J420" s="307"/>
      <c r="K420" s="16"/>
      <c r="L420" s="17"/>
      <c r="M420" s="20"/>
      <c r="N420" s="14"/>
      <c r="O420" s="15"/>
      <c r="P420" s="8"/>
    </row>
    <row r="421" spans="1:16" s="5" customFormat="1" ht="14.25" customHeight="1" x14ac:dyDescent="0.3">
      <c r="A421" s="305"/>
      <c r="B421" s="306"/>
      <c r="C421" s="390"/>
      <c r="D421" s="397"/>
      <c r="E421" s="309"/>
      <c r="F421" s="310"/>
      <c r="G421" s="311"/>
      <c r="H421" s="312"/>
      <c r="I421" s="313"/>
      <c r="J421" s="307"/>
      <c r="K421" s="16"/>
      <c r="L421" s="17"/>
      <c r="M421" s="20"/>
      <c r="N421" s="14"/>
      <c r="O421" s="15"/>
      <c r="P421" s="8"/>
    </row>
    <row r="422" spans="1:16" s="5" customFormat="1" ht="14.25" customHeight="1" x14ac:dyDescent="0.3">
      <c r="A422" s="305">
        <v>4.01</v>
      </c>
      <c r="B422" s="306"/>
      <c r="C422" s="445" t="s">
        <v>381</v>
      </c>
      <c r="D422" s="397"/>
      <c r="E422" s="309"/>
      <c r="F422" s="310"/>
      <c r="G422" s="311"/>
      <c r="H422" s="312"/>
      <c r="I422" s="313"/>
      <c r="J422" s="307"/>
      <c r="K422" s="16"/>
      <c r="L422" s="17"/>
      <c r="M422" s="20"/>
      <c r="N422" s="14"/>
      <c r="O422" s="15"/>
      <c r="P422" s="8"/>
    </row>
    <row r="423" spans="1:16" s="5" customFormat="1" ht="15.75" customHeight="1" x14ac:dyDescent="0.3">
      <c r="A423" s="305"/>
      <c r="B423" s="426"/>
      <c r="C423" s="390"/>
      <c r="D423" s="397" t="s">
        <v>317</v>
      </c>
      <c r="E423" s="309"/>
      <c r="F423" s="310"/>
      <c r="G423" s="311"/>
      <c r="H423" s="312"/>
      <c r="I423" s="313"/>
      <c r="J423" s="307"/>
      <c r="K423" s="16"/>
      <c r="L423" s="17"/>
      <c r="M423" s="20"/>
      <c r="N423" s="14"/>
      <c r="O423" s="15"/>
      <c r="P423" s="8"/>
    </row>
    <row r="424" spans="1:16" s="5" customFormat="1" ht="27.6" x14ac:dyDescent="0.3">
      <c r="A424" s="305" t="s">
        <v>19</v>
      </c>
      <c r="B424" s="426"/>
      <c r="C424" s="390"/>
      <c r="D424" s="397" t="s">
        <v>382</v>
      </c>
      <c r="E424" s="446">
        <v>3903</v>
      </c>
      <c r="F424" s="392" t="s">
        <v>249</v>
      </c>
      <c r="G424" s="311"/>
      <c r="H424" s="312">
        <f t="shared" ref="H424:H438" si="62">E424*G424</f>
        <v>0</v>
      </c>
      <c r="I424" s="313"/>
      <c r="J424" s="307"/>
      <c r="K424" s="52"/>
      <c r="L424" s="19"/>
      <c r="M424" s="20"/>
      <c r="N424" s="14"/>
      <c r="O424" s="15"/>
      <c r="P424" s="8"/>
    </row>
    <row r="425" spans="1:16" s="5" customFormat="1" x14ac:dyDescent="0.3">
      <c r="A425" s="305" t="s">
        <v>28</v>
      </c>
      <c r="B425" s="426"/>
      <c r="C425" s="390"/>
      <c r="D425" s="397" t="s">
        <v>383</v>
      </c>
      <c r="E425" s="427">
        <f>27+4</f>
        <v>31</v>
      </c>
      <c r="F425" s="392" t="s">
        <v>249</v>
      </c>
      <c r="G425" s="311"/>
      <c r="H425" s="312">
        <f>E425*G425</f>
        <v>0</v>
      </c>
      <c r="I425" s="313"/>
      <c r="J425" s="307"/>
      <c r="K425" s="38"/>
      <c r="L425" s="19"/>
      <c r="M425" s="20"/>
      <c r="N425" s="14"/>
      <c r="O425" s="15"/>
      <c r="P425" s="8"/>
    </row>
    <row r="426" spans="1:16" s="5" customFormat="1" x14ac:dyDescent="0.3">
      <c r="A426" s="305" t="s">
        <v>25</v>
      </c>
      <c r="B426" s="426"/>
      <c r="C426" s="390"/>
      <c r="D426" s="397" t="s">
        <v>384</v>
      </c>
      <c r="E426" s="427">
        <v>226</v>
      </c>
      <c r="F426" s="392" t="s">
        <v>46</v>
      </c>
      <c r="G426" s="311"/>
      <c r="H426" s="312">
        <f>E426*G426</f>
        <v>0</v>
      </c>
      <c r="I426" s="313"/>
      <c r="J426" s="307"/>
      <c r="K426" s="38"/>
      <c r="L426" s="19"/>
      <c r="M426" s="20"/>
      <c r="N426" s="14"/>
      <c r="O426" s="15"/>
      <c r="P426" s="8"/>
    </row>
    <row r="427" spans="1:16" s="5" customFormat="1" ht="15.75" customHeight="1" x14ac:dyDescent="0.3">
      <c r="A427" s="305" t="s">
        <v>28</v>
      </c>
      <c r="B427" s="426"/>
      <c r="C427" s="390"/>
      <c r="D427" s="397" t="s">
        <v>385</v>
      </c>
      <c r="E427" s="446">
        <v>2025</v>
      </c>
      <c r="F427" s="392" t="s">
        <v>249</v>
      </c>
      <c r="G427" s="311"/>
      <c r="H427" s="312">
        <f t="shared" si="62"/>
        <v>0</v>
      </c>
      <c r="I427" s="313"/>
      <c r="J427" s="307"/>
      <c r="K427" s="52"/>
      <c r="L427" s="19"/>
      <c r="M427" s="20"/>
      <c r="N427" s="14"/>
      <c r="O427" s="15"/>
      <c r="P427" s="8"/>
    </row>
    <row r="428" spans="1:16" s="5" customFormat="1" ht="15.75" customHeight="1" x14ac:dyDescent="0.3">
      <c r="A428" s="305" t="s">
        <v>30</v>
      </c>
      <c r="B428" s="426"/>
      <c r="C428" s="390"/>
      <c r="D428" s="397" t="s">
        <v>386</v>
      </c>
      <c r="E428" s="427">
        <f>29-9</f>
        <v>20</v>
      </c>
      <c r="F428" s="392" t="s">
        <v>249</v>
      </c>
      <c r="G428" s="311"/>
      <c r="H428" s="312">
        <f t="shared" si="62"/>
        <v>0</v>
      </c>
      <c r="I428" s="313"/>
      <c r="J428" s="307"/>
      <c r="K428" s="38"/>
      <c r="L428" s="19"/>
      <c r="M428" s="20"/>
      <c r="N428" s="14"/>
      <c r="O428" s="15"/>
      <c r="P428" s="8"/>
    </row>
    <row r="429" spans="1:16" s="5" customFormat="1" ht="15.75" customHeight="1" x14ac:dyDescent="0.3">
      <c r="A429" s="305" t="s">
        <v>32</v>
      </c>
      <c r="B429" s="426"/>
      <c r="C429" s="390"/>
      <c r="D429" s="397" t="s">
        <v>387</v>
      </c>
      <c r="E429" s="427">
        <v>101</v>
      </c>
      <c r="F429" s="392" t="s">
        <v>46</v>
      </c>
      <c r="G429" s="311"/>
      <c r="H429" s="312">
        <f>E429*G429</f>
        <v>0</v>
      </c>
      <c r="I429" s="313"/>
      <c r="J429" s="307"/>
      <c r="K429" s="38"/>
      <c r="L429" s="19"/>
      <c r="M429" s="20"/>
      <c r="N429" s="14"/>
      <c r="O429" s="15"/>
      <c r="P429" s="8"/>
    </row>
    <row r="430" spans="1:16" s="5" customFormat="1" ht="15.75" customHeight="1" x14ac:dyDescent="0.3">
      <c r="A430" s="305" t="s">
        <v>34</v>
      </c>
      <c r="B430" s="426"/>
      <c r="C430" s="390"/>
      <c r="D430" s="397" t="s">
        <v>388</v>
      </c>
      <c r="E430" s="427">
        <v>143</v>
      </c>
      <c r="F430" s="392" t="s">
        <v>249</v>
      </c>
      <c r="G430" s="311"/>
      <c r="H430" s="312">
        <f>E430*G430</f>
        <v>0</v>
      </c>
      <c r="I430" s="313"/>
      <c r="J430" s="307"/>
      <c r="K430" s="38"/>
      <c r="L430" s="19"/>
      <c r="M430" s="20"/>
      <c r="N430" s="14"/>
      <c r="O430" s="15"/>
      <c r="P430" s="22"/>
    </row>
    <row r="431" spans="1:16" s="5" customFormat="1" ht="15.75" customHeight="1" x14ac:dyDescent="0.3">
      <c r="A431" s="305" t="s">
        <v>36</v>
      </c>
      <c r="B431" s="426"/>
      <c r="C431" s="390"/>
      <c r="D431" s="397" t="s">
        <v>389</v>
      </c>
      <c r="E431" s="427">
        <f>2079-E432</f>
        <v>983</v>
      </c>
      <c r="F431" s="392" t="s">
        <v>46</v>
      </c>
      <c r="G431" s="311"/>
      <c r="H431" s="312">
        <f>E431*G431</f>
        <v>0</v>
      </c>
      <c r="I431" s="313"/>
      <c r="J431" s="307"/>
      <c r="K431" s="38"/>
      <c r="L431" s="19"/>
      <c r="M431" s="20"/>
      <c r="N431" s="14"/>
      <c r="O431" s="15"/>
      <c r="P431" s="22"/>
    </row>
    <row r="432" spans="1:16" s="5" customFormat="1" ht="15.75" customHeight="1" x14ac:dyDescent="0.3">
      <c r="A432" s="305" t="s">
        <v>39</v>
      </c>
      <c r="B432" s="426"/>
      <c r="C432" s="390"/>
      <c r="D432" s="397" t="s">
        <v>390</v>
      </c>
      <c r="E432" s="427">
        <v>1096</v>
      </c>
      <c r="F432" s="392" t="s">
        <v>46</v>
      </c>
      <c r="G432" s="311"/>
      <c r="H432" s="312">
        <f>E432*G432</f>
        <v>0</v>
      </c>
      <c r="I432" s="313"/>
      <c r="J432" s="307"/>
      <c r="K432" s="38"/>
      <c r="L432" s="19"/>
      <c r="M432" s="20"/>
      <c r="N432" s="14"/>
      <c r="O432" s="15"/>
      <c r="P432" s="22"/>
    </row>
    <row r="433" spans="1:16" s="5" customFormat="1" x14ac:dyDescent="0.3">
      <c r="A433" s="305" t="s">
        <v>42</v>
      </c>
      <c r="B433" s="426"/>
      <c r="C433" s="390"/>
      <c r="D433" s="397" t="s">
        <v>391</v>
      </c>
      <c r="E433" s="427">
        <v>1</v>
      </c>
      <c r="F433" s="392" t="s">
        <v>100</v>
      </c>
      <c r="G433" s="311"/>
      <c r="H433" s="312">
        <f t="shared" si="62"/>
        <v>0</v>
      </c>
      <c r="I433" s="313"/>
      <c r="J433" s="307"/>
      <c r="K433" s="38"/>
      <c r="L433" s="19"/>
      <c r="M433" s="20"/>
      <c r="N433" s="14"/>
      <c r="O433" s="15"/>
      <c r="P433" s="22"/>
    </row>
    <row r="434" spans="1:16" s="5" customFormat="1" x14ac:dyDescent="0.3">
      <c r="A434" s="305" t="s">
        <v>44</v>
      </c>
      <c r="B434" s="426"/>
      <c r="C434" s="390"/>
      <c r="D434" s="397" t="s">
        <v>392</v>
      </c>
      <c r="E434" s="427">
        <v>1</v>
      </c>
      <c r="F434" s="392" t="s">
        <v>100</v>
      </c>
      <c r="G434" s="311"/>
      <c r="H434" s="312">
        <f t="shared" si="62"/>
        <v>0</v>
      </c>
      <c r="I434" s="313"/>
      <c r="J434" s="307"/>
      <c r="K434" s="38"/>
      <c r="L434" s="19"/>
      <c r="M434" s="20"/>
      <c r="N434" s="14"/>
      <c r="O434" s="15"/>
      <c r="P434" s="22"/>
    </row>
    <row r="435" spans="1:16" s="5" customFormat="1" ht="27.6" x14ac:dyDescent="0.3">
      <c r="A435" s="305" t="s">
        <v>46</v>
      </c>
      <c r="B435" s="426"/>
      <c r="C435" s="390"/>
      <c r="D435" s="397" t="s">
        <v>393</v>
      </c>
      <c r="E435" s="427">
        <v>1</v>
      </c>
      <c r="F435" s="392" t="s">
        <v>100</v>
      </c>
      <c r="G435" s="311"/>
      <c r="H435" s="312">
        <f t="shared" si="62"/>
        <v>0</v>
      </c>
      <c r="I435" s="313"/>
      <c r="J435" s="307"/>
      <c r="K435" s="38"/>
      <c r="L435" s="19"/>
      <c r="M435" s="20"/>
      <c r="N435" s="14"/>
      <c r="O435" s="15"/>
      <c r="P435" s="22"/>
    </row>
    <row r="436" spans="1:16" s="5" customFormat="1" x14ac:dyDescent="0.3">
      <c r="A436" s="305" t="s">
        <v>48</v>
      </c>
      <c r="B436" s="426"/>
      <c r="C436" s="390"/>
      <c r="D436" s="397" t="s">
        <v>394</v>
      </c>
      <c r="E436" s="427">
        <v>1</v>
      </c>
      <c r="F436" s="392" t="s">
        <v>100</v>
      </c>
      <c r="G436" s="311"/>
      <c r="H436" s="312">
        <f t="shared" si="62"/>
        <v>0</v>
      </c>
      <c r="I436" s="313"/>
      <c r="J436" s="307"/>
      <c r="K436" s="38"/>
      <c r="L436" s="19"/>
      <c r="M436" s="20"/>
      <c r="N436" s="14"/>
      <c r="O436" s="15"/>
      <c r="P436" s="22"/>
    </row>
    <row r="437" spans="1:16" s="5" customFormat="1" ht="27.6" x14ac:dyDescent="0.3">
      <c r="A437" s="305" t="s">
        <v>50</v>
      </c>
      <c r="B437" s="426"/>
      <c r="C437" s="390"/>
      <c r="D437" s="397" t="s">
        <v>395</v>
      </c>
      <c r="E437" s="427">
        <v>1</v>
      </c>
      <c r="F437" s="392" t="s">
        <v>100</v>
      </c>
      <c r="G437" s="311"/>
      <c r="H437" s="312">
        <f t="shared" si="62"/>
        <v>0</v>
      </c>
      <c r="I437" s="313"/>
      <c r="J437" s="307"/>
      <c r="K437" s="38"/>
      <c r="L437" s="19"/>
      <c r="M437" s="20"/>
      <c r="N437" s="14"/>
      <c r="O437" s="15"/>
      <c r="P437" s="22"/>
    </row>
    <row r="438" spans="1:16" s="5" customFormat="1" ht="27.6" x14ac:dyDescent="0.3">
      <c r="A438" s="305" t="s">
        <v>52</v>
      </c>
      <c r="B438" s="426"/>
      <c r="C438" s="390"/>
      <c r="D438" s="397" t="s">
        <v>396</v>
      </c>
      <c r="E438" s="427">
        <v>1</v>
      </c>
      <c r="F438" s="392" t="s">
        <v>100</v>
      </c>
      <c r="G438" s="311"/>
      <c r="H438" s="312">
        <f t="shared" si="62"/>
        <v>0</v>
      </c>
      <c r="I438" s="313"/>
      <c r="J438" s="307"/>
      <c r="K438" s="38"/>
      <c r="L438" s="19"/>
      <c r="M438" s="20"/>
      <c r="N438" s="14"/>
      <c r="O438" s="15"/>
      <c r="P438" s="22"/>
    </row>
    <row r="439" spans="1:16" s="5" customFormat="1" ht="8.6999999999999993" customHeight="1" x14ac:dyDescent="0.3">
      <c r="A439" s="305"/>
      <c r="B439" s="426"/>
      <c r="C439" s="390"/>
      <c r="D439" s="397"/>
      <c r="E439" s="427"/>
      <c r="F439" s="392"/>
      <c r="G439" s="311"/>
      <c r="H439" s="312"/>
      <c r="I439" s="313"/>
      <c r="J439" s="307"/>
      <c r="K439" s="38"/>
      <c r="L439" s="19"/>
      <c r="M439" s="20"/>
      <c r="N439" s="14"/>
      <c r="O439" s="15"/>
      <c r="P439" s="8"/>
    </row>
    <row r="440" spans="1:16" s="5" customFormat="1" ht="15.75" customHeight="1" x14ac:dyDescent="0.3">
      <c r="A440" s="305"/>
      <c r="B440" s="426"/>
      <c r="C440" s="390"/>
      <c r="D440" s="397" t="s">
        <v>397</v>
      </c>
      <c r="E440" s="427"/>
      <c r="F440" s="392"/>
      <c r="G440" s="311"/>
      <c r="H440" s="312"/>
      <c r="I440" s="313"/>
      <c r="J440" s="307"/>
      <c r="K440" s="38"/>
      <c r="L440" s="19"/>
      <c r="M440" s="20"/>
      <c r="N440" s="50"/>
      <c r="O440" s="51"/>
      <c r="P440" s="8"/>
    </row>
    <row r="441" spans="1:16" s="5" customFormat="1" ht="15.75" customHeight="1" x14ac:dyDescent="0.3">
      <c r="A441" s="305" t="s">
        <v>54</v>
      </c>
      <c r="B441" s="426"/>
      <c r="C441" s="390"/>
      <c r="D441" s="397" t="s">
        <v>398</v>
      </c>
      <c r="E441" s="427">
        <v>4</v>
      </c>
      <c r="F441" s="392" t="s">
        <v>249</v>
      </c>
      <c r="G441" s="311"/>
      <c r="H441" s="312">
        <f t="shared" ref="H441:H448" si="63">E441*G441</f>
        <v>0</v>
      </c>
      <c r="I441" s="313"/>
      <c r="J441" s="307"/>
      <c r="K441" s="38"/>
      <c r="L441" s="19"/>
      <c r="M441" s="20"/>
      <c r="N441" s="50"/>
      <c r="O441" s="15"/>
      <c r="P441" s="8"/>
    </row>
    <row r="442" spans="1:16" s="5" customFormat="1" ht="15.75" customHeight="1" x14ac:dyDescent="0.3">
      <c r="A442" s="305" t="s">
        <v>56</v>
      </c>
      <c r="B442" s="426"/>
      <c r="C442" s="390"/>
      <c r="D442" s="397" t="s">
        <v>399</v>
      </c>
      <c r="E442" s="427">
        <v>2</v>
      </c>
      <c r="F442" s="392" t="s">
        <v>249</v>
      </c>
      <c r="G442" s="311"/>
      <c r="H442" s="312">
        <f>E442*G442</f>
        <v>0</v>
      </c>
      <c r="I442" s="313"/>
      <c r="J442" s="307"/>
      <c r="K442" s="38"/>
      <c r="L442" s="19"/>
      <c r="M442" s="20"/>
      <c r="N442" s="50"/>
      <c r="O442" s="15"/>
      <c r="P442" s="8"/>
    </row>
    <row r="443" spans="1:16" s="5" customFormat="1" ht="15.75" customHeight="1" x14ac:dyDescent="0.3">
      <c r="A443" s="305" t="s">
        <v>58</v>
      </c>
      <c r="B443" s="426"/>
      <c r="C443" s="390"/>
      <c r="D443" s="397" t="s">
        <v>400</v>
      </c>
      <c r="E443" s="427">
        <v>4</v>
      </c>
      <c r="F443" s="392" t="s">
        <v>249</v>
      </c>
      <c r="G443" s="311"/>
      <c r="H443" s="312">
        <f t="shared" si="63"/>
        <v>0</v>
      </c>
      <c r="I443" s="313"/>
      <c r="J443" s="307"/>
      <c r="K443" s="38"/>
      <c r="L443" s="19"/>
      <c r="M443" s="20"/>
      <c r="N443" s="50"/>
      <c r="O443" s="15"/>
      <c r="P443" s="8"/>
    </row>
    <row r="444" spans="1:16" s="5" customFormat="1" ht="15.75" customHeight="1" x14ac:dyDescent="0.3">
      <c r="A444" s="305" t="s">
        <v>60</v>
      </c>
      <c r="B444" s="426"/>
      <c r="C444" s="390"/>
      <c r="D444" s="397" t="s">
        <v>401</v>
      </c>
      <c r="E444" s="427">
        <v>2</v>
      </c>
      <c r="F444" s="392" t="s">
        <v>249</v>
      </c>
      <c r="G444" s="311"/>
      <c r="H444" s="312">
        <f>E444*G444</f>
        <v>0</v>
      </c>
      <c r="I444" s="313"/>
      <c r="J444" s="307"/>
      <c r="K444" s="38"/>
      <c r="L444" s="19"/>
      <c r="M444" s="20"/>
      <c r="N444" s="50"/>
      <c r="O444" s="15"/>
      <c r="P444" s="8"/>
    </row>
    <row r="445" spans="1:16" s="5" customFormat="1" ht="15.75" customHeight="1" x14ac:dyDescent="0.3">
      <c r="A445" s="305" t="s">
        <v>62</v>
      </c>
      <c r="B445" s="426"/>
      <c r="C445" s="390"/>
      <c r="D445" s="397" t="s">
        <v>402</v>
      </c>
      <c r="E445" s="427">
        <v>1</v>
      </c>
      <c r="F445" s="392" t="s">
        <v>249</v>
      </c>
      <c r="G445" s="311"/>
      <c r="H445" s="312">
        <f t="shared" si="63"/>
        <v>0</v>
      </c>
      <c r="I445" s="313"/>
      <c r="J445" s="307"/>
      <c r="K445" s="38"/>
      <c r="L445" s="19"/>
      <c r="M445" s="20"/>
      <c r="N445" s="50"/>
      <c r="O445" s="15"/>
      <c r="P445" s="8"/>
    </row>
    <row r="446" spans="1:16" s="5" customFormat="1" ht="15.75" customHeight="1" x14ac:dyDescent="0.3">
      <c r="A446" s="305" t="s">
        <v>64</v>
      </c>
      <c r="B446" s="426"/>
      <c r="C446" s="390"/>
      <c r="D446" s="397" t="s">
        <v>403</v>
      </c>
      <c r="E446" s="427">
        <v>1</v>
      </c>
      <c r="F446" s="392" t="s">
        <v>249</v>
      </c>
      <c r="G446" s="311"/>
      <c r="H446" s="312">
        <f t="shared" si="63"/>
        <v>0</v>
      </c>
      <c r="I446" s="313"/>
      <c r="J446" s="307"/>
      <c r="K446" s="38"/>
      <c r="L446" s="19"/>
      <c r="M446" s="20"/>
      <c r="N446" s="50"/>
      <c r="O446" s="15"/>
      <c r="P446" s="8"/>
    </row>
    <row r="447" spans="1:16" s="5" customFormat="1" ht="15.75" customHeight="1" x14ac:dyDescent="0.3">
      <c r="A447" s="305" t="s">
        <v>66</v>
      </c>
      <c r="B447" s="426"/>
      <c r="C447" s="390"/>
      <c r="D447" s="397" t="s">
        <v>404</v>
      </c>
      <c r="E447" s="427">
        <v>1</v>
      </c>
      <c r="F447" s="392" t="s">
        <v>249</v>
      </c>
      <c r="G447" s="311"/>
      <c r="H447" s="312">
        <f t="shared" si="63"/>
        <v>0</v>
      </c>
      <c r="I447" s="313"/>
      <c r="J447" s="307"/>
      <c r="K447" s="38"/>
      <c r="L447" s="19"/>
      <c r="M447" s="20"/>
      <c r="N447" s="50"/>
      <c r="O447" s="15"/>
      <c r="P447" s="8"/>
    </row>
    <row r="448" spans="1:16" s="5" customFormat="1" ht="15.75" customHeight="1" x14ac:dyDescent="0.3">
      <c r="A448" s="305" t="s">
        <v>68</v>
      </c>
      <c r="B448" s="426"/>
      <c r="C448" s="390"/>
      <c r="D448" s="397" t="s">
        <v>405</v>
      </c>
      <c r="E448" s="427">
        <v>1</v>
      </c>
      <c r="F448" s="392" t="s">
        <v>249</v>
      </c>
      <c r="G448" s="311"/>
      <c r="H448" s="312">
        <f t="shared" si="63"/>
        <v>0</v>
      </c>
      <c r="I448" s="313"/>
      <c r="J448" s="307"/>
      <c r="K448" s="38"/>
      <c r="L448" s="19"/>
      <c r="M448" s="20"/>
      <c r="N448" s="50"/>
      <c r="O448" s="15"/>
      <c r="P448" s="8"/>
    </row>
    <row r="449" spans="1:16" s="5" customFormat="1" ht="7.5" customHeight="1" x14ac:dyDescent="0.3">
      <c r="A449" s="305"/>
      <c r="B449" s="426"/>
      <c r="C449" s="390"/>
      <c r="D449" s="397"/>
      <c r="E449" s="427"/>
      <c r="F449" s="392"/>
      <c r="G449" s="311"/>
      <c r="H449" s="312"/>
      <c r="I449" s="313"/>
      <c r="J449" s="307"/>
      <c r="K449" s="38"/>
      <c r="L449" s="19"/>
      <c r="M449" s="20"/>
      <c r="N449" s="14"/>
      <c r="O449" s="15"/>
      <c r="P449" s="8"/>
    </row>
    <row r="450" spans="1:16" s="5" customFormat="1" ht="15.75" customHeight="1" x14ac:dyDescent="0.3">
      <c r="A450" s="305"/>
      <c r="B450" s="426"/>
      <c r="C450" s="390"/>
      <c r="D450" s="397" t="s">
        <v>406</v>
      </c>
      <c r="E450" s="427"/>
      <c r="F450" s="392"/>
      <c r="G450" s="311"/>
      <c r="H450" s="312"/>
      <c r="I450" s="313"/>
      <c r="J450" s="307"/>
      <c r="K450" s="38"/>
      <c r="L450" s="19"/>
      <c r="M450" s="20"/>
      <c r="N450" s="14"/>
      <c r="O450" s="15"/>
      <c r="P450" s="8"/>
    </row>
    <row r="451" spans="1:16" s="5" customFormat="1" ht="15.75" customHeight="1" x14ac:dyDescent="0.3">
      <c r="A451" s="305" t="s">
        <v>71</v>
      </c>
      <c r="B451" s="426"/>
      <c r="C451" s="390"/>
      <c r="D451" s="397" t="s">
        <v>407</v>
      </c>
      <c r="E451" s="427">
        <v>1</v>
      </c>
      <c r="F451" s="392" t="s">
        <v>249</v>
      </c>
      <c r="G451" s="311"/>
      <c r="H451" s="312">
        <f>E451*G451</f>
        <v>0</v>
      </c>
      <c r="I451" s="313"/>
      <c r="J451" s="307"/>
      <c r="K451" s="38"/>
      <c r="L451" s="19"/>
      <c r="M451" s="20"/>
      <c r="N451" s="50"/>
      <c r="O451" s="15"/>
      <c r="P451" s="8"/>
    </row>
    <row r="452" spans="1:16" s="5" customFormat="1" ht="10.5" customHeight="1" x14ac:dyDescent="0.3">
      <c r="A452" s="305"/>
      <c r="B452" s="426"/>
      <c r="C452" s="390"/>
      <c r="D452" s="397"/>
      <c r="E452" s="427"/>
      <c r="F452" s="392"/>
      <c r="G452" s="311"/>
      <c r="H452" s="312"/>
      <c r="I452" s="313"/>
      <c r="J452" s="307"/>
      <c r="K452" s="38"/>
      <c r="L452" s="19"/>
      <c r="M452" s="20"/>
      <c r="N452" s="14"/>
      <c r="O452" s="15"/>
      <c r="P452" s="8"/>
    </row>
    <row r="453" spans="1:16" s="5" customFormat="1" ht="15.75" customHeight="1" x14ac:dyDescent="0.3">
      <c r="A453" s="305"/>
      <c r="B453" s="426"/>
      <c r="C453" s="390"/>
      <c r="D453" s="397" t="s">
        <v>408</v>
      </c>
      <c r="E453" s="427"/>
      <c r="F453" s="392"/>
      <c r="G453" s="311"/>
      <c r="H453" s="312"/>
      <c r="I453" s="313"/>
      <c r="J453" s="307"/>
      <c r="K453" s="38"/>
      <c r="L453" s="19"/>
      <c r="M453" s="20"/>
      <c r="N453" s="14"/>
      <c r="O453" s="15"/>
      <c r="P453" s="8"/>
    </row>
    <row r="454" spans="1:16" s="5" customFormat="1" ht="15.75" customHeight="1" x14ac:dyDescent="0.3">
      <c r="A454" s="305" t="s">
        <v>73</v>
      </c>
      <c r="B454" s="426"/>
      <c r="C454" s="390"/>
      <c r="D454" s="397" t="s">
        <v>409</v>
      </c>
      <c r="E454" s="427">
        <v>2</v>
      </c>
      <c r="F454" s="392" t="s">
        <v>249</v>
      </c>
      <c r="G454" s="311"/>
      <c r="H454" s="312">
        <f>E454*G454</f>
        <v>0</v>
      </c>
      <c r="I454" s="313"/>
      <c r="J454" s="307"/>
      <c r="K454" s="38"/>
      <c r="L454" s="19"/>
      <c r="M454" s="20"/>
      <c r="N454" s="50"/>
      <c r="O454" s="15"/>
      <c r="P454" s="8"/>
    </row>
    <row r="455" spans="1:16" s="5" customFormat="1" x14ac:dyDescent="0.3">
      <c r="A455" s="305" t="s">
        <v>75</v>
      </c>
      <c r="B455" s="426"/>
      <c r="C455" s="390"/>
      <c r="D455" s="397" t="s">
        <v>410</v>
      </c>
      <c r="E455" s="427">
        <v>1</v>
      </c>
      <c r="F455" s="392" t="s">
        <v>100</v>
      </c>
      <c r="G455" s="311"/>
      <c r="H455" s="312">
        <f>E455*G455</f>
        <v>0</v>
      </c>
      <c r="I455" s="313"/>
      <c r="J455" s="307"/>
      <c r="K455" s="38"/>
      <c r="L455" s="19"/>
      <c r="M455" s="20"/>
      <c r="N455" s="50"/>
      <c r="O455" s="15"/>
      <c r="P455" s="8"/>
    </row>
    <row r="456" spans="1:16" s="5" customFormat="1" ht="15.75" customHeight="1" x14ac:dyDescent="0.3">
      <c r="A456" s="305" t="s">
        <v>77</v>
      </c>
      <c r="B456" s="426"/>
      <c r="C456" s="390"/>
      <c r="D456" s="397" t="s">
        <v>411</v>
      </c>
      <c r="E456" s="427">
        <v>4</v>
      </c>
      <c r="F456" s="392" t="s">
        <v>249</v>
      </c>
      <c r="G456" s="311"/>
      <c r="H456" s="312">
        <f>E456*G456</f>
        <v>0</v>
      </c>
      <c r="I456" s="313"/>
      <c r="J456" s="307"/>
      <c r="K456" s="38"/>
      <c r="L456" s="19"/>
      <c r="M456" s="20"/>
      <c r="N456" s="50"/>
      <c r="O456" s="15"/>
      <c r="P456" s="8"/>
    </row>
    <row r="457" spans="1:16" s="5" customFormat="1" x14ac:dyDescent="0.3">
      <c r="A457" s="305"/>
      <c r="B457" s="426"/>
      <c r="C457" s="390"/>
      <c r="D457" s="397"/>
      <c r="E457" s="427"/>
      <c r="F457" s="392"/>
      <c r="G457" s="311"/>
      <c r="H457" s="312"/>
      <c r="I457" s="313"/>
      <c r="J457" s="307"/>
      <c r="K457" s="38"/>
      <c r="L457" s="19"/>
      <c r="M457" s="20"/>
      <c r="N457" s="14"/>
      <c r="O457" s="15"/>
      <c r="P457" s="8"/>
    </row>
    <row r="458" spans="1:16" s="5" customFormat="1" x14ac:dyDescent="0.3">
      <c r="A458" s="305" t="s">
        <v>80</v>
      </c>
      <c r="B458" s="426"/>
      <c r="C458" s="390"/>
      <c r="D458" s="397" t="s">
        <v>412</v>
      </c>
      <c r="E458" s="427">
        <v>1</v>
      </c>
      <c r="F458" s="392" t="s">
        <v>100</v>
      </c>
      <c r="G458" s="311"/>
      <c r="H458" s="312">
        <f>E458*G458</f>
        <v>0</v>
      </c>
      <c r="I458" s="313"/>
      <c r="J458" s="307"/>
      <c r="K458" s="38"/>
      <c r="L458" s="19"/>
      <c r="M458" s="20"/>
      <c r="N458" s="14"/>
      <c r="O458" s="15"/>
      <c r="P458" s="8"/>
    </row>
    <row r="459" spans="1:16" s="5" customFormat="1" x14ac:dyDescent="0.3">
      <c r="A459" s="305" t="s">
        <v>81</v>
      </c>
      <c r="B459" s="426"/>
      <c r="C459" s="390"/>
      <c r="D459" s="397" t="s">
        <v>413</v>
      </c>
      <c r="E459" s="427">
        <v>1</v>
      </c>
      <c r="F459" s="392" t="s">
        <v>100</v>
      </c>
      <c r="G459" s="311"/>
      <c r="H459" s="312">
        <f>E459*G459</f>
        <v>0</v>
      </c>
      <c r="I459" s="313"/>
      <c r="J459" s="307"/>
      <c r="K459" s="38"/>
      <c r="L459" s="19"/>
      <c r="M459" s="53"/>
      <c r="N459" s="50"/>
      <c r="O459" s="51"/>
      <c r="P459" s="8"/>
    </row>
    <row r="460" spans="1:16" s="5" customFormat="1" x14ac:dyDescent="0.3">
      <c r="A460" s="305"/>
      <c r="B460" s="426"/>
      <c r="C460" s="390"/>
      <c r="D460" s="397"/>
      <c r="E460" s="427"/>
      <c r="F460" s="392"/>
      <c r="G460" s="311"/>
      <c r="H460" s="312"/>
      <c r="I460" s="313"/>
      <c r="J460" s="307"/>
      <c r="K460" s="38"/>
      <c r="L460" s="19"/>
      <c r="M460" s="20"/>
      <c r="N460" s="14"/>
      <c r="O460" s="15"/>
      <c r="P460" s="8"/>
    </row>
    <row r="461" spans="1:16" s="5" customFormat="1" x14ac:dyDescent="0.3">
      <c r="A461" s="305"/>
      <c r="B461" s="426"/>
      <c r="C461" s="390"/>
      <c r="D461" s="397" t="s">
        <v>414</v>
      </c>
      <c r="E461" s="427"/>
      <c r="F461" s="392"/>
      <c r="G461" s="311"/>
      <c r="H461" s="312"/>
      <c r="I461" s="313"/>
      <c r="J461" s="307"/>
      <c r="K461" s="38"/>
      <c r="L461" s="19"/>
      <c r="M461" s="20"/>
      <c r="N461" s="14"/>
      <c r="O461" s="15"/>
      <c r="P461" s="8"/>
    </row>
    <row r="462" spans="1:16" s="5" customFormat="1" ht="27.6" x14ac:dyDescent="0.3">
      <c r="A462" s="305" t="s">
        <v>83</v>
      </c>
      <c r="B462" s="426"/>
      <c r="C462" s="390"/>
      <c r="D462" s="397" t="s">
        <v>415</v>
      </c>
      <c r="E462" s="427">
        <v>1</v>
      </c>
      <c r="F462" s="392" t="s">
        <v>100</v>
      </c>
      <c r="G462" s="311"/>
      <c r="H462" s="312">
        <f>E462*G462</f>
        <v>0</v>
      </c>
      <c r="I462" s="313"/>
      <c r="J462" s="307"/>
      <c r="K462" s="38"/>
      <c r="L462" s="19"/>
      <c r="M462" s="20"/>
      <c r="N462" s="14"/>
      <c r="O462" s="15"/>
      <c r="P462" s="8"/>
    </row>
    <row r="463" spans="1:16" s="5" customFormat="1" x14ac:dyDescent="0.3">
      <c r="A463" s="305"/>
      <c r="B463" s="426"/>
      <c r="C463" s="390"/>
      <c r="D463" s="397"/>
      <c r="E463" s="427"/>
      <c r="F463" s="392"/>
      <c r="G463" s="311"/>
      <c r="H463" s="312"/>
      <c r="I463" s="313"/>
      <c r="J463" s="307"/>
      <c r="K463" s="38"/>
      <c r="L463" s="19"/>
      <c r="M463" s="20"/>
      <c r="N463" s="14"/>
      <c r="O463" s="15"/>
      <c r="P463" s="8"/>
    </row>
    <row r="464" spans="1:16" s="5" customFormat="1" ht="14.25" customHeight="1" x14ac:dyDescent="0.3">
      <c r="A464" s="305">
        <v>4.0199999999999996</v>
      </c>
      <c r="B464" s="306"/>
      <c r="C464" s="445" t="s">
        <v>416</v>
      </c>
      <c r="D464" s="397"/>
      <c r="E464" s="309"/>
      <c r="F464" s="310"/>
      <c r="G464" s="311"/>
      <c r="H464" s="312"/>
      <c r="I464" s="313"/>
      <c r="J464" s="307"/>
      <c r="K464" s="16"/>
      <c r="L464" s="17"/>
      <c r="M464" s="20"/>
      <c r="N464" s="14"/>
      <c r="O464" s="15"/>
      <c r="P464" s="8"/>
    </row>
    <row r="465" spans="1:16" s="5" customFormat="1" ht="14.25" customHeight="1" x14ac:dyDescent="0.3">
      <c r="A465" s="319"/>
      <c r="B465" s="306"/>
      <c r="C465" s="307"/>
      <c r="D465" s="308" t="s">
        <v>417</v>
      </c>
      <c r="E465" s="309"/>
      <c r="F465" s="310"/>
      <c r="G465" s="311"/>
      <c r="H465" s="312"/>
      <c r="I465" s="313"/>
      <c r="J465" s="307"/>
      <c r="K465" s="16"/>
      <c r="L465" s="17"/>
      <c r="M465" s="20"/>
      <c r="N465" s="14"/>
      <c r="O465" s="15"/>
      <c r="P465" s="8"/>
    </row>
    <row r="466" spans="1:16" s="5" customFormat="1" ht="14.25" customHeight="1" x14ac:dyDescent="0.3">
      <c r="A466" s="319" t="s">
        <v>19</v>
      </c>
      <c r="B466" s="306"/>
      <c r="C466" s="307"/>
      <c r="D466" s="308" t="s">
        <v>418</v>
      </c>
      <c r="E466" s="309">
        <v>2</v>
      </c>
      <c r="F466" s="310" t="s">
        <v>249</v>
      </c>
      <c r="G466" s="311"/>
      <c r="H466" s="312">
        <f t="shared" ref="H466:H474" si="64">E466*G466</f>
        <v>0</v>
      </c>
      <c r="I466" s="313"/>
      <c r="J466" s="307"/>
      <c r="K466" s="16"/>
      <c r="L466" s="17"/>
      <c r="M466" s="20"/>
      <c r="N466" s="50"/>
      <c r="O466" s="15"/>
      <c r="P466" s="8"/>
    </row>
    <row r="467" spans="1:16" s="5" customFormat="1" ht="14.25" customHeight="1" x14ac:dyDescent="0.3">
      <c r="A467" s="319" t="s">
        <v>22</v>
      </c>
      <c r="B467" s="306"/>
      <c r="C467" s="307"/>
      <c r="D467" s="308" t="s">
        <v>419</v>
      </c>
      <c r="E467" s="309">
        <v>3</v>
      </c>
      <c r="F467" s="310" t="s">
        <v>249</v>
      </c>
      <c r="G467" s="311"/>
      <c r="H467" s="312">
        <f>E467*G467</f>
        <v>0</v>
      </c>
      <c r="I467" s="313" t="s">
        <v>420</v>
      </c>
      <c r="J467" s="307"/>
      <c r="K467" s="16"/>
      <c r="L467" s="17"/>
      <c r="M467" s="20"/>
      <c r="N467" s="50"/>
      <c r="O467" s="15"/>
      <c r="P467" s="8"/>
    </row>
    <row r="468" spans="1:16" s="5" customFormat="1" ht="14.25" customHeight="1" x14ac:dyDescent="0.3">
      <c r="A468" s="319" t="s">
        <v>25</v>
      </c>
      <c r="B468" s="306"/>
      <c r="C468" s="307"/>
      <c r="D468" s="308" t="s">
        <v>421</v>
      </c>
      <c r="E468" s="309">
        <v>7</v>
      </c>
      <c r="F468" s="310" t="s">
        <v>249</v>
      </c>
      <c r="G468" s="311"/>
      <c r="H468" s="312">
        <f t="shared" si="64"/>
        <v>0</v>
      </c>
      <c r="I468" s="313" t="s">
        <v>420</v>
      </c>
      <c r="J468" s="307"/>
      <c r="K468" s="16"/>
      <c r="L468" s="17"/>
      <c r="M468" s="20"/>
      <c r="N468" s="50"/>
      <c r="O468" s="15"/>
      <c r="P468" s="8"/>
    </row>
    <row r="469" spans="1:16" s="5" customFormat="1" ht="14.25" customHeight="1" x14ac:dyDescent="0.3">
      <c r="A469" s="319" t="s">
        <v>28</v>
      </c>
      <c r="B469" s="306"/>
      <c r="C469" s="307"/>
      <c r="D469" s="308" t="s">
        <v>422</v>
      </c>
      <c r="E469" s="309">
        <v>7</v>
      </c>
      <c r="F469" s="310" t="s">
        <v>249</v>
      </c>
      <c r="G469" s="311"/>
      <c r="H469" s="312">
        <f t="shared" si="64"/>
        <v>0</v>
      </c>
      <c r="I469" s="313"/>
      <c r="J469" s="307"/>
      <c r="K469" s="16"/>
      <c r="L469" s="17"/>
      <c r="M469" s="20"/>
      <c r="N469" s="50"/>
      <c r="O469" s="51"/>
      <c r="P469" s="8"/>
    </row>
    <row r="470" spans="1:16" s="5" customFormat="1" ht="14.25" customHeight="1" x14ac:dyDescent="0.3">
      <c r="A470" s="319" t="s">
        <v>30</v>
      </c>
      <c r="B470" s="306"/>
      <c r="C470" s="307"/>
      <c r="D470" s="308" t="s">
        <v>423</v>
      </c>
      <c r="E470" s="309">
        <v>1</v>
      </c>
      <c r="F470" s="310" t="s">
        <v>249</v>
      </c>
      <c r="G470" s="311"/>
      <c r="H470" s="312">
        <f t="shared" si="64"/>
        <v>0</v>
      </c>
      <c r="I470" s="313" t="s">
        <v>420</v>
      </c>
      <c r="J470" s="307"/>
      <c r="K470" s="16"/>
      <c r="L470" s="17"/>
      <c r="M470" s="20"/>
      <c r="N470" s="50"/>
      <c r="O470" s="15"/>
      <c r="P470" s="8"/>
    </row>
    <row r="471" spans="1:16" s="5" customFormat="1" ht="14.25" customHeight="1" x14ac:dyDescent="0.3">
      <c r="A471" s="319" t="s">
        <v>32</v>
      </c>
      <c r="B471" s="306"/>
      <c r="C471" s="307"/>
      <c r="D471" s="308" t="s">
        <v>424</v>
      </c>
      <c r="E471" s="309">
        <v>4</v>
      </c>
      <c r="F471" s="310" t="s">
        <v>249</v>
      </c>
      <c r="G471" s="311"/>
      <c r="H471" s="312">
        <f t="shared" si="64"/>
        <v>0</v>
      </c>
      <c r="I471" s="313"/>
      <c r="J471" s="307"/>
      <c r="K471" s="16"/>
      <c r="L471" s="17"/>
      <c r="M471" s="20"/>
      <c r="N471" s="50"/>
      <c r="O471" s="15"/>
      <c r="P471" s="8"/>
    </row>
    <row r="472" spans="1:16" s="5" customFormat="1" ht="27.6" x14ac:dyDescent="0.3">
      <c r="A472" s="319" t="s">
        <v>34</v>
      </c>
      <c r="B472" s="306"/>
      <c r="C472" s="307"/>
      <c r="D472" s="308" t="s">
        <v>425</v>
      </c>
      <c r="E472" s="309">
        <v>1</v>
      </c>
      <c r="F472" s="310" t="s">
        <v>100</v>
      </c>
      <c r="G472" s="311"/>
      <c r="H472" s="312">
        <f t="shared" si="64"/>
        <v>0</v>
      </c>
      <c r="I472" s="313"/>
      <c r="J472" s="307"/>
      <c r="K472" s="16"/>
      <c r="L472" s="17"/>
      <c r="M472" s="20"/>
      <c r="N472" s="50"/>
      <c r="O472" s="15"/>
      <c r="P472" s="8"/>
    </row>
    <row r="473" spans="1:16" s="5" customFormat="1" x14ac:dyDescent="0.3">
      <c r="A473" s="319" t="s">
        <v>36</v>
      </c>
      <c r="B473" s="306"/>
      <c r="C473" s="307"/>
      <c r="D473" s="308" t="s">
        <v>426</v>
      </c>
      <c r="E473" s="309">
        <v>1</v>
      </c>
      <c r="F473" s="310" t="s">
        <v>100</v>
      </c>
      <c r="G473" s="311"/>
      <c r="H473" s="312">
        <f t="shared" si="64"/>
        <v>0</v>
      </c>
      <c r="I473" s="313"/>
      <c r="J473" s="307"/>
      <c r="K473" s="16"/>
      <c r="L473" s="17"/>
      <c r="M473" s="20"/>
      <c r="N473" s="50"/>
      <c r="O473" s="15"/>
      <c r="P473" s="8"/>
    </row>
    <row r="474" spans="1:16" customFormat="1" ht="14.4" x14ac:dyDescent="0.3">
      <c r="A474" s="319" t="s">
        <v>39</v>
      </c>
      <c r="B474" s="306"/>
      <c r="C474" s="307"/>
      <c r="D474" s="308" t="s">
        <v>427</v>
      </c>
      <c r="E474" s="309">
        <v>1</v>
      </c>
      <c r="F474" s="310" t="s">
        <v>100</v>
      </c>
      <c r="G474" s="447"/>
      <c r="H474" s="448">
        <f t="shared" si="64"/>
        <v>0</v>
      </c>
      <c r="I474" s="313"/>
      <c r="J474" s="449"/>
    </row>
    <row r="475" spans="1:16" s="5" customFormat="1" x14ac:dyDescent="0.3">
      <c r="A475" s="319"/>
      <c r="B475" s="306"/>
      <c r="C475" s="307"/>
      <c r="D475" s="308"/>
      <c r="E475" s="309"/>
      <c r="F475" s="310"/>
      <c r="G475" s="311"/>
      <c r="H475" s="312"/>
      <c r="I475" s="313"/>
      <c r="J475" s="307"/>
      <c r="K475" s="16"/>
      <c r="L475" s="17"/>
      <c r="M475" s="20"/>
      <c r="N475" s="14"/>
      <c r="O475" s="15"/>
      <c r="P475" s="8"/>
    </row>
    <row r="476" spans="1:16" s="5" customFormat="1" ht="14.25" customHeight="1" x14ac:dyDescent="0.3">
      <c r="A476" s="319"/>
      <c r="B476" s="306"/>
      <c r="C476" s="307"/>
      <c r="D476" s="308" t="s">
        <v>428</v>
      </c>
      <c r="E476" s="309"/>
      <c r="F476" s="310"/>
      <c r="G476" s="311"/>
      <c r="H476" s="312"/>
      <c r="I476" s="313"/>
      <c r="J476" s="307"/>
      <c r="K476" s="16"/>
      <c r="L476" s="17"/>
      <c r="M476" s="20"/>
      <c r="N476" s="14"/>
      <c r="O476" s="15"/>
      <c r="P476" s="8"/>
    </row>
    <row r="477" spans="1:16" s="5" customFormat="1" ht="14.25" customHeight="1" x14ac:dyDescent="0.3">
      <c r="A477" s="319" t="s">
        <v>42</v>
      </c>
      <c r="B477" s="306"/>
      <c r="C477" s="307"/>
      <c r="D477" s="308" t="s">
        <v>429</v>
      </c>
      <c r="E477" s="309">
        <v>1</v>
      </c>
      <c r="F477" s="310" t="s">
        <v>249</v>
      </c>
      <c r="G477" s="311"/>
      <c r="H477" s="312">
        <f>E477*G477</f>
        <v>0</v>
      </c>
      <c r="I477" s="313" t="s">
        <v>420</v>
      </c>
      <c r="J477" s="307"/>
      <c r="K477" s="16"/>
      <c r="L477" s="17"/>
      <c r="M477" s="20"/>
      <c r="N477" s="50"/>
      <c r="O477" s="15"/>
      <c r="P477" s="8"/>
    </row>
    <row r="478" spans="1:16" s="5" customFormat="1" ht="14.25" customHeight="1" x14ac:dyDescent="0.3">
      <c r="A478" s="319" t="s">
        <v>44</v>
      </c>
      <c r="B478" s="306"/>
      <c r="C478" s="307"/>
      <c r="D478" s="308" t="s">
        <v>430</v>
      </c>
      <c r="E478" s="309">
        <v>4</v>
      </c>
      <c r="F478" s="310" t="s">
        <v>249</v>
      </c>
      <c r="G478" s="311"/>
      <c r="H478" s="312">
        <f>E478*G478</f>
        <v>0</v>
      </c>
      <c r="I478" s="313"/>
      <c r="J478" s="307"/>
      <c r="K478" s="16"/>
      <c r="L478" s="17"/>
      <c r="M478" s="20"/>
      <c r="N478" s="50"/>
      <c r="O478" s="15"/>
      <c r="P478" s="8"/>
    </row>
    <row r="479" spans="1:16" s="5" customFormat="1" ht="14.25" customHeight="1" x14ac:dyDescent="0.3">
      <c r="A479" s="319"/>
      <c r="B479" s="306"/>
      <c r="C479" s="307"/>
      <c r="D479" s="308"/>
      <c r="E479" s="309"/>
      <c r="F479" s="310"/>
      <c r="G479" s="311"/>
      <c r="H479" s="312"/>
      <c r="I479" s="313"/>
      <c r="J479" s="307"/>
      <c r="K479" s="16"/>
      <c r="L479" s="17"/>
      <c r="M479" s="20"/>
      <c r="N479" s="50"/>
      <c r="O479" s="15"/>
      <c r="P479" s="8"/>
    </row>
    <row r="480" spans="1:16" s="5" customFormat="1" ht="14.25" customHeight="1" x14ac:dyDescent="0.3">
      <c r="A480" s="319">
        <v>4.03</v>
      </c>
      <c r="B480" s="306"/>
      <c r="C480" s="445" t="s">
        <v>431</v>
      </c>
      <c r="D480" s="308"/>
      <c r="E480" s="309"/>
      <c r="F480" s="310"/>
      <c r="G480" s="311"/>
      <c r="H480" s="312"/>
      <c r="I480" s="313"/>
      <c r="J480" s="307"/>
      <c r="K480" s="16"/>
      <c r="L480" s="17"/>
      <c r="M480" s="20"/>
      <c r="N480" s="14"/>
      <c r="O480" s="15"/>
      <c r="P480" s="8"/>
    </row>
    <row r="481" spans="1:16" s="5" customFormat="1" ht="13.8" customHeight="1" x14ac:dyDescent="0.3">
      <c r="A481" s="319" t="s">
        <v>19</v>
      </c>
      <c r="B481" s="306"/>
      <c r="C481" s="307"/>
      <c r="D481" s="398" t="s">
        <v>432</v>
      </c>
      <c r="E481" s="309">
        <v>1</v>
      </c>
      <c r="F481" s="310" t="s">
        <v>100</v>
      </c>
      <c r="G481" s="311"/>
      <c r="H481" s="312">
        <f t="shared" ref="H481:H482" si="65">E481*G481</f>
        <v>0</v>
      </c>
      <c r="I481" s="313"/>
      <c r="J481" s="307"/>
      <c r="K481" s="16"/>
      <c r="L481" s="17"/>
      <c r="M481" s="20"/>
      <c r="N481" s="14"/>
      <c r="O481" s="15"/>
      <c r="P481" s="8"/>
    </row>
    <row r="482" spans="1:16" s="5" customFormat="1" ht="25.2" customHeight="1" x14ac:dyDescent="0.3">
      <c r="A482" s="319" t="s">
        <v>22</v>
      </c>
      <c r="B482" s="306"/>
      <c r="C482" s="307"/>
      <c r="D482" s="398" t="s">
        <v>433</v>
      </c>
      <c r="E482" s="309">
        <v>1</v>
      </c>
      <c r="F482" s="310" t="s">
        <v>100</v>
      </c>
      <c r="G482" s="311"/>
      <c r="H482" s="312">
        <f t="shared" si="65"/>
        <v>0</v>
      </c>
      <c r="I482" s="313"/>
      <c r="J482" s="307"/>
      <c r="K482" s="16"/>
      <c r="L482" s="17"/>
      <c r="M482" s="20"/>
      <c r="N482" s="14"/>
      <c r="O482" s="15"/>
      <c r="P482" s="8"/>
    </row>
    <row r="483" spans="1:16" s="5" customFormat="1" ht="13.2" customHeight="1" x14ac:dyDescent="0.3">
      <c r="A483" s="430"/>
      <c r="B483" s="402"/>
      <c r="C483" s="431"/>
      <c r="D483" s="450"/>
      <c r="E483" s="432"/>
      <c r="F483" s="433"/>
      <c r="G483" s="407"/>
      <c r="H483" s="408"/>
      <c r="I483" s="409"/>
      <c r="J483" s="307"/>
      <c r="K483" s="37"/>
      <c r="L483" s="25"/>
      <c r="M483" s="28"/>
      <c r="N483" s="29"/>
      <c r="O483" s="32"/>
      <c r="P483" s="8"/>
    </row>
    <row r="484" spans="1:16" s="5" customFormat="1" ht="14.25" customHeight="1" x14ac:dyDescent="0.3">
      <c r="A484" s="382" t="s">
        <v>434</v>
      </c>
      <c r="B484" s="383" t="s">
        <v>435</v>
      </c>
      <c r="C484" s="384"/>
      <c r="D484" s="385"/>
      <c r="E484" s="309"/>
      <c r="F484" s="310"/>
      <c r="G484" s="311"/>
      <c r="H484" s="312"/>
      <c r="I484" s="313"/>
      <c r="J484" s="307"/>
      <c r="K484" s="16"/>
      <c r="L484" s="17"/>
      <c r="M484" s="20"/>
      <c r="N484" s="14"/>
      <c r="O484" s="15"/>
      <c r="P484" s="8"/>
    </row>
    <row r="485" spans="1:16" s="5" customFormat="1" ht="14.25" customHeight="1" x14ac:dyDescent="0.3">
      <c r="A485" s="305"/>
      <c r="B485" s="306"/>
      <c r="C485" s="390"/>
      <c r="D485" s="397"/>
      <c r="E485" s="309"/>
      <c r="F485" s="310"/>
      <c r="G485" s="311"/>
      <c r="H485" s="312"/>
      <c r="I485" s="313"/>
      <c r="J485" s="307"/>
      <c r="K485" s="16"/>
      <c r="L485" s="17"/>
      <c r="M485" s="20"/>
      <c r="N485" s="14"/>
      <c r="O485" s="15"/>
      <c r="P485" s="8"/>
    </row>
    <row r="486" spans="1:16" s="5" customFormat="1" ht="14.25" customHeight="1" x14ac:dyDescent="0.3">
      <c r="A486" s="305">
        <v>5.01</v>
      </c>
      <c r="B486" s="306"/>
      <c r="C486" s="445" t="s">
        <v>436</v>
      </c>
      <c r="D486" s="451"/>
      <c r="E486" s="309"/>
      <c r="F486" s="310"/>
      <c r="G486" s="311"/>
      <c r="H486" s="312"/>
      <c r="I486" s="313"/>
      <c r="J486" s="307"/>
      <c r="K486" s="16"/>
      <c r="L486" s="17"/>
      <c r="M486" s="20"/>
      <c r="N486" s="14"/>
      <c r="O486" s="15"/>
      <c r="P486" s="22"/>
    </row>
    <row r="487" spans="1:16" s="5" customFormat="1" ht="14.25" customHeight="1" x14ac:dyDescent="0.3">
      <c r="A487" s="305"/>
      <c r="B487" s="306"/>
      <c r="C487" s="390" t="s">
        <v>437</v>
      </c>
      <c r="D487" s="308"/>
      <c r="E487" s="309"/>
      <c r="F487" s="310"/>
      <c r="G487" s="311"/>
      <c r="H487" s="312"/>
      <c r="I487" s="313"/>
      <c r="J487" s="307"/>
      <c r="K487" s="16"/>
      <c r="L487" s="17"/>
      <c r="M487" s="20"/>
      <c r="N487" s="14"/>
      <c r="O487" s="15"/>
      <c r="P487" s="22"/>
    </row>
    <row r="488" spans="1:16" s="5" customFormat="1" ht="30" customHeight="1" x14ac:dyDescent="0.3">
      <c r="A488" s="305"/>
      <c r="B488" s="306"/>
      <c r="C488" s="452" t="s">
        <v>438</v>
      </c>
      <c r="D488" s="453"/>
      <c r="E488" s="309"/>
      <c r="F488" s="310"/>
      <c r="G488" s="311"/>
      <c r="H488" s="312"/>
      <c r="I488" s="313"/>
      <c r="J488" s="307"/>
      <c r="K488" s="16"/>
      <c r="L488" s="17"/>
      <c r="M488" s="20"/>
      <c r="N488" s="14"/>
      <c r="O488" s="15"/>
      <c r="P488" s="22"/>
    </row>
    <row r="489" spans="1:16" s="5" customFormat="1" x14ac:dyDescent="0.3">
      <c r="A489" s="305"/>
      <c r="B489" s="306"/>
      <c r="C489" s="454"/>
      <c r="D489" s="455" t="s">
        <v>439</v>
      </c>
      <c r="E489" s="309"/>
      <c r="F489" s="310"/>
      <c r="G489" s="311"/>
      <c r="H489" s="312"/>
      <c r="I489" s="313"/>
      <c r="J489" s="307"/>
      <c r="K489" s="16"/>
      <c r="L489" s="17"/>
      <c r="M489" s="20"/>
      <c r="N489" s="14"/>
      <c r="O489" s="15"/>
      <c r="P489" s="22"/>
    </row>
    <row r="490" spans="1:16" s="5" customFormat="1" x14ac:dyDescent="0.3">
      <c r="A490" s="305" t="s">
        <v>19</v>
      </c>
      <c r="B490" s="306"/>
      <c r="C490" s="454"/>
      <c r="D490" s="455" t="s">
        <v>440</v>
      </c>
      <c r="E490" s="309">
        <v>9</v>
      </c>
      <c r="F490" s="310" t="s">
        <v>249</v>
      </c>
      <c r="G490" s="311"/>
      <c r="H490" s="312">
        <f t="shared" ref="H490:H496" si="66">E490*G490</f>
        <v>0</v>
      </c>
      <c r="I490" s="313" t="s">
        <v>441</v>
      </c>
      <c r="J490" s="307"/>
      <c r="K490" s="16"/>
      <c r="L490" s="17"/>
      <c r="M490" s="20"/>
      <c r="N490" s="14"/>
      <c r="O490" s="15"/>
      <c r="P490" s="22"/>
    </row>
    <row r="491" spans="1:16" s="5" customFormat="1" x14ac:dyDescent="0.3">
      <c r="A491" s="305" t="s">
        <v>22</v>
      </c>
      <c r="B491" s="306"/>
      <c r="C491" s="454"/>
      <c r="D491" s="455" t="s">
        <v>442</v>
      </c>
      <c r="E491" s="309">
        <v>4</v>
      </c>
      <c r="F491" s="310" t="s">
        <v>249</v>
      </c>
      <c r="G491" s="311"/>
      <c r="H491" s="312">
        <f t="shared" si="66"/>
        <v>0</v>
      </c>
      <c r="I491" s="313" t="s">
        <v>443</v>
      </c>
      <c r="J491" s="307"/>
      <c r="K491" s="16"/>
      <c r="L491" s="17"/>
      <c r="M491" s="20"/>
      <c r="N491" s="14"/>
      <c r="O491" s="15"/>
      <c r="P491" s="22"/>
    </row>
    <row r="492" spans="1:16" s="5" customFormat="1" x14ac:dyDescent="0.3">
      <c r="A492" s="305" t="s">
        <v>25</v>
      </c>
      <c r="B492" s="306"/>
      <c r="C492" s="454"/>
      <c r="D492" s="455" t="s">
        <v>444</v>
      </c>
      <c r="E492" s="309">
        <v>9</v>
      </c>
      <c r="F492" s="310" t="s">
        <v>249</v>
      </c>
      <c r="G492" s="311"/>
      <c r="H492" s="312">
        <f t="shared" si="66"/>
        <v>0</v>
      </c>
      <c r="I492" s="313"/>
      <c r="J492" s="307"/>
      <c r="K492" s="16"/>
      <c r="L492" s="17"/>
      <c r="M492" s="20"/>
      <c r="N492" s="14"/>
      <c r="O492" s="15"/>
      <c r="P492" s="22"/>
    </row>
    <row r="493" spans="1:16" s="5" customFormat="1" x14ac:dyDescent="0.3">
      <c r="A493" s="305" t="s">
        <v>28</v>
      </c>
      <c r="B493" s="306"/>
      <c r="C493" s="454"/>
      <c r="D493" s="455" t="s">
        <v>445</v>
      </c>
      <c r="E493" s="309">
        <v>13</v>
      </c>
      <c r="F493" s="310" t="s">
        <v>249</v>
      </c>
      <c r="G493" s="311"/>
      <c r="H493" s="312">
        <f t="shared" si="66"/>
        <v>0</v>
      </c>
      <c r="I493" s="313" t="s">
        <v>446</v>
      </c>
      <c r="J493" s="307"/>
      <c r="K493" s="16"/>
      <c r="L493" s="17"/>
      <c r="M493" s="20"/>
      <c r="N493" s="14"/>
      <c r="O493" s="15"/>
      <c r="P493" s="22"/>
    </row>
    <row r="494" spans="1:16" s="5" customFormat="1" x14ac:dyDescent="0.3">
      <c r="A494" s="305" t="s">
        <v>30</v>
      </c>
      <c r="B494" s="306"/>
      <c r="C494" s="454"/>
      <c r="D494" s="455" t="s">
        <v>447</v>
      </c>
      <c r="E494" s="309">
        <v>4</v>
      </c>
      <c r="F494" s="310" t="s">
        <v>249</v>
      </c>
      <c r="G494" s="311"/>
      <c r="H494" s="312">
        <f t="shared" si="66"/>
        <v>0</v>
      </c>
      <c r="I494" s="313"/>
      <c r="J494" s="307"/>
      <c r="K494" s="16"/>
      <c r="L494" s="17"/>
      <c r="M494" s="20"/>
      <c r="N494" s="14"/>
      <c r="O494" s="15"/>
      <c r="P494" s="22"/>
    </row>
    <row r="495" spans="1:16" s="5" customFormat="1" x14ac:dyDescent="0.3">
      <c r="A495" s="305" t="s">
        <v>32</v>
      </c>
      <c r="B495" s="306"/>
      <c r="C495" s="454"/>
      <c r="D495" s="455" t="s">
        <v>448</v>
      </c>
      <c r="E495" s="309">
        <v>9</v>
      </c>
      <c r="F495" s="310" t="s">
        <v>249</v>
      </c>
      <c r="G495" s="311"/>
      <c r="H495" s="312">
        <f t="shared" si="66"/>
        <v>0</v>
      </c>
      <c r="I495" s="313"/>
      <c r="J495" s="307"/>
      <c r="K495" s="16"/>
      <c r="L495" s="17"/>
      <c r="M495" s="20"/>
      <c r="N495" s="14"/>
      <c r="O495" s="15"/>
      <c r="P495" s="22"/>
    </row>
    <row r="496" spans="1:16" s="5" customFormat="1" x14ac:dyDescent="0.3">
      <c r="A496" s="305" t="s">
        <v>34</v>
      </c>
      <c r="B496" s="306"/>
      <c r="C496" s="307"/>
      <c r="D496" s="308" t="s">
        <v>449</v>
      </c>
      <c r="E496" s="309">
        <v>4</v>
      </c>
      <c r="F496" s="310" t="s">
        <v>249</v>
      </c>
      <c r="G496" s="311"/>
      <c r="H496" s="312">
        <f t="shared" si="66"/>
        <v>0</v>
      </c>
      <c r="I496" s="313"/>
      <c r="J496" s="307"/>
      <c r="K496" s="16"/>
      <c r="L496" s="17"/>
      <c r="M496" s="20"/>
      <c r="N496" s="14"/>
      <c r="O496" s="15"/>
      <c r="P496" s="22"/>
    </row>
    <row r="497" spans="1:16" s="5" customFormat="1" ht="8.6999999999999993" customHeight="1" x14ac:dyDescent="0.3">
      <c r="A497" s="305"/>
      <c r="B497" s="306"/>
      <c r="C497" s="307"/>
      <c r="D497" s="308"/>
      <c r="E497" s="309"/>
      <c r="F497" s="310"/>
      <c r="G497" s="311"/>
      <c r="H497" s="312"/>
      <c r="I497" s="313"/>
      <c r="J497" s="307"/>
      <c r="K497" s="16"/>
      <c r="L497" s="17"/>
      <c r="M497" s="20"/>
      <c r="N497" s="14"/>
      <c r="O497" s="15"/>
      <c r="P497" s="22"/>
    </row>
    <row r="498" spans="1:16" s="5" customFormat="1" x14ac:dyDescent="0.3">
      <c r="A498" s="305"/>
      <c r="B498" s="306"/>
      <c r="C498" s="307"/>
      <c r="D498" s="455" t="s">
        <v>450</v>
      </c>
      <c r="E498" s="309"/>
      <c r="F498" s="310"/>
      <c r="G498" s="311"/>
      <c r="H498" s="312"/>
      <c r="I498" s="313"/>
      <c r="J498" s="307"/>
      <c r="K498" s="16"/>
      <c r="L498" s="17"/>
      <c r="M498" s="20"/>
      <c r="N498" s="14"/>
      <c r="O498" s="15"/>
      <c r="P498" s="22"/>
    </row>
    <row r="499" spans="1:16" s="5" customFormat="1" x14ac:dyDescent="0.3">
      <c r="A499" s="305" t="s">
        <v>36</v>
      </c>
      <c r="B499" s="306"/>
      <c r="C499" s="307"/>
      <c r="D499" s="455" t="s">
        <v>440</v>
      </c>
      <c r="E499" s="309">
        <v>4</v>
      </c>
      <c r="F499" s="310" t="s">
        <v>249</v>
      </c>
      <c r="G499" s="311"/>
      <c r="H499" s="312">
        <f t="shared" ref="H499:H505" si="67">E499*G499</f>
        <v>0</v>
      </c>
      <c r="I499" s="313"/>
      <c r="J499" s="307"/>
      <c r="K499" s="16"/>
      <c r="L499" s="17"/>
      <c r="M499" s="20"/>
      <c r="N499" s="14"/>
      <c r="O499" s="15"/>
      <c r="P499" s="22"/>
    </row>
    <row r="500" spans="1:16" s="5" customFormat="1" x14ac:dyDescent="0.3">
      <c r="A500" s="305" t="s">
        <v>39</v>
      </c>
      <c r="B500" s="306"/>
      <c r="C500" s="307"/>
      <c r="D500" s="455" t="s">
        <v>442</v>
      </c>
      <c r="E500" s="309">
        <v>4</v>
      </c>
      <c r="F500" s="310" t="s">
        <v>249</v>
      </c>
      <c r="G500" s="311"/>
      <c r="H500" s="312">
        <f t="shared" si="67"/>
        <v>0</v>
      </c>
      <c r="I500" s="313"/>
      <c r="J500" s="307"/>
      <c r="K500" s="16"/>
      <c r="L500" s="17"/>
      <c r="M500" s="20"/>
      <c r="N500" s="14"/>
      <c r="O500" s="15"/>
      <c r="P500" s="22"/>
    </row>
    <row r="501" spans="1:16" s="5" customFormat="1" x14ac:dyDescent="0.3">
      <c r="A501" s="305" t="s">
        <v>42</v>
      </c>
      <c r="B501" s="306"/>
      <c r="C501" s="307"/>
      <c r="D501" s="455" t="s">
        <v>444</v>
      </c>
      <c r="E501" s="309">
        <v>4</v>
      </c>
      <c r="F501" s="310" t="s">
        <v>249</v>
      </c>
      <c r="G501" s="311"/>
      <c r="H501" s="312">
        <f t="shared" si="67"/>
        <v>0</v>
      </c>
      <c r="I501" s="313"/>
      <c r="J501" s="307"/>
      <c r="K501" s="16"/>
      <c r="L501" s="17"/>
      <c r="M501" s="20"/>
      <c r="N501" s="14"/>
      <c r="O501" s="15"/>
      <c r="P501" s="22"/>
    </row>
    <row r="502" spans="1:16" s="5" customFormat="1" x14ac:dyDescent="0.3">
      <c r="A502" s="305" t="s">
        <v>44</v>
      </c>
      <c r="B502" s="306"/>
      <c r="C502" s="307"/>
      <c r="D502" s="455" t="s">
        <v>447</v>
      </c>
      <c r="E502" s="309">
        <v>4</v>
      </c>
      <c r="F502" s="310" t="s">
        <v>249</v>
      </c>
      <c r="G502" s="311"/>
      <c r="H502" s="312">
        <f t="shared" si="67"/>
        <v>0</v>
      </c>
      <c r="I502" s="313"/>
      <c r="J502" s="307"/>
      <c r="K502" s="16"/>
      <c r="L502" s="17"/>
      <c r="M502" s="20"/>
      <c r="N502" s="14"/>
      <c r="O502" s="15"/>
      <c r="P502" s="22"/>
    </row>
    <row r="503" spans="1:16" s="5" customFormat="1" x14ac:dyDescent="0.3">
      <c r="A503" s="305" t="s">
        <v>46</v>
      </c>
      <c r="B503" s="306"/>
      <c r="C503" s="307"/>
      <c r="D503" s="455" t="s">
        <v>448</v>
      </c>
      <c r="E503" s="309">
        <v>4</v>
      </c>
      <c r="F503" s="310" t="s">
        <v>249</v>
      </c>
      <c r="G503" s="311"/>
      <c r="H503" s="312">
        <f t="shared" si="67"/>
        <v>0</v>
      </c>
      <c r="I503" s="313"/>
      <c r="J503" s="307"/>
      <c r="K503" s="16"/>
      <c r="L503" s="17"/>
      <c r="M503" s="20"/>
      <c r="N503" s="14"/>
      <c r="O503" s="15"/>
      <c r="P503" s="22"/>
    </row>
    <row r="504" spans="1:16" s="5" customFormat="1" x14ac:dyDescent="0.3">
      <c r="A504" s="305" t="s">
        <v>48</v>
      </c>
      <c r="B504" s="306"/>
      <c r="C504" s="307"/>
      <c r="D504" s="308" t="s">
        <v>449</v>
      </c>
      <c r="E504" s="309">
        <v>4</v>
      </c>
      <c r="F504" s="310" t="s">
        <v>249</v>
      </c>
      <c r="G504" s="311"/>
      <c r="H504" s="312">
        <f t="shared" si="67"/>
        <v>0</v>
      </c>
      <c r="I504" s="313"/>
      <c r="J504" s="307"/>
      <c r="K504" s="16"/>
      <c r="L504" s="17"/>
      <c r="M504" s="20"/>
      <c r="N504" s="14"/>
      <c r="O504" s="15"/>
      <c r="P504" s="22"/>
    </row>
    <row r="505" spans="1:16" s="5" customFormat="1" x14ac:dyDescent="0.3">
      <c r="A505" s="305" t="s">
        <v>50</v>
      </c>
      <c r="B505" s="306"/>
      <c r="C505" s="307"/>
      <c r="D505" s="308" t="s">
        <v>451</v>
      </c>
      <c r="E505" s="309">
        <v>4</v>
      </c>
      <c r="F505" s="310" t="s">
        <v>249</v>
      </c>
      <c r="G505" s="311"/>
      <c r="H505" s="312">
        <f t="shared" si="67"/>
        <v>0</v>
      </c>
      <c r="I505" s="313"/>
      <c r="J505" s="307"/>
      <c r="K505" s="16"/>
      <c r="L505" s="17"/>
      <c r="M505" s="20"/>
      <c r="N505" s="14"/>
      <c r="O505" s="15"/>
      <c r="P505" s="22"/>
    </row>
    <row r="506" spans="1:16" s="5" customFormat="1" ht="11.1" customHeight="1" x14ac:dyDescent="0.3">
      <c r="A506" s="305"/>
      <c r="B506" s="306"/>
      <c r="C506" s="307"/>
      <c r="D506" s="308"/>
      <c r="E506" s="309"/>
      <c r="F506" s="310"/>
      <c r="G506" s="311"/>
      <c r="H506" s="312"/>
      <c r="I506" s="313"/>
      <c r="J506" s="307"/>
      <c r="K506" s="16"/>
      <c r="L506" s="17"/>
      <c r="M506" s="20"/>
      <c r="N506" s="14"/>
      <c r="O506" s="15"/>
      <c r="P506" s="22"/>
    </row>
    <row r="507" spans="1:16" s="5" customFormat="1" x14ac:dyDescent="0.3">
      <c r="A507" s="305"/>
      <c r="B507" s="306"/>
      <c r="C507" s="307"/>
      <c r="D507" s="455" t="s">
        <v>452</v>
      </c>
      <c r="E507" s="309"/>
      <c r="F507" s="310"/>
      <c r="G507" s="311"/>
      <c r="H507" s="312"/>
      <c r="I507" s="313"/>
      <c r="J507" s="307"/>
      <c r="K507" s="16"/>
      <c r="L507" s="17"/>
      <c r="M507" s="20"/>
      <c r="N507" s="14"/>
      <c r="O507" s="15"/>
      <c r="P507" s="22"/>
    </row>
    <row r="508" spans="1:16" s="5" customFormat="1" x14ac:dyDescent="0.3">
      <c r="A508" s="305" t="s">
        <v>52</v>
      </c>
      <c r="B508" s="306"/>
      <c r="C508" s="307"/>
      <c r="D508" s="455" t="s">
        <v>440</v>
      </c>
      <c r="E508" s="309">
        <v>4</v>
      </c>
      <c r="F508" s="310" t="s">
        <v>249</v>
      </c>
      <c r="G508" s="311"/>
      <c r="H508" s="312">
        <f t="shared" ref="H508:H513" si="68">E508*G508</f>
        <v>0</v>
      </c>
      <c r="I508" s="313"/>
      <c r="J508" s="307"/>
      <c r="K508" s="16"/>
      <c r="L508" s="17"/>
      <c r="M508" s="20"/>
      <c r="N508" s="14"/>
      <c r="O508" s="15"/>
      <c r="P508" s="22"/>
    </row>
    <row r="509" spans="1:16" s="5" customFormat="1" x14ac:dyDescent="0.3">
      <c r="A509" s="305" t="s">
        <v>54</v>
      </c>
      <c r="B509" s="306"/>
      <c r="C509" s="307"/>
      <c r="D509" s="455" t="s">
        <v>442</v>
      </c>
      <c r="E509" s="309">
        <v>3</v>
      </c>
      <c r="F509" s="310" t="s">
        <v>249</v>
      </c>
      <c r="G509" s="311"/>
      <c r="H509" s="312">
        <f t="shared" si="68"/>
        <v>0</v>
      </c>
      <c r="I509" s="313"/>
      <c r="J509" s="307"/>
      <c r="K509" s="16"/>
      <c r="L509" s="17"/>
      <c r="M509" s="20"/>
      <c r="N509" s="14"/>
      <c r="O509" s="15"/>
      <c r="P509" s="22"/>
    </row>
    <row r="510" spans="1:16" s="5" customFormat="1" x14ac:dyDescent="0.3">
      <c r="A510" s="305" t="s">
        <v>56</v>
      </c>
      <c r="B510" s="306"/>
      <c r="C510" s="307"/>
      <c r="D510" s="455" t="s">
        <v>444</v>
      </c>
      <c r="E510" s="309">
        <v>4</v>
      </c>
      <c r="F510" s="310" t="s">
        <v>249</v>
      </c>
      <c r="G510" s="311"/>
      <c r="H510" s="312">
        <f t="shared" si="68"/>
        <v>0</v>
      </c>
      <c r="I510" s="313"/>
      <c r="J510" s="307"/>
      <c r="K510" s="16"/>
      <c r="L510" s="17"/>
      <c r="M510" s="20"/>
      <c r="N510" s="14"/>
      <c r="O510" s="15"/>
      <c r="P510" s="22"/>
    </row>
    <row r="511" spans="1:16" s="5" customFormat="1" x14ac:dyDescent="0.3">
      <c r="A511" s="305" t="s">
        <v>58</v>
      </c>
      <c r="B511" s="306"/>
      <c r="C511" s="307"/>
      <c r="D511" s="455" t="s">
        <v>447</v>
      </c>
      <c r="E511" s="309">
        <v>3</v>
      </c>
      <c r="F511" s="310" t="s">
        <v>249</v>
      </c>
      <c r="G511" s="311"/>
      <c r="H511" s="312">
        <f t="shared" si="68"/>
        <v>0</v>
      </c>
      <c r="I511" s="313"/>
      <c r="J511" s="307"/>
      <c r="K511" s="16"/>
      <c r="L511" s="17"/>
      <c r="M511" s="20"/>
      <c r="N511" s="14"/>
      <c r="O511" s="15"/>
      <c r="P511" s="22"/>
    </row>
    <row r="512" spans="1:16" s="5" customFormat="1" x14ac:dyDescent="0.3">
      <c r="A512" s="305" t="s">
        <v>60</v>
      </c>
      <c r="B512" s="306"/>
      <c r="C512" s="307"/>
      <c r="D512" s="455" t="s">
        <v>448</v>
      </c>
      <c r="E512" s="309">
        <v>4</v>
      </c>
      <c r="F512" s="310" t="s">
        <v>249</v>
      </c>
      <c r="G512" s="311"/>
      <c r="H512" s="312">
        <f t="shared" si="68"/>
        <v>0</v>
      </c>
      <c r="I512" s="313"/>
      <c r="J512" s="307"/>
      <c r="K512" s="16"/>
      <c r="L512" s="17"/>
      <c r="M512" s="20"/>
      <c r="N512" s="14"/>
      <c r="O512" s="15"/>
      <c r="P512" s="22"/>
    </row>
    <row r="513" spans="1:16" s="5" customFormat="1" x14ac:dyDescent="0.3">
      <c r="A513" s="305" t="s">
        <v>62</v>
      </c>
      <c r="B513" s="306"/>
      <c r="C513" s="307"/>
      <c r="D513" s="308" t="s">
        <v>449</v>
      </c>
      <c r="E513" s="309">
        <v>3</v>
      </c>
      <c r="F513" s="310" t="s">
        <v>249</v>
      </c>
      <c r="G513" s="311"/>
      <c r="H513" s="312">
        <f t="shared" si="68"/>
        <v>0</v>
      </c>
      <c r="I513" s="313"/>
      <c r="J513" s="307"/>
      <c r="K513" s="16"/>
      <c r="L513" s="17"/>
      <c r="M513" s="20"/>
      <c r="N513" s="14"/>
      <c r="O513" s="15"/>
      <c r="P513" s="22"/>
    </row>
    <row r="514" spans="1:16" s="5" customFormat="1" x14ac:dyDescent="0.3">
      <c r="A514" s="305"/>
      <c r="B514" s="306"/>
      <c r="C514" s="307"/>
      <c r="D514" s="308"/>
      <c r="E514" s="309"/>
      <c r="F514" s="310"/>
      <c r="G514" s="311"/>
      <c r="H514" s="312"/>
      <c r="I514" s="313"/>
      <c r="J514" s="307"/>
      <c r="K514" s="16"/>
      <c r="L514" s="17"/>
      <c r="M514" s="20"/>
      <c r="N514" s="14"/>
      <c r="O514" s="15"/>
      <c r="P514" s="22"/>
    </row>
    <row r="515" spans="1:16" s="5" customFormat="1" x14ac:dyDescent="0.3">
      <c r="A515" s="305"/>
      <c r="B515" s="306"/>
      <c r="C515" s="307"/>
      <c r="D515" s="308" t="s">
        <v>453</v>
      </c>
      <c r="E515" s="309"/>
      <c r="F515" s="310"/>
      <c r="G515" s="311"/>
      <c r="H515" s="312"/>
      <c r="I515" s="313"/>
      <c r="J515" s="307"/>
      <c r="K515" s="16"/>
      <c r="L515" s="17"/>
      <c r="M515" s="20"/>
      <c r="N515" s="14"/>
      <c r="O515" s="15"/>
      <c r="P515" s="22"/>
    </row>
    <row r="516" spans="1:16" s="307" customFormat="1" x14ac:dyDescent="0.3">
      <c r="A516" s="305" t="s">
        <v>64</v>
      </c>
      <c r="B516" s="306"/>
      <c r="D516" s="308" t="s">
        <v>454</v>
      </c>
      <c r="E516" s="309">
        <v>4</v>
      </c>
      <c r="F516" s="310" t="s">
        <v>249</v>
      </c>
      <c r="G516" s="311"/>
      <c r="H516" s="312">
        <f t="shared" ref="H516" si="69">E516*G516</f>
        <v>0</v>
      </c>
      <c r="I516" s="313"/>
      <c r="K516" s="314"/>
      <c r="L516" s="305"/>
      <c r="M516" s="315"/>
      <c r="N516" s="316"/>
      <c r="O516" s="317"/>
      <c r="P516" s="318"/>
    </row>
    <row r="517" spans="1:16" s="5" customFormat="1" x14ac:dyDescent="0.3">
      <c r="A517" s="305"/>
      <c r="B517" s="306"/>
      <c r="C517" s="307"/>
      <c r="D517" s="308"/>
      <c r="E517" s="309"/>
      <c r="F517" s="310"/>
      <c r="G517" s="311"/>
      <c r="H517" s="312"/>
      <c r="I517" s="313"/>
      <c r="J517" s="307"/>
      <c r="K517" s="16"/>
      <c r="L517" s="17"/>
      <c r="M517" s="20"/>
      <c r="N517" s="14"/>
      <c r="O517" s="15"/>
      <c r="P517" s="22"/>
    </row>
    <row r="518" spans="1:16" s="5" customFormat="1" ht="14.25" customHeight="1" x14ac:dyDescent="0.3">
      <c r="A518" s="305"/>
      <c r="B518" s="306"/>
      <c r="C518" s="390" t="s">
        <v>455</v>
      </c>
      <c r="D518" s="308"/>
      <c r="E518" s="309"/>
      <c r="F518" s="310"/>
      <c r="G518" s="311"/>
      <c r="H518" s="312"/>
      <c r="I518" s="313"/>
      <c r="J518" s="307"/>
      <c r="K518" s="16"/>
      <c r="L518" s="17"/>
      <c r="M518" s="20"/>
      <c r="N518" s="14"/>
      <c r="O518" s="15"/>
      <c r="P518" s="22"/>
    </row>
    <row r="519" spans="1:16" s="5" customFormat="1" ht="30" customHeight="1" x14ac:dyDescent="0.3">
      <c r="A519" s="305"/>
      <c r="B519" s="306"/>
      <c r="C519" s="452" t="s">
        <v>456</v>
      </c>
      <c r="D519" s="453"/>
      <c r="E519" s="309"/>
      <c r="F519" s="310"/>
      <c r="G519" s="311"/>
      <c r="H519" s="312"/>
      <c r="I519" s="313"/>
      <c r="J519" s="307"/>
      <c r="K519" s="16"/>
      <c r="L519" s="17"/>
      <c r="M519" s="20"/>
      <c r="N519" s="14"/>
      <c r="O519" s="15"/>
      <c r="P519" s="22"/>
    </row>
    <row r="520" spans="1:16" s="5" customFormat="1" ht="15" customHeight="1" x14ac:dyDescent="0.3">
      <c r="A520" s="319" t="s">
        <v>66</v>
      </c>
      <c r="B520" s="306"/>
      <c r="C520" s="307"/>
      <c r="D520" s="308" t="s">
        <v>457</v>
      </c>
      <c r="E520" s="309">
        <v>23</v>
      </c>
      <c r="F520" s="310" t="s">
        <v>249</v>
      </c>
      <c r="G520" s="311"/>
      <c r="H520" s="312">
        <f>E520*G520</f>
        <v>0</v>
      </c>
      <c r="I520" s="313"/>
      <c r="J520" s="307"/>
      <c r="K520" s="16"/>
      <c r="L520" s="17"/>
      <c r="M520" s="20"/>
      <c r="N520" s="14"/>
      <c r="O520" s="15"/>
      <c r="P520" s="22"/>
    </row>
    <row r="521" spans="1:16" s="5" customFormat="1" ht="15" customHeight="1" x14ac:dyDescent="0.3">
      <c r="A521" s="319" t="s">
        <v>68</v>
      </c>
      <c r="B521" s="306"/>
      <c r="C521" s="307"/>
      <c r="D521" s="308" t="s">
        <v>458</v>
      </c>
      <c r="E521" s="309">
        <v>6</v>
      </c>
      <c r="F521" s="310" t="s">
        <v>249</v>
      </c>
      <c r="G521" s="311"/>
      <c r="H521" s="312">
        <f t="shared" ref="H521:H528" si="70">E521*G521</f>
        <v>0</v>
      </c>
      <c r="I521" s="313"/>
      <c r="J521" s="307"/>
      <c r="K521" s="16"/>
      <c r="L521" s="17"/>
      <c r="M521" s="20"/>
      <c r="N521" s="14"/>
      <c r="O521" s="15"/>
      <c r="P521" s="22"/>
    </row>
    <row r="522" spans="1:16" s="5" customFormat="1" ht="15" customHeight="1" x14ac:dyDescent="0.3">
      <c r="A522" s="319" t="s">
        <v>71</v>
      </c>
      <c r="B522" s="306"/>
      <c r="C522" s="307"/>
      <c r="D522" s="308" t="s">
        <v>459</v>
      </c>
      <c r="E522" s="309">
        <v>2</v>
      </c>
      <c r="F522" s="310" t="s">
        <v>249</v>
      </c>
      <c r="G522" s="311"/>
      <c r="H522" s="312">
        <f t="shared" si="70"/>
        <v>0</v>
      </c>
      <c r="I522" s="313"/>
      <c r="J522" s="307"/>
      <c r="K522" s="16"/>
      <c r="L522" s="17"/>
      <c r="M522" s="20"/>
      <c r="N522" s="14"/>
      <c r="O522" s="15"/>
      <c r="P522" s="22"/>
    </row>
    <row r="523" spans="1:16" s="5" customFormat="1" ht="15" customHeight="1" x14ac:dyDescent="0.3">
      <c r="A523" s="319" t="s">
        <v>73</v>
      </c>
      <c r="B523" s="306"/>
      <c r="C523" s="307"/>
      <c r="D523" s="308" t="s">
        <v>460</v>
      </c>
      <c r="E523" s="309">
        <v>2</v>
      </c>
      <c r="F523" s="310" t="s">
        <v>249</v>
      </c>
      <c r="G523" s="311"/>
      <c r="H523" s="312">
        <f t="shared" si="70"/>
        <v>0</v>
      </c>
      <c r="I523" s="313"/>
      <c r="J523" s="307"/>
      <c r="K523" s="16"/>
      <c r="L523" s="17"/>
      <c r="M523" s="20"/>
      <c r="N523" s="14"/>
      <c r="O523" s="15"/>
      <c r="P523" s="22"/>
    </row>
    <row r="524" spans="1:16" s="5" customFormat="1" ht="15" customHeight="1" x14ac:dyDescent="0.3">
      <c r="A524" s="319" t="s">
        <v>75</v>
      </c>
      <c r="B524" s="306"/>
      <c r="C524" s="307"/>
      <c r="D524" s="308" t="s">
        <v>461</v>
      </c>
      <c r="E524" s="309">
        <v>2</v>
      </c>
      <c r="F524" s="310" t="s">
        <v>249</v>
      </c>
      <c r="G524" s="311"/>
      <c r="H524" s="312">
        <f t="shared" si="70"/>
        <v>0</v>
      </c>
      <c r="I524" s="313"/>
      <c r="J524" s="307"/>
      <c r="K524" s="16"/>
      <c r="L524" s="17"/>
      <c r="M524" s="20"/>
      <c r="N524" s="14"/>
      <c r="O524" s="15"/>
      <c r="P524" s="22"/>
    </row>
    <row r="525" spans="1:16" s="5" customFormat="1" ht="15" customHeight="1" x14ac:dyDescent="0.3">
      <c r="A525" s="319" t="s">
        <v>77</v>
      </c>
      <c r="B525" s="306"/>
      <c r="C525" s="390"/>
      <c r="D525" s="308" t="s">
        <v>462</v>
      </c>
      <c r="E525" s="309">
        <v>3</v>
      </c>
      <c r="F525" s="310" t="s">
        <v>249</v>
      </c>
      <c r="G525" s="311"/>
      <c r="H525" s="312">
        <f t="shared" si="70"/>
        <v>0</v>
      </c>
      <c r="I525" s="313"/>
      <c r="J525" s="307"/>
      <c r="K525" s="16"/>
      <c r="L525" s="17"/>
      <c r="M525" s="20"/>
      <c r="N525" s="14"/>
      <c r="O525" s="15"/>
      <c r="P525" s="22"/>
    </row>
    <row r="526" spans="1:16" s="5" customFormat="1" ht="15" customHeight="1" x14ac:dyDescent="0.3">
      <c r="A526" s="319" t="s">
        <v>80</v>
      </c>
      <c r="B526" s="426"/>
      <c r="C526" s="390"/>
      <c r="D526" s="397" t="s">
        <v>463</v>
      </c>
      <c r="E526" s="309">
        <v>1</v>
      </c>
      <c r="F526" s="392" t="s">
        <v>249</v>
      </c>
      <c r="G526" s="311"/>
      <c r="H526" s="312">
        <f t="shared" si="70"/>
        <v>0</v>
      </c>
      <c r="I526" s="313"/>
      <c r="J526" s="307"/>
      <c r="K526" s="16"/>
      <c r="L526" s="19"/>
      <c r="M526" s="20"/>
      <c r="N526" s="14"/>
      <c r="O526" s="15"/>
      <c r="P526" s="22"/>
    </row>
    <row r="527" spans="1:16" s="5" customFormat="1" ht="15" customHeight="1" x14ac:dyDescent="0.3">
      <c r="A527" s="319" t="s">
        <v>81</v>
      </c>
      <c r="B527" s="426"/>
      <c r="C527" s="390"/>
      <c r="D527" s="397" t="s">
        <v>464</v>
      </c>
      <c r="E527" s="309">
        <v>1</v>
      </c>
      <c r="F527" s="392" t="s">
        <v>249</v>
      </c>
      <c r="G527" s="311"/>
      <c r="H527" s="312">
        <f t="shared" si="70"/>
        <v>0</v>
      </c>
      <c r="I527" s="313"/>
      <c r="J527" s="307"/>
      <c r="K527" s="16"/>
      <c r="L527" s="19"/>
      <c r="M527" s="20"/>
      <c r="N527" s="14"/>
      <c r="O527" s="15"/>
      <c r="P527" s="22"/>
    </row>
    <row r="528" spans="1:16" s="5" customFormat="1" ht="15" customHeight="1" x14ac:dyDescent="0.3">
      <c r="A528" s="319" t="s">
        <v>83</v>
      </c>
      <c r="B528" s="426"/>
      <c r="C528" s="390"/>
      <c r="D528" s="397" t="s">
        <v>465</v>
      </c>
      <c r="E528" s="309">
        <v>23</v>
      </c>
      <c r="F528" s="392" t="s">
        <v>249</v>
      </c>
      <c r="G528" s="311"/>
      <c r="H528" s="312">
        <f t="shared" si="70"/>
        <v>0</v>
      </c>
      <c r="I528" s="313"/>
      <c r="J528" s="307"/>
      <c r="K528" s="16"/>
      <c r="L528" s="19"/>
      <c r="M528" s="20"/>
      <c r="N528" s="14"/>
      <c r="O528" s="15"/>
      <c r="P528" s="22"/>
    </row>
    <row r="529" spans="1:16" s="5" customFormat="1" ht="14.25" customHeight="1" x14ac:dyDescent="0.3">
      <c r="A529" s="305"/>
      <c r="B529" s="306"/>
      <c r="C529" s="307"/>
      <c r="D529" s="308"/>
      <c r="E529" s="309"/>
      <c r="F529" s="310"/>
      <c r="G529" s="311"/>
      <c r="H529" s="312"/>
      <c r="I529" s="313"/>
      <c r="J529" s="307"/>
      <c r="K529" s="16"/>
      <c r="L529" s="17"/>
      <c r="M529" s="20"/>
      <c r="N529" s="14"/>
      <c r="O529" s="15"/>
      <c r="P529" s="22"/>
    </row>
    <row r="530" spans="1:16" s="5" customFormat="1" ht="14.25" customHeight="1" x14ac:dyDescent="0.3">
      <c r="A530" s="305">
        <v>5.03</v>
      </c>
      <c r="B530" s="306"/>
      <c r="C530" s="390" t="s">
        <v>466</v>
      </c>
      <c r="D530" s="385"/>
      <c r="E530" s="309"/>
      <c r="F530" s="310"/>
      <c r="G530" s="311"/>
      <c r="H530" s="312"/>
      <c r="I530" s="313"/>
      <c r="J530" s="307"/>
      <c r="K530" s="16"/>
      <c r="L530" s="17"/>
      <c r="M530" s="20"/>
      <c r="N530" s="14"/>
      <c r="O530" s="15"/>
      <c r="P530" s="22"/>
    </row>
    <row r="531" spans="1:16" s="5" customFormat="1" ht="14.25" customHeight="1" x14ac:dyDescent="0.3">
      <c r="A531" s="319"/>
      <c r="B531" s="306"/>
      <c r="C531" s="307"/>
      <c r="D531" s="308"/>
      <c r="E531" s="309"/>
      <c r="F531" s="310"/>
      <c r="G531" s="311"/>
      <c r="H531" s="312"/>
      <c r="I531" s="313"/>
      <c r="J531" s="307"/>
      <c r="K531" s="16"/>
      <c r="L531" s="17"/>
      <c r="M531" s="20"/>
      <c r="N531" s="14"/>
      <c r="O531" s="15"/>
      <c r="P531" s="22"/>
    </row>
    <row r="532" spans="1:16" s="5" customFormat="1" ht="14.25" customHeight="1" x14ac:dyDescent="0.3">
      <c r="A532" s="305"/>
      <c r="B532" s="306"/>
      <c r="C532" s="390" t="s">
        <v>467</v>
      </c>
      <c r="D532" s="385"/>
      <c r="E532" s="309"/>
      <c r="F532" s="310"/>
      <c r="G532" s="311"/>
      <c r="H532" s="312"/>
      <c r="I532" s="313"/>
      <c r="J532" s="307"/>
      <c r="K532" s="16"/>
      <c r="L532" s="17"/>
      <c r="M532" s="20"/>
      <c r="N532" s="14"/>
      <c r="O532" s="15"/>
      <c r="P532" s="22"/>
    </row>
    <row r="533" spans="1:16" s="5" customFormat="1" ht="47.1" customHeight="1" x14ac:dyDescent="0.3">
      <c r="A533" s="305"/>
      <c r="B533" s="306"/>
      <c r="C533" s="452" t="s">
        <v>468</v>
      </c>
      <c r="D533" s="453"/>
      <c r="E533" s="309"/>
      <c r="F533" s="310"/>
      <c r="G533" s="311"/>
      <c r="H533" s="312"/>
      <c r="I533" s="313"/>
      <c r="J533" s="307"/>
      <c r="K533" s="16"/>
      <c r="L533" s="17"/>
      <c r="M533" s="20"/>
      <c r="N533" s="14"/>
      <c r="O533" s="15"/>
      <c r="P533" s="22"/>
    </row>
    <row r="534" spans="1:16" s="5" customFormat="1" ht="15" customHeight="1" x14ac:dyDescent="0.3">
      <c r="A534" s="319" t="s">
        <v>19</v>
      </c>
      <c r="B534" s="306"/>
      <c r="C534" s="307"/>
      <c r="D534" s="308" t="s">
        <v>469</v>
      </c>
      <c r="E534" s="309">
        <v>1</v>
      </c>
      <c r="F534" s="310" t="s">
        <v>100</v>
      </c>
      <c r="G534" s="311"/>
      <c r="H534" s="312">
        <f t="shared" ref="H534:H537" si="71">E534*G534</f>
        <v>0</v>
      </c>
      <c r="I534" s="313"/>
      <c r="J534" s="307"/>
      <c r="K534" s="16"/>
      <c r="L534" s="17"/>
      <c r="M534" s="20"/>
      <c r="N534" s="14"/>
      <c r="O534" s="15"/>
      <c r="P534" s="22"/>
    </row>
    <row r="535" spans="1:16" s="307" customFormat="1" ht="15" customHeight="1" x14ac:dyDescent="0.3">
      <c r="A535" s="319" t="s">
        <v>22</v>
      </c>
      <c r="B535" s="306"/>
      <c r="D535" s="308" t="s">
        <v>470</v>
      </c>
      <c r="E535" s="309">
        <v>55</v>
      </c>
      <c r="F535" s="310" t="s">
        <v>46</v>
      </c>
      <c r="G535" s="311"/>
      <c r="H535" s="312">
        <f t="shared" si="71"/>
        <v>0</v>
      </c>
      <c r="I535" s="313"/>
      <c r="K535" s="314"/>
      <c r="L535" s="305"/>
      <c r="M535" s="315"/>
      <c r="N535" s="316"/>
      <c r="O535" s="317"/>
      <c r="P535" s="318"/>
    </row>
    <row r="536" spans="1:16" s="307" customFormat="1" ht="15" customHeight="1" x14ac:dyDescent="0.3">
      <c r="A536" s="319" t="s">
        <v>25</v>
      </c>
      <c r="B536" s="306"/>
      <c r="D536" s="308" t="s">
        <v>471</v>
      </c>
      <c r="E536" s="309">
        <f>1051-488</f>
        <v>563</v>
      </c>
      <c r="F536" s="310" t="s">
        <v>46</v>
      </c>
      <c r="G536" s="311"/>
      <c r="H536" s="312">
        <f t="shared" si="71"/>
        <v>0</v>
      </c>
      <c r="I536" s="313"/>
      <c r="K536" s="314"/>
      <c r="L536" s="305"/>
      <c r="M536" s="315"/>
      <c r="N536" s="316"/>
      <c r="O536" s="317"/>
      <c r="P536" s="318"/>
    </row>
    <row r="537" spans="1:16" s="307" customFormat="1" ht="15" customHeight="1" x14ac:dyDescent="0.3">
      <c r="A537" s="319" t="s">
        <v>28</v>
      </c>
      <c r="B537" s="306"/>
      <c r="D537" s="308" t="s">
        <v>472</v>
      </c>
      <c r="E537" s="309">
        <f>1092+145</f>
        <v>1237</v>
      </c>
      <c r="F537" s="310" t="s">
        <v>46</v>
      </c>
      <c r="G537" s="311"/>
      <c r="H537" s="312">
        <f t="shared" si="71"/>
        <v>0</v>
      </c>
      <c r="I537" s="313"/>
      <c r="K537" s="314"/>
      <c r="L537" s="305"/>
      <c r="M537" s="315"/>
      <c r="N537" s="316"/>
      <c r="O537" s="317"/>
      <c r="P537" s="318"/>
    </row>
    <row r="538" spans="1:16" s="5" customFormat="1" ht="15" customHeight="1" x14ac:dyDescent="0.3">
      <c r="A538" s="319"/>
      <c r="B538" s="306"/>
      <c r="C538" s="307"/>
      <c r="D538" s="308"/>
      <c r="E538" s="309"/>
      <c r="F538" s="310"/>
      <c r="G538" s="311"/>
      <c r="H538" s="312"/>
      <c r="I538" s="313"/>
      <c r="J538" s="307"/>
      <c r="K538" s="16"/>
      <c r="L538" s="17"/>
      <c r="M538" s="20"/>
      <c r="N538" s="14"/>
      <c r="O538" s="15"/>
      <c r="P538" s="22"/>
    </row>
    <row r="539" spans="1:16" s="5" customFormat="1" ht="45.15" customHeight="1" x14ac:dyDescent="0.3">
      <c r="A539" s="319"/>
      <c r="B539" s="306"/>
      <c r="C539" s="452" t="s">
        <v>473</v>
      </c>
      <c r="D539" s="453"/>
      <c r="E539" s="309"/>
      <c r="F539" s="310"/>
      <c r="G539" s="311"/>
      <c r="H539" s="312"/>
      <c r="I539" s="313"/>
      <c r="J539" s="307"/>
      <c r="K539" s="16"/>
      <c r="L539" s="17"/>
      <c r="M539" s="20"/>
      <c r="N539" s="14"/>
      <c r="O539" s="15"/>
      <c r="P539" s="22"/>
    </row>
    <row r="540" spans="1:16" s="5" customFormat="1" ht="15.15" customHeight="1" x14ac:dyDescent="0.3">
      <c r="A540" s="319" t="s">
        <v>30</v>
      </c>
      <c r="B540" s="306"/>
      <c r="C540" s="454"/>
      <c r="D540" s="308" t="s">
        <v>470</v>
      </c>
      <c r="E540" s="309">
        <v>1168</v>
      </c>
      <c r="F540" s="310" t="s">
        <v>46</v>
      </c>
      <c r="G540" s="311"/>
      <c r="H540" s="312">
        <f t="shared" ref="H540:H541" si="72">E540*G540</f>
        <v>0</v>
      </c>
      <c r="I540" s="313"/>
      <c r="J540" s="307"/>
      <c r="K540" s="16"/>
      <c r="L540" s="17"/>
      <c r="M540" s="20"/>
      <c r="N540" s="14"/>
      <c r="O540" s="15"/>
      <c r="P540" s="22"/>
    </row>
    <row r="541" spans="1:16" s="5" customFormat="1" ht="15" customHeight="1" x14ac:dyDescent="0.3">
      <c r="A541" s="319" t="s">
        <v>32</v>
      </c>
      <c r="B541" s="306"/>
      <c r="C541" s="307"/>
      <c r="D541" s="308" t="s">
        <v>471</v>
      </c>
      <c r="E541" s="309">
        <f>2827+56</f>
        <v>2883</v>
      </c>
      <c r="F541" s="310" t="s">
        <v>46</v>
      </c>
      <c r="G541" s="311"/>
      <c r="H541" s="312">
        <f t="shared" si="72"/>
        <v>0</v>
      </c>
      <c r="I541" s="313"/>
      <c r="J541" s="307"/>
      <c r="K541" s="16"/>
      <c r="L541" s="17"/>
      <c r="M541" s="20"/>
      <c r="N541" s="14"/>
      <c r="O541" s="15"/>
      <c r="P541" s="22"/>
    </row>
    <row r="542" spans="1:16" s="5" customFormat="1" ht="15" customHeight="1" x14ac:dyDescent="0.3">
      <c r="A542" s="319"/>
      <c r="B542" s="306"/>
      <c r="C542" s="307"/>
      <c r="D542" s="308"/>
      <c r="E542" s="309"/>
      <c r="F542" s="310"/>
      <c r="G542" s="311"/>
      <c r="H542" s="312"/>
      <c r="I542" s="313"/>
      <c r="J542" s="307"/>
      <c r="K542" s="16"/>
      <c r="L542" s="17"/>
      <c r="M542" s="20"/>
      <c r="N542" s="14"/>
      <c r="O542" s="15"/>
      <c r="P542" s="22"/>
    </row>
    <row r="543" spans="1:16" s="5" customFormat="1" ht="15" customHeight="1" x14ac:dyDescent="0.3">
      <c r="A543" s="305"/>
      <c r="B543" s="306"/>
      <c r="C543" s="390" t="s">
        <v>474</v>
      </c>
      <c r="D543" s="397"/>
      <c r="E543" s="309"/>
      <c r="F543" s="310"/>
      <c r="G543" s="311"/>
      <c r="H543" s="312"/>
      <c r="I543" s="313"/>
      <c r="J543" s="307"/>
      <c r="K543" s="16"/>
      <c r="L543" s="17"/>
      <c r="M543" s="20"/>
      <c r="N543" s="14"/>
      <c r="O543" s="15"/>
      <c r="P543" s="22"/>
    </row>
    <row r="544" spans="1:16" s="5" customFormat="1" ht="15" customHeight="1" x14ac:dyDescent="0.3">
      <c r="A544" s="305" t="s">
        <v>34</v>
      </c>
      <c r="B544" s="306"/>
      <c r="C544" s="390"/>
      <c r="D544" s="397" t="s">
        <v>471</v>
      </c>
      <c r="E544" s="309">
        <f>163+42</f>
        <v>205</v>
      </c>
      <c r="F544" s="310" t="s">
        <v>249</v>
      </c>
      <c r="G544" s="311"/>
      <c r="H544" s="312">
        <f t="shared" ref="H544" si="73">E544*G544</f>
        <v>0</v>
      </c>
      <c r="I544" s="313"/>
      <c r="J544" s="307"/>
      <c r="K544" s="16"/>
      <c r="L544" s="17"/>
      <c r="M544" s="20"/>
      <c r="N544" s="14"/>
      <c r="O544" s="15"/>
      <c r="P544" s="22"/>
    </row>
    <row r="545" spans="1:16" s="5" customFormat="1" ht="15" customHeight="1" x14ac:dyDescent="0.3">
      <c r="A545" s="305"/>
      <c r="B545" s="306"/>
      <c r="C545" s="390"/>
      <c r="D545" s="397"/>
      <c r="E545" s="309"/>
      <c r="F545" s="310"/>
      <c r="G545" s="311"/>
      <c r="H545" s="312"/>
      <c r="I545" s="313"/>
      <c r="J545" s="307"/>
      <c r="K545" s="16"/>
      <c r="L545" s="17"/>
      <c r="M545" s="20"/>
      <c r="N545" s="14"/>
      <c r="O545" s="15"/>
      <c r="P545" s="22"/>
    </row>
    <row r="546" spans="1:16" s="5" customFormat="1" ht="15" customHeight="1" x14ac:dyDescent="0.3">
      <c r="A546" s="305"/>
      <c r="B546" s="306"/>
      <c r="C546" s="390" t="s">
        <v>475</v>
      </c>
      <c r="D546" s="397"/>
      <c r="E546" s="309"/>
      <c r="F546" s="310"/>
      <c r="G546" s="311"/>
      <c r="H546" s="312"/>
      <c r="I546" s="313"/>
      <c r="J546" s="307"/>
      <c r="K546" s="16"/>
      <c r="L546" s="17"/>
      <c r="M546" s="20"/>
      <c r="N546" s="14"/>
      <c r="O546" s="15"/>
      <c r="P546" s="22"/>
    </row>
    <row r="547" spans="1:16" s="5" customFormat="1" ht="15" customHeight="1" x14ac:dyDescent="0.3">
      <c r="A547" s="305" t="s">
        <v>36</v>
      </c>
      <c r="B547" s="306"/>
      <c r="C547" s="390"/>
      <c r="D547" s="397" t="s">
        <v>476</v>
      </c>
      <c r="E547" s="309">
        <v>1</v>
      </c>
      <c r="F547" s="310" t="s">
        <v>249</v>
      </c>
      <c r="G547" s="311"/>
      <c r="H547" s="312">
        <f t="shared" ref="H547:H551" si="74">E547*G547</f>
        <v>0</v>
      </c>
      <c r="I547" s="313"/>
      <c r="J547" s="307"/>
      <c r="K547" s="16"/>
      <c r="L547" s="17"/>
      <c r="M547" s="20"/>
      <c r="N547" s="14"/>
      <c r="O547" s="15"/>
      <c r="P547" s="22"/>
    </row>
    <row r="548" spans="1:16" s="5" customFormat="1" ht="15" customHeight="1" x14ac:dyDescent="0.3">
      <c r="A548" s="305" t="s">
        <v>39</v>
      </c>
      <c r="B548" s="306"/>
      <c r="C548" s="390"/>
      <c r="D548" s="397" t="s">
        <v>477</v>
      </c>
      <c r="E548" s="309">
        <v>2</v>
      </c>
      <c r="F548" s="310" t="s">
        <v>249</v>
      </c>
      <c r="G548" s="311"/>
      <c r="H548" s="312">
        <f t="shared" si="74"/>
        <v>0</v>
      </c>
      <c r="I548" s="313"/>
      <c r="J548" s="307"/>
      <c r="K548" s="16"/>
      <c r="L548" s="17"/>
      <c r="M548" s="20"/>
      <c r="N548" s="14"/>
      <c r="O548" s="15"/>
      <c r="P548" s="22"/>
    </row>
    <row r="549" spans="1:16" s="5" customFormat="1" ht="15" customHeight="1" x14ac:dyDescent="0.3">
      <c r="A549" s="305" t="s">
        <v>42</v>
      </c>
      <c r="B549" s="306"/>
      <c r="C549" s="390"/>
      <c r="D549" s="397" t="s">
        <v>478</v>
      </c>
      <c r="E549" s="309">
        <v>11</v>
      </c>
      <c r="F549" s="310" t="s">
        <v>249</v>
      </c>
      <c r="G549" s="311"/>
      <c r="H549" s="312">
        <f t="shared" si="74"/>
        <v>0</v>
      </c>
      <c r="I549" s="313"/>
      <c r="J549" s="307"/>
      <c r="K549" s="16"/>
      <c r="L549" s="17"/>
      <c r="M549" s="20"/>
      <c r="N549" s="14"/>
      <c r="O549" s="15"/>
      <c r="P549" s="22"/>
    </row>
    <row r="550" spans="1:16" s="5" customFormat="1" ht="15" customHeight="1" x14ac:dyDescent="0.3">
      <c r="A550" s="305" t="s">
        <v>44</v>
      </c>
      <c r="B550" s="306"/>
      <c r="C550" s="390"/>
      <c r="D550" s="397" t="s">
        <v>479</v>
      </c>
      <c r="E550" s="309">
        <f>5+1+2</f>
        <v>8</v>
      </c>
      <c r="F550" s="310" t="s">
        <v>249</v>
      </c>
      <c r="G550" s="311"/>
      <c r="H550" s="312">
        <f t="shared" si="74"/>
        <v>0</v>
      </c>
      <c r="I550" s="313"/>
      <c r="J550" s="307"/>
      <c r="K550" s="16"/>
      <c r="L550" s="17"/>
      <c r="M550" s="20"/>
      <c r="N550" s="14"/>
      <c r="O550" s="15"/>
      <c r="P550" s="22"/>
    </row>
    <row r="551" spans="1:16" s="5" customFormat="1" ht="15" customHeight="1" x14ac:dyDescent="0.3">
      <c r="A551" s="305" t="s">
        <v>46</v>
      </c>
      <c r="B551" s="306"/>
      <c r="C551" s="390"/>
      <c r="D551" s="397" t="s">
        <v>480</v>
      </c>
      <c r="E551" s="309">
        <v>1</v>
      </c>
      <c r="F551" s="310" t="s">
        <v>249</v>
      </c>
      <c r="G551" s="311"/>
      <c r="H551" s="312">
        <f t="shared" si="74"/>
        <v>0</v>
      </c>
      <c r="I551" s="313"/>
      <c r="J551" s="307"/>
      <c r="K551" s="16"/>
      <c r="L551" s="17"/>
      <c r="M551" s="20"/>
      <c r="N551" s="14"/>
      <c r="O551" s="15"/>
      <c r="P551" s="22"/>
    </row>
    <row r="552" spans="1:16" s="5" customFormat="1" ht="15" customHeight="1" x14ac:dyDescent="0.3">
      <c r="A552" s="401"/>
      <c r="B552" s="402"/>
      <c r="C552" s="403"/>
      <c r="D552" s="438"/>
      <c r="E552" s="432"/>
      <c r="F552" s="433"/>
      <c r="G552" s="407"/>
      <c r="H552" s="408"/>
      <c r="I552" s="409"/>
      <c r="J552" s="307"/>
      <c r="K552" s="16"/>
      <c r="L552" s="17"/>
      <c r="M552" s="20"/>
      <c r="N552" s="14"/>
      <c r="O552" s="15"/>
      <c r="P552" s="22"/>
    </row>
    <row r="553" spans="1:16" s="5" customFormat="1" ht="15" customHeight="1" x14ac:dyDescent="0.3">
      <c r="A553" s="305"/>
      <c r="B553" s="306"/>
      <c r="C553" s="390" t="s">
        <v>481</v>
      </c>
      <c r="D553" s="397"/>
      <c r="E553" s="309"/>
      <c r="F553" s="310"/>
      <c r="G553" s="311"/>
      <c r="H553" s="312"/>
      <c r="I553" s="313"/>
      <c r="J553" s="307"/>
      <c r="K553" s="16"/>
      <c r="L553" s="17"/>
      <c r="M553" s="20"/>
      <c r="N553" s="14"/>
      <c r="O553" s="15"/>
      <c r="P553" s="22"/>
    </row>
    <row r="554" spans="1:16" s="5" customFormat="1" ht="15" customHeight="1" x14ac:dyDescent="0.3">
      <c r="A554" s="305" t="s">
        <v>48</v>
      </c>
      <c r="B554" s="306"/>
      <c r="C554" s="390"/>
      <c r="D554" s="397" t="s">
        <v>471</v>
      </c>
      <c r="E554" s="309">
        <v>1</v>
      </c>
      <c r="F554" s="310" t="s">
        <v>249</v>
      </c>
      <c r="G554" s="311"/>
      <c r="H554" s="312">
        <f t="shared" ref="H554" si="75">E554*G554</f>
        <v>0</v>
      </c>
      <c r="I554" s="313"/>
      <c r="J554" s="307"/>
      <c r="K554" s="16"/>
      <c r="L554" s="17"/>
      <c r="M554" s="20"/>
      <c r="N554" s="14"/>
      <c r="O554" s="15"/>
      <c r="P554" s="22"/>
    </row>
    <row r="555" spans="1:16" s="5" customFormat="1" ht="15" customHeight="1" x14ac:dyDescent="0.3">
      <c r="A555" s="305"/>
      <c r="B555" s="306"/>
      <c r="C555" s="390"/>
      <c r="D555" s="397"/>
      <c r="E555" s="309"/>
      <c r="F555" s="310"/>
      <c r="G555" s="311"/>
      <c r="H555" s="312"/>
      <c r="I555" s="313"/>
      <c r="J555" s="307"/>
      <c r="K555" s="16"/>
      <c r="L555" s="17"/>
      <c r="M555" s="20"/>
      <c r="N555" s="14"/>
      <c r="O555" s="15"/>
      <c r="P555" s="22"/>
    </row>
    <row r="556" spans="1:16" s="5" customFormat="1" ht="15" customHeight="1" x14ac:dyDescent="0.3">
      <c r="A556" s="305"/>
      <c r="B556" s="306"/>
      <c r="C556" s="390" t="s">
        <v>482</v>
      </c>
      <c r="D556" s="397"/>
      <c r="E556" s="309"/>
      <c r="F556" s="310"/>
      <c r="G556" s="311"/>
      <c r="H556" s="312"/>
      <c r="I556" s="313"/>
      <c r="J556" s="307"/>
      <c r="K556" s="16"/>
      <c r="L556" s="17"/>
      <c r="M556" s="20"/>
      <c r="N556" s="14"/>
      <c r="O556" s="15"/>
      <c r="P556" s="22"/>
    </row>
    <row r="557" spans="1:16" s="5" customFormat="1" ht="15" customHeight="1" x14ac:dyDescent="0.3">
      <c r="A557" s="305" t="s">
        <v>50</v>
      </c>
      <c r="B557" s="306"/>
      <c r="C557" s="390"/>
      <c r="D557" s="397" t="s">
        <v>472</v>
      </c>
      <c r="E557" s="309">
        <v>39</v>
      </c>
      <c r="F557" s="310" t="s">
        <v>249</v>
      </c>
      <c r="G557" s="311"/>
      <c r="H557" s="312">
        <f t="shared" ref="H557" si="76">E557*G557</f>
        <v>0</v>
      </c>
      <c r="I557" s="313"/>
      <c r="J557" s="307"/>
      <c r="K557" s="16"/>
      <c r="L557" s="17"/>
      <c r="M557" s="20"/>
      <c r="N557" s="14"/>
      <c r="O557" s="15"/>
      <c r="P557" s="22"/>
    </row>
    <row r="558" spans="1:16" s="5" customFormat="1" ht="15" customHeight="1" x14ac:dyDescent="0.3">
      <c r="A558" s="305"/>
      <c r="B558" s="306"/>
      <c r="C558" s="390"/>
      <c r="D558" s="397"/>
      <c r="E558" s="309"/>
      <c r="F558" s="310"/>
      <c r="G558" s="311"/>
      <c r="H558" s="312"/>
      <c r="I558" s="313"/>
      <c r="J558" s="307"/>
      <c r="K558" s="16"/>
      <c r="L558" s="17"/>
      <c r="M558" s="20"/>
      <c r="N558" s="14"/>
      <c r="O558" s="15"/>
      <c r="P558" s="22"/>
    </row>
    <row r="559" spans="1:16" s="5" customFormat="1" ht="15" customHeight="1" x14ac:dyDescent="0.3">
      <c r="A559" s="305"/>
      <c r="B559" s="306"/>
      <c r="C559" s="390" t="s">
        <v>483</v>
      </c>
      <c r="D559" s="397"/>
      <c r="E559" s="309"/>
      <c r="F559" s="310"/>
      <c r="G559" s="311"/>
      <c r="H559" s="312"/>
      <c r="I559" s="313"/>
      <c r="J559" s="307"/>
      <c r="K559" s="16"/>
      <c r="L559" s="17"/>
      <c r="M559" s="20"/>
      <c r="N559" s="14"/>
      <c r="O559" s="15"/>
      <c r="P559" s="22"/>
    </row>
    <row r="560" spans="1:16" s="5" customFormat="1" ht="15" customHeight="1" x14ac:dyDescent="0.3">
      <c r="A560" s="305" t="s">
        <v>52</v>
      </c>
      <c r="B560" s="306"/>
      <c r="C560" s="390"/>
      <c r="D560" s="397" t="s">
        <v>471</v>
      </c>
      <c r="E560" s="309">
        <f>136+23</f>
        <v>159</v>
      </c>
      <c r="F560" s="310" t="s">
        <v>249</v>
      </c>
      <c r="G560" s="311"/>
      <c r="H560" s="312">
        <f t="shared" ref="H560" si="77">E560*G560</f>
        <v>0</v>
      </c>
      <c r="I560" s="313"/>
      <c r="J560" s="307"/>
      <c r="K560" s="16"/>
      <c r="L560" s="17"/>
      <c r="M560" s="20"/>
      <c r="N560" s="14"/>
      <c r="O560" s="15"/>
      <c r="P560" s="22"/>
    </row>
    <row r="561" spans="1:16" s="5" customFormat="1" ht="15" customHeight="1" x14ac:dyDescent="0.3">
      <c r="A561" s="305"/>
      <c r="B561" s="306"/>
      <c r="C561" s="390"/>
      <c r="D561" s="397"/>
      <c r="E561" s="309"/>
      <c r="F561" s="310"/>
      <c r="G561" s="311"/>
      <c r="H561" s="312"/>
      <c r="I561" s="313"/>
      <c r="J561" s="307"/>
      <c r="K561" s="16"/>
      <c r="L561" s="17"/>
      <c r="M561" s="20"/>
      <c r="N561" s="14"/>
      <c r="O561" s="15"/>
      <c r="P561" s="22"/>
    </row>
    <row r="562" spans="1:16" s="5" customFormat="1" ht="15" customHeight="1" x14ac:dyDescent="0.3">
      <c r="A562" s="305"/>
      <c r="B562" s="306"/>
      <c r="C562" s="390" t="s">
        <v>484</v>
      </c>
      <c r="D562" s="397"/>
      <c r="E562" s="309"/>
      <c r="F562" s="310"/>
      <c r="G562" s="311"/>
      <c r="H562" s="312"/>
      <c r="I562" s="313"/>
      <c r="J562" s="307"/>
      <c r="K562" s="16"/>
      <c r="L562" s="17"/>
      <c r="M562" s="20"/>
      <c r="N562" s="14"/>
      <c r="O562" s="15"/>
      <c r="P562" s="22"/>
    </row>
    <row r="563" spans="1:16" s="5" customFormat="1" ht="15" customHeight="1" x14ac:dyDescent="0.3">
      <c r="A563" s="305" t="s">
        <v>54</v>
      </c>
      <c r="B563" s="306"/>
      <c r="C563" s="390"/>
      <c r="D563" s="397" t="s">
        <v>471</v>
      </c>
      <c r="E563" s="309">
        <v>4</v>
      </c>
      <c r="F563" s="310" t="s">
        <v>249</v>
      </c>
      <c r="G563" s="311"/>
      <c r="H563" s="312">
        <f t="shared" ref="H563" si="78">E563*G563</f>
        <v>0</v>
      </c>
      <c r="I563" s="313"/>
      <c r="J563" s="307"/>
      <c r="K563" s="16"/>
      <c r="L563" s="17"/>
      <c r="M563" s="20"/>
      <c r="N563" s="14"/>
      <c r="O563" s="15"/>
      <c r="P563" s="22"/>
    </row>
    <row r="564" spans="1:16" s="5" customFormat="1" ht="15" customHeight="1" x14ac:dyDescent="0.3">
      <c r="A564" s="305"/>
      <c r="B564" s="306"/>
      <c r="C564" s="390"/>
      <c r="D564" s="397"/>
      <c r="E564" s="309"/>
      <c r="F564" s="310"/>
      <c r="G564" s="311"/>
      <c r="H564" s="312"/>
      <c r="I564" s="313"/>
      <c r="J564" s="307"/>
      <c r="K564" s="16"/>
      <c r="L564" s="17"/>
      <c r="M564" s="20"/>
      <c r="N564" s="14"/>
      <c r="O564" s="15"/>
      <c r="P564" s="22"/>
    </row>
    <row r="565" spans="1:16" s="5" customFormat="1" ht="58.5" customHeight="1" x14ac:dyDescent="0.3">
      <c r="A565" s="305"/>
      <c r="B565" s="306"/>
      <c r="C565" s="452" t="s">
        <v>485</v>
      </c>
      <c r="D565" s="453"/>
      <c r="E565" s="309"/>
      <c r="F565" s="310"/>
      <c r="G565" s="311"/>
      <c r="H565" s="312"/>
      <c r="I565" s="313"/>
      <c r="J565" s="307"/>
      <c r="K565" s="16"/>
      <c r="L565" s="17"/>
      <c r="M565" s="20"/>
      <c r="N565" s="14"/>
      <c r="O565" s="15"/>
      <c r="P565" s="22"/>
    </row>
    <row r="566" spans="1:16" s="5" customFormat="1" ht="27.6" x14ac:dyDescent="0.3">
      <c r="A566" s="305" t="s">
        <v>56</v>
      </c>
      <c r="B566" s="306"/>
      <c r="C566" s="390"/>
      <c r="D566" s="308" t="s">
        <v>486</v>
      </c>
      <c r="E566" s="309">
        <v>1</v>
      </c>
      <c r="F566" s="310" t="s">
        <v>487</v>
      </c>
      <c r="G566" s="311"/>
      <c r="H566" s="312">
        <f t="shared" ref="H566:H567" si="79">E566*G566</f>
        <v>0</v>
      </c>
      <c r="I566" s="313"/>
      <c r="J566" s="307"/>
      <c r="K566" s="16"/>
      <c r="L566" s="17"/>
      <c r="M566" s="20"/>
      <c r="N566" s="14"/>
      <c r="O566" s="15"/>
      <c r="P566" s="22"/>
    </row>
    <row r="567" spans="1:16" s="5" customFormat="1" ht="27.6" x14ac:dyDescent="0.3">
      <c r="A567" s="305" t="s">
        <v>58</v>
      </c>
      <c r="B567" s="306"/>
      <c r="C567" s="390"/>
      <c r="D567" s="308" t="s">
        <v>488</v>
      </c>
      <c r="E567" s="309">
        <v>1</v>
      </c>
      <c r="F567" s="310" t="s">
        <v>487</v>
      </c>
      <c r="G567" s="311"/>
      <c r="H567" s="312">
        <f t="shared" si="79"/>
        <v>0</v>
      </c>
      <c r="I567" s="313"/>
      <c r="J567" s="307"/>
      <c r="K567" s="16"/>
      <c r="L567" s="17"/>
      <c r="M567" s="20"/>
      <c r="N567" s="14"/>
      <c r="O567" s="15"/>
      <c r="P567" s="22"/>
    </row>
    <row r="568" spans="1:16" s="5" customFormat="1" x14ac:dyDescent="0.3">
      <c r="A568" s="305"/>
      <c r="B568" s="306"/>
      <c r="C568" s="390"/>
      <c r="D568" s="308"/>
      <c r="E568" s="309"/>
      <c r="F568" s="310"/>
      <c r="G568" s="311"/>
      <c r="H568" s="312"/>
      <c r="I568" s="313"/>
      <c r="J568" s="307"/>
      <c r="K568" s="16"/>
      <c r="L568" s="17"/>
      <c r="M568" s="20"/>
      <c r="N568" s="14"/>
      <c r="O568" s="15"/>
      <c r="P568" s="22"/>
    </row>
    <row r="569" spans="1:16" s="5" customFormat="1" ht="58.65" customHeight="1" x14ac:dyDescent="0.3">
      <c r="A569" s="305"/>
      <c r="B569" s="306"/>
      <c r="C569" s="452" t="s">
        <v>489</v>
      </c>
      <c r="D569" s="453"/>
      <c r="E569" s="309"/>
      <c r="F569" s="310"/>
      <c r="G569" s="311"/>
      <c r="H569" s="312"/>
      <c r="I569" s="313"/>
      <c r="J569" s="307"/>
      <c r="K569" s="16"/>
      <c r="L569" s="17"/>
      <c r="M569" s="20"/>
      <c r="N569" s="14"/>
      <c r="O569" s="15"/>
      <c r="P569" s="22"/>
    </row>
    <row r="570" spans="1:16" s="5" customFormat="1" ht="27.6" x14ac:dyDescent="0.3">
      <c r="A570" s="305" t="s">
        <v>60</v>
      </c>
      <c r="B570" s="306"/>
      <c r="C570" s="390"/>
      <c r="D570" s="308" t="s">
        <v>490</v>
      </c>
      <c r="E570" s="309">
        <v>1</v>
      </c>
      <c r="F570" s="310" t="s">
        <v>487</v>
      </c>
      <c r="G570" s="311"/>
      <c r="H570" s="312">
        <f t="shared" ref="H570:H572" si="80">E570*G570</f>
        <v>0</v>
      </c>
      <c r="I570" s="313"/>
      <c r="J570" s="307"/>
      <c r="K570" s="16"/>
      <c r="L570" s="17"/>
      <c r="M570" s="20"/>
      <c r="N570" s="14"/>
      <c r="O570" s="15"/>
      <c r="P570" s="22"/>
    </row>
    <row r="571" spans="1:16" s="5" customFormat="1" ht="27.6" x14ac:dyDescent="0.3">
      <c r="A571" s="305" t="s">
        <v>62</v>
      </c>
      <c r="B571" s="306"/>
      <c r="C571" s="390"/>
      <c r="D571" s="308" t="s">
        <v>491</v>
      </c>
      <c r="E571" s="309">
        <v>1</v>
      </c>
      <c r="F571" s="310" t="s">
        <v>487</v>
      </c>
      <c r="G571" s="311"/>
      <c r="H571" s="312">
        <f t="shared" si="80"/>
        <v>0</v>
      </c>
      <c r="I571" s="313"/>
      <c r="J571" s="307"/>
      <c r="K571" s="16"/>
      <c r="L571" s="17"/>
      <c r="M571" s="20"/>
      <c r="N571" s="14"/>
      <c r="O571" s="15"/>
      <c r="P571" s="22"/>
    </row>
    <row r="572" spans="1:16" s="5" customFormat="1" ht="27.6" x14ac:dyDescent="0.3">
      <c r="A572" s="305" t="s">
        <v>64</v>
      </c>
      <c r="B572" s="306"/>
      <c r="C572" s="390"/>
      <c r="D572" s="308" t="s">
        <v>492</v>
      </c>
      <c r="E572" s="309">
        <v>1</v>
      </c>
      <c r="F572" s="310" t="s">
        <v>487</v>
      </c>
      <c r="G572" s="311"/>
      <c r="H572" s="312">
        <f t="shared" si="80"/>
        <v>0</v>
      </c>
      <c r="I572" s="313"/>
      <c r="J572" s="307"/>
      <c r="K572" s="16"/>
      <c r="L572" s="17"/>
      <c r="M572" s="20"/>
      <c r="N572" s="14"/>
      <c r="O572" s="15"/>
      <c r="P572" s="22"/>
    </row>
    <row r="573" spans="1:16" s="5" customFormat="1" ht="15" customHeight="1" x14ac:dyDescent="0.3">
      <c r="A573" s="305"/>
      <c r="B573" s="306"/>
      <c r="C573" s="390"/>
      <c r="D573" s="397"/>
      <c r="E573" s="309"/>
      <c r="F573" s="310"/>
      <c r="G573" s="311"/>
      <c r="H573" s="312"/>
      <c r="I573" s="313"/>
      <c r="J573" s="307"/>
      <c r="K573" s="16"/>
      <c r="L573" s="17"/>
      <c r="M573" s="20"/>
      <c r="N573" s="14"/>
      <c r="O573" s="15"/>
      <c r="P573" s="22"/>
    </row>
    <row r="574" spans="1:16" s="5" customFormat="1" ht="15" customHeight="1" x14ac:dyDescent="0.3">
      <c r="A574" s="305"/>
      <c r="B574" s="306"/>
      <c r="C574" s="452" t="s">
        <v>493</v>
      </c>
      <c r="D574" s="453"/>
      <c r="E574" s="309"/>
      <c r="F574" s="310"/>
      <c r="G574" s="311"/>
      <c r="H574" s="312"/>
      <c r="I574" s="313"/>
      <c r="J574" s="307"/>
      <c r="K574" s="16"/>
      <c r="L574" s="17"/>
      <c r="M574" s="20"/>
      <c r="N574" s="14"/>
      <c r="O574" s="15"/>
      <c r="P574" s="22"/>
    </row>
    <row r="575" spans="1:16" s="5" customFormat="1" ht="15" customHeight="1" x14ac:dyDescent="0.3">
      <c r="A575" s="305" t="s">
        <v>66</v>
      </c>
      <c r="B575" s="306"/>
      <c r="C575" s="390"/>
      <c r="D575" s="308" t="s">
        <v>494</v>
      </c>
      <c r="E575" s="309">
        <v>3</v>
      </c>
      <c r="F575" s="310" t="s">
        <v>249</v>
      </c>
      <c r="G575" s="311"/>
      <c r="H575" s="312">
        <f t="shared" ref="H575" si="81">E575*G575</f>
        <v>0</v>
      </c>
      <c r="I575" s="313"/>
      <c r="J575" s="307"/>
      <c r="K575" s="16"/>
      <c r="L575" s="17"/>
      <c r="M575" s="20"/>
      <c r="N575" s="14"/>
      <c r="O575" s="15"/>
      <c r="P575" s="22"/>
    </row>
    <row r="576" spans="1:16" s="5" customFormat="1" ht="15" customHeight="1" x14ac:dyDescent="0.3">
      <c r="A576" s="305"/>
      <c r="B576" s="306"/>
      <c r="C576" s="390"/>
      <c r="D576" s="308"/>
      <c r="E576" s="309"/>
      <c r="F576" s="310"/>
      <c r="G576" s="311"/>
      <c r="H576" s="312"/>
      <c r="I576" s="313"/>
      <c r="J576" s="307"/>
      <c r="K576" s="16"/>
      <c r="L576" s="17"/>
      <c r="M576" s="20"/>
      <c r="N576" s="14"/>
      <c r="O576" s="15"/>
      <c r="P576" s="22"/>
    </row>
    <row r="577" spans="1:16" s="5" customFormat="1" ht="15" customHeight="1" x14ac:dyDescent="0.3">
      <c r="A577" s="305"/>
      <c r="B577" s="306"/>
      <c r="C577" s="452" t="s">
        <v>495</v>
      </c>
      <c r="D577" s="453"/>
      <c r="E577" s="309"/>
      <c r="F577" s="310"/>
      <c r="G577" s="311"/>
      <c r="H577" s="312"/>
      <c r="I577" s="313"/>
      <c r="J577" s="307"/>
      <c r="K577" s="16"/>
      <c r="L577" s="17"/>
      <c r="M577" s="20"/>
      <c r="N577" s="14"/>
      <c r="O577" s="15"/>
      <c r="P577" s="22"/>
    </row>
    <row r="578" spans="1:16" s="5" customFormat="1" ht="15" customHeight="1" x14ac:dyDescent="0.3">
      <c r="A578" s="305" t="s">
        <v>68</v>
      </c>
      <c r="B578" s="306"/>
      <c r="C578" s="390"/>
      <c r="D578" s="308" t="s">
        <v>496</v>
      </c>
      <c r="E578" s="309">
        <v>2</v>
      </c>
      <c r="F578" s="310" t="s">
        <v>249</v>
      </c>
      <c r="G578" s="311"/>
      <c r="H578" s="312">
        <f t="shared" ref="H578:H579" si="82">E578*G578</f>
        <v>0</v>
      </c>
      <c r="I578" s="313"/>
      <c r="J578" s="307"/>
      <c r="K578" s="16"/>
      <c r="L578" s="17"/>
      <c r="M578" s="20"/>
      <c r="N578" s="14"/>
      <c r="O578" s="15"/>
      <c r="P578" s="22"/>
    </row>
    <row r="579" spans="1:16" s="5" customFormat="1" ht="15" customHeight="1" x14ac:dyDescent="0.3">
      <c r="A579" s="305" t="s">
        <v>71</v>
      </c>
      <c r="B579" s="306"/>
      <c r="C579" s="390"/>
      <c r="D579" s="308" t="s">
        <v>497</v>
      </c>
      <c r="E579" s="309">
        <v>11</v>
      </c>
      <c r="F579" s="310" t="s">
        <v>249</v>
      </c>
      <c r="G579" s="311"/>
      <c r="H579" s="312">
        <f t="shared" si="82"/>
        <v>0</v>
      </c>
      <c r="I579" s="313"/>
      <c r="J579" s="307"/>
      <c r="K579" s="16"/>
      <c r="L579" s="17"/>
      <c r="M579" s="20"/>
      <c r="N579" s="14"/>
      <c r="O579" s="15"/>
      <c r="P579" s="22"/>
    </row>
    <row r="580" spans="1:16" s="5" customFormat="1" ht="15" customHeight="1" x14ac:dyDescent="0.3">
      <c r="A580" s="305"/>
      <c r="B580" s="306"/>
      <c r="C580" s="390"/>
      <c r="D580" s="308"/>
      <c r="E580" s="309"/>
      <c r="F580" s="310"/>
      <c r="G580" s="311"/>
      <c r="H580" s="312"/>
      <c r="I580" s="313"/>
      <c r="J580" s="307"/>
      <c r="K580" s="16"/>
      <c r="L580" s="17"/>
      <c r="M580" s="20"/>
      <c r="N580" s="14"/>
      <c r="O580" s="15"/>
      <c r="P580" s="22"/>
    </row>
    <row r="581" spans="1:16" s="5" customFormat="1" ht="15" customHeight="1" x14ac:dyDescent="0.3">
      <c r="A581" s="305"/>
      <c r="B581" s="306"/>
      <c r="C581" s="452" t="s">
        <v>498</v>
      </c>
      <c r="D581" s="453"/>
      <c r="E581" s="309"/>
      <c r="F581" s="310"/>
      <c r="G581" s="311"/>
      <c r="H581" s="312"/>
      <c r="I581" s="313"/>
      <c r="J581" s="307"/>
      <c r="K581" s="16"/>
      <c r="L581" s="17"/>
      <c r="M581" s="20"/>
      <c r="N581" s="14"/>
      <c r="O581" s="15"/>
      <c r="P581" s="22"/>
    </row>
    <row r="582" spans="1:16" s="5" customFormat="1" ht="15" customHeight="1" x14ac:dyDescent="0.3">
      <c r="A582" s="305" t="s">
        <v>73</v>
      </c>
      <c r="B582" s="306"/>
      <c r="C582" s="390"/>
      <c r="D582" s="308" t="s">
        <v>499</v>
      </c>
      <c r="E582" s="309">
        <v>3</v>
      </c>
      <c r="F582" s="310" t="s">
        <v>249</v>
      </c>
      <c r="G582" s="311"/>
      <c r="H582" s="312">
        <f t="shared" ref="H582" si="83">E582*G582</f>
        <v>0</v>
      </c>
      <c r="I582" s="313"/>
      <c r="J582" s="307"/>
      <c r="K582" s="16"/>
      <c r="L582" s="17"/>
      <c r="M582" s="20"/>
      <c r="N582" s="14"/>
      <c r="O582" s="15"/>
      <c r="P582" s="22"/>
    </row>
    <row r="583" spans="1:16" s="5" customFormat="1" ht="15" customHeight="1" x14ac:dyDescent="0.3">
      <c r="A583" s="305"/>
      <c r="B583" s="306"/>
      <c r="C583" s="390"/>
      <c r="D583" s="308"/>
      <c r="E583" s="309"/>
      <c r="F583" s="310"/>
      <c r="G583" s="311"/>
      <c r="H583" s="312"/>
      <c r="I583" s="313"/>
      <c r="J583" s="307"/>
      <c r="K583" s="16"/>
      <c r="L583" s="17"/>
      <c r="M583" s="20"/>
      <c r="N583" s="14"/>
      <c r="O583" s="15"/>
      <c r="P583" s="22"/>
    </row>
    <row r="584" spans="1:16" s="5" customFormat="1" ht="15" customHeight="1" x14ac:dyDescent="0.3">
      <c r="A584" s="305"/>
      <c r="B584" s="306"/>
      <c r="C584" s="452" t="s">
        <v>500</v>
      </c>
      <c r="D584" s="453"/>
      <c r="E584" s="309"/>
      <c r="F584" s="310"/>
      <c r="G584" s="311"/>
      <c r="H584" s="312"/>
      <c r="I584" s="313"/>
      <c r="J584" s="307"/>
      <c r="K584" s="16"/>
      <c r="L584" s="17"/>
      <c r="M584" s="20"/>
      <c r="N584" s="14"/>
      <c r="O584" s="15"/>
      <c r="P584" s="22"/>
    </row>
    <row r="585" spans="1:16" s="5" customFormat="1" ht="15" customHeight="1" x14ac:dyDescent="0.3">
      <c r="A585" s="305" t="s">
        <v>75</v>
      </c>
      <c r="B585" s="306"/>
      <c r="C585" s="390"/>
      <c r="D585" s="308" t="s">
        <v>501</v>
      </c>
      <c r="E585" s="309">
        <v>3</v>
      </c>
      <c r="F585" s="310" t="s">
        <v>249</v>
      </c>
      <c r="G585" s="311"/>
      <c r="H585" s="312">
        <f t="shared" ref="H585" si="84">E585*G585</f>
        <v>0</v>
      </c>
      <c r="I585" s="313"/>
      <c r="J585" s="307"/>
      <c r="K585" s="16"/>
      <c r="L585" s="17"/>
      <c r="M585" s="20"/>
      <c r="N585" s="14"/>
      <c r="O585" s="15"/>
      <c r="P585" s="22"/>
    </row>
    <row r="586" spans="1:16" s="5" customFormat="1" ht="15" customHeight="1" x14ac:dyDescent="0.3">
      <c r="A586" s="305"/>
      <c r="B586" s="306"/>
      <c r="C586" s="390"/>
      <c r="D586" s="308"/>
      <c r="E586" s="309"/>
      <c r="F586" s="310"/>
      <c r="G586" s="311"/>
      <c r="H586" s="312"/>
      <c r="I586" s="313"/>
      <c r="J586" s="307"/>
      <c r="K586" s="16"/>
      <c r="L586" s="17"/>
      <c r="M586" s="20"/>
      <c r="N586" s="14"/>
      <c r="O586" s="15"/>
      <c r="P586" s="22"/>
    </row>
    <row r="587" spans="1:16" s="5" customFormat="1" ht="15" customHeight="1" x14ac:dyDescent="0.3">
      <c r="A587" s="305"/>
      <c r="B587" s="306"/>
      <c r="C587" s="452" t="s">
        <v>502</v>
      </c>
      <c r="D587" s="453"/>
      <c r="E587" s="309"/>
      <c r="F587" s="310"/>
      <c r="G587" s="311"/>
      <c r="H587" s="312"/>
      <c r="I587" s="313"/>
      <c r="J587" s="307"/>
      <c r="K587" s="16"/>
      <c r="L587" s="17"/>
      <c r="M587" s="20"/>
      <c r="N587" s="14"/>
      <c r="O587" s="15"/>
      <c r="P587" s="22"/>
    </row>
    <row r="588" spans="1:16" s="5" customFormat="1" ht="15" customHeight="1" x14ac:dyDescent="0.3">
      <c r="A588" s="305" t="s">
        <v>77</v>
      </c>
      <c r="B588" s="306"/>
      <c r="C588" s="390"/>
      <c r="D588" s="308" t="s">
        <v>503</v>
      </c>
      <c r="E588" s="309">
        <v>1</v>
      </c>
      <c r="F588" s="310" t="s">
        <v>249</v>
      </c>
      <c r="G588" s="311"/>
      <c r="H588" s="312">
        <f t="shared" ref="H588" si="85">E588*G588</f>
        <v>0</v>
      </c>
      <c r="I588" s="313"/>
      <c r="J588" s="307"/>
      <c r="K588" s="16"/>
      <c r="L588" s="17"/>
      <c r="M588" s="20"/>
      <c r="N588" s="14"/>
      <c r="O588" s="15"/>
      <c r="P588" s="22"/>
    </row>
    <row r="589" spans="1:16" s="5" customFormat="1" ht="15" customHeight="1" x14ac:dyDescent="0.3">
      <c r="A589" s="305"/>
      <c r="B589" s="306"/>
      <c r="C589" s="390"/>
      <c r="D589" s="308"/>
      <c r="E589" s="309"/>
      <c r="F589" s="310"/>
      <c r="G589" s="311"/>
      <c r="H589" s="312"/>
      <c r="I589" s="313"/>
      <c r="J589" s="307"/>
      <c r="K589" s="16"/>
      <c r="L589" s="17"/>
      <c r="M589" s="20"/>
      <c r="N589" s="14"/>
      <c r="O589" s="15"/>
      <c r="P589" s="22"/>
    </row>
    <row r="590" spans="1:16" s="5" customFormat="1" ht="15" customHeight="1" x14ac:dyDescent="0.3">
      <c r="A590" s="305"/>
      <c r="B590" s="306"/>
      <c r="C590" s="452" t="s">
        <v>504</v>
      </c>
      <c r="D590" s="453"/>
      <c r="E590" s="309"/>
      <c r="F590" s="310"/>
      <c r="G590" s="311"/>
      <c r="H590" s="312"/>
      <c r="I590" s="313"/>
      <c r="J590" s="307"/>
      <c r="K590" s="16"/>
      <c r="L590" s="17"/>
      <c r="M590" s="20"/>
      <c r="N590" s="14"/>
      <c r="O590" s="15"/>
      <c r="P590" s="22"/>
    </row>
    <row r="591" spans="1:16" s="5" customFormat="1" ht="15" customHeight="1" x14ac:dyDescent="0.3">
      <c r="A591" s="305" t="s">
        <v>80</v>
      </c>
      <c r="B591" s="306"/>
      <c r="C591" s="390"/>
      <c r="D591" s="308" t="s">
        <v>503</v>
      </c>
      <c r="E591" s="309">
        <v>1</v>
      </c>
      <c r="F591" s="310" t="s">
        <v>249</v>
      </c>
      <c r="G591" s="311"/>
      <c r="H591" s="312">
        <f t="shared" ref="H591" si="86">E591*G591</f>
        <v>0</v>
      </c>
      <c r="I591" s="313"/>
      <c r="J591" s="307"/>
      <c r="K591" s="16"/>
      <c r="L591" s="17"/>
      <c r="M591" s="20"/>
      <c r="N591" s="14"/>
      <c r="O591" s="15"/>
      <c r="P591" s="22"/>
    </row>
    <row r="592" spans="1:16" s="5" customFormat="1" ht="15" customHeight="1" x14ac:dyDescent="0.3">
      <c r="A592" s="305"/>
      <c r="B592" s="306"/>
      <c r="C592" s="390"/>
      <c r="D592" s="308"/>
      <c r="E592" s="309"/>
      <c r="F592" s="310"/>
      <c r="G592" s="311"/>
      <c r="H592" s="312"/>
      <c r="I592" s="313"/>
      <c r="J592" s="307"/>
      <c r="K592" s="16"/>
      <c r="L592" s="17"/>
      <c r="M592" s="20"/>
      <c r="N592" s="14"/>
      <c r="O592" s="15"/>
      <c r="P592" s="22"/>
    </row>
    <row r="593" spans="1:16" s="5" customFormat="1" ht="15" customHeight="1" x14ac:dyDescent="0.3">
      <c r="A593" s="305"/>
      <c r="B593" s="306"/>
      <c r="C593" s="390" t="s">
        <v>505</v>
      </c>
      <c r="D593" s="308"/>
      <c r="E593" s="309"/>
      <c r="F593" s="310"/>
      <c r="G593" s="311"/>
      <c r="H593" s="312"/>
      <c r="I593" s="313"/>
      <c r="J593" s="307"/>
      <c r="K593" s="16"/>
      <c r="L593" s="17"/>
      <c r="M593" s="20"/>
      <c r="N593" s="14"/>
      <c r="O593" s="15"/>
      <c r="P593" s="22"/>
    </row>
    <row r="594" spans="1:16" s="5" customFormat="1" ht="45.15" customHeight="1" x14ac:dyDescent="0.3">
      <c r="A594" s="305"/>
      <c r="B594" s="306"/>
      <c r="C594" s="452" t="s">
        <v>506</v>
      </c>
      <c r="D594" s="453"/>
      <c r="E594" s="309"/>
      <c r="F594" s="310"/>
      <c r="G594" s="311"/>
      <c r="H594" s="312"/>
      <c r="I594" s="313"/>
      <c r="J594" s="307"/>
      <c r="K594" s="16"/>
      <c r="L594" s="17"/>
      <c r="M594" s="20"/>
      <c r="N594" s="14"/>
      <c r="O594" s="15"/>
      <c r="P594" s="22"/>
    </row>
    <row r="595" spans="1:16" s="5" customFormat="1" ht="15" customHeight="1" x14ac:dyDescent="0.3">
      <c r="A595" s="305" t="s">
        <v>81</v>
      </c>
      <c r="B595" s="306"/>
      <c r="C595" s="390"/>
      <c r="D595" s="308" t="s">
        <v>507</v>
      </c>
      <c r="E595" s="309">
        <v>1</v>
      </c>
      <c r="F595" s="310" t="s">
        <v>100</v>
      </c>
      <c r="G595" s="311"/>
      <c r="H595" s="312">
        <f t="shared" ref="H595:H596" si="87">E595*G595</f>
        <v>0</v>
      </c>
      <c r="I595" s="313"/>
      <c r="J595" s="307"/>
      <c r="K595" s="16"/>
      <c r="L595" s="17"/>
      <c r="M595" s="20"/>
      <c r="N595" s="14"/>
      <c r="O595" s="15"/>
      <c r="P595" s="22"/>
    </row>
    <row r="596" spans="1:16" s="5" customFormat="1" ht="15" customHeight="1" x14ac:dyDescent="0.3">
      <c r="A596" s="305" t="s">
        <v>83</v>
      </c>
      <c r="B596" s="306"/>
      <c r="C596" s="390"/>
      <c r="D596" s="308" t="s">
        <v>508</v>
      </c>
      <c r="E596" s="309">
        <v>1</v>
      </c>
      <c r="F596" s="310" t="s">
        <v>100</v>
      </c>
      <c r="G596" s="311"/>
      <c r="H596" s="312">
        <f t="shared" si="87"/>
        <v>0</v>
      </c>
      <c r="I596" s="313"/>
      <c r="J596" s="307"/>
      <c r="K596" s="16"/>
      <c r="L596" s="17"/>
      <c r="M596" s="20"/>
      <c r="N596" s="14"/>
      <c r="O596" s="15"/>
      <c r="P596" s="22"/>
    </row>
    <row r="597" spans="1:16" s="5" customFormat="1" ht="15" customHeight="1" x14ac:dyDescent="0.3">
      <c r="A597" s="305"/>
      <c r="B597" s="306"/>
      <c r="C597" s="390"/>
      <c r="D597" s="308"/>
      <c r="E597" s="309"/>
      <c r="F597" s="310"/>
      <c r="G597" s="311"/>
      <c r="H597" s="312"/>
      <c r="I597" s="313"/>
      <c r="J597" s="307"/>
      <c r="K597" s="16"/>
      <c r="L597" s="17"/>
      <c r="M597" s="20"/>
      <c r="N597" s="14"/>
      <c r="O597" s="15"/>
      <c r="P597" s="22"/>
    </row>
    <row r="598" spans="1:16" s="5" customFormat="1" ht="15" customHeight="1" x14ac:dyDescent="0.3">
      <c r="A598" s="305"/>
      <c r="B598" s="306"/>
      <c r="C598" s="390" t="s">
        <v>509</v>
      </c>
      <c r="D598" s="397"/>
      <c r="E598" s="309"/>
      <c r="F598" s="310"/>
      <c r="G598" s="311"/>
      <c r="H598" s="312"/>
      <c r="I598" s="313"/>
      <c r="J598" s="307"/>
      <c r="K598" s="16"/>
      <c r="L598" s="17"/>
      <c r="M598" s="20"/>
      <c r="N598" s="14"/>
      <c r="O598" s="15"/>
      <c r="P598" s="22"/>
    </row>
    <row r="599" spans="1:16" s="5" customFormat="1" ht="46.05" customHeight="1" x14ac:dyDescent="0.3">
      <c r="A599" s="305"/>
      <c r="B599" s="306"/>
      <c r="C599" s="452" t="s">
        <v>510</v>
      </c>
      <c r="D599" s="453"/>
      <c r="E599" s="309"/>
      <c r="F599" s="310"/>
      <c r="G599" s="311"/>
      <c r="H599" s="312"/>
      <c r="I599" s="313"/>
      <c r="J599" s="307"/>
      <c r="K599" s="16"/>
      <c r="L599" s="17"/>
      <c r="M599" s="20"/>
      <c r="N599" s="14"/>
      <c r="O599" s="15"/>
      <c r="P599" s="22"/>
    </row>
    <row r="600" spans="1:16" s="54" customFormat="1" ht="15" customHeight="1" x14ac:dyDescent="0.3">
      <c r="A600" s="305" t="s">
        <v>85</v>
      </c>
      <c r="B600" s="306"/>
      <c r="C600" s="390"/>
      <c r="D600" s="308" t="s">
        <v>511</v>
      </c>
      <c r="E600" s="309">
        <v>1</v>
      </c>
      <c r="F600" s="310" t="s">
        <v>100</v>
      </c>
      <c r="G600" s="311"/>
      <c r="H600" s="312">
        <f t="shared" ref="H600:H605" si="88">E600*G600</f>
        <v>0</v>
      </c>
      <c r="I600" s="313"/>
      <c r="J600" s="456"/>
      <c r="K600" s="16"/>
      <c r="L600" s="17"/>
      <c r="M600" s="20"/>
      <c r="N600" s="14"/>
      <c r="O600" s="15"/>
      <c r="P600" s="55"/>
    </row>
    <row r="601" spans="1:16" s="54" customFormat="1" ht="15" customHeight="1" x14ac:dyDescent="0.3">
      <c r="A601" s="305" t="s">
        <v>87</v>
      </c>
      <c r="B601" s="306"/>
      <c r="C601" s="390"/>
      <c r="D601" s="308" t="s">
        <v>512</v>
      </c>
      <c r="E601" s="309">
        <v>77</v>
      </c>
      <c r="F601" s="310" t="s">
        <v>46</v>
      </c>
      <c r="G601" s="311"/>
      <c r="H601" s="312">
        <f t="shared" si="88"/>
        <v>0</v>
      </c>
      <c r="I601" s="313"/>
      <c r="J601" s="456"/>
      <c r="K601" s="16"/>
      <c r="L601" s="17"/>
      <c r="M601" s="20"/>
      <c r="N601" s="14"/>
      <c r="O601" s="15"/>
      <c r="P601" s="55"/>
    </row>
    <row r="602" spans="1:16" s="54" customFormat="1" ht="15" customHeight="1" x14ac:dyDescent="0.3">
      <c r="A602" s="305" t="s">
        <v>89</v>
      </c>
      <c r="B602" s="306"/>
      <c r="C602" s="390"/>
      <c r="D602" s="308" t="s">
        <v>471</v>
      </c>
      <c r="E602" s="309">
        <v>292</v>
      </c>
      <c r="F602" s="310" t="s">
        <v>46</v>
      </c>
      <c r="G602" s="311"/>
      <c r="H602" s="312">
        <f t="shared" si="88"/>
        <v>0</v>
      </c>
      <c r="I602" s="313"/>
      <c r="J602" s="456"/>
      <c r="K602" s="16"/>
      <c r="L602" s="17"/>
      <c r="M602" s="20"/>
      <c r="N602" s="14"/>
      <c r="O602" s="15"/>
      <c r="P602" s="55"/>
    </row>
    <row r="603" spans="1:16" s="54" customFormat="1" ht="15" customHeight="1" x14ac:dyDescent="0.3">
      <c r="A603" s="305" t="s">
        <v>91</v>
      </c>
      <c r="B603" s="306"/>
      <c r="C603" s="390"/>
      <c r="D603" s="308" t="s">
        <v>513</v>
      </c>
      <c r="E603" s="309">
        <v>6</v>
      </c>
      <c r="F603" s="310" t="s">
        <v>249</v>
      </c>
      <c r="G603" s="311"/>
      <c r="H603" s="312">
        <f t="shared" si="88"/>
        <v>0</v>
      </c>
      <c r="I603" s="313"/>
      <c r="J603" s="456"/>
      <c r="K603" s="16"/>
      <c r="L603" s="17"/>
      <c r="M603" s="20"/>
      <c r="N603" s="14"/>
      <c r="O603" s="15"/>
      <c r="P603" s="55"/>
    </row>
    <row r="604" spans="1:16" s="54" customFormat="1" ht="15" customHeight="1" x14ac:dyDescent="0.3">
      <c r="A604" s="305" t="s">
        <v>92</v>
      </c>
      <c r="B604" s="306"/>
      <c r="C604" s="390"/>
      <c r="D604" s="308" t="s">
        <v>514</v>
      </c>
      <c r="E604" s="309">
        <v>6</v>
      </c>
      <c r="F604" s="310" t="s">
        <v>249</v>
      </c>
      <c r="G604" s="311"/>
      <c r="H604" s="312">
        <f t="shared" si="88"/>
        <v>0</v>
      </c>
      <c r="I604" s="313"/>
      <c r="J604" s="456"/>
      <c r="K604" s="16"/>
      <c r="L604" s="17"/>
      <c r="M604" s="20"/>
      <c r="N604" s="14"/>
      <c r="O604" s="15"/>
      <c r="P604" s="55"/>
    </row>
    <row r="605" spans="1:16" s="54" customFormat="1" ht="15" customHeight="1" x14ac:dyDescent="0.3">
      <c r="A605" s="305" t="s">
        <v>94</v>
      </c>
      <c r="B605" s="306"/>
      <c r="C605" s="390"/>
      <c r="D605" s="308" t="s">
        <v>515</v>
      </c>
      <c r="E605" s="309">
        <v>12</v>
      </c>
      <c r="F605" s="310" t="s">
        <v>249</v>
      </c>
      <c r="G605" s="311"/>
      <c r="H605" s="312">
        <f t="shared" si="88"/>
        <v>0</v>
      </c>
      <c r="I605" s="313"/>
      <c r="J605" s="456"/>
      <c r="K605" s="16"/>
      <c r="L605" s="17"/>
      <c r="M605" s="20"/>
      <c r="N605" s="14"/>
      <c r="O605" s="15"/>
      <c r="P605" s="55"/>
    </row>
    <row r="606" spans="1:16" s="54" customFormat="1" ht="15" customHeight="1" x14ac:dyDescent="0.3">
      <c r="A606" s="401"/>
      <c r="B606" s="402"/>
      <c r="C606" s="403"/>
      <c r="D606" s="404"/>
      <c r="E606" s="432"/>
      <c r="F606" s="433"/>
      <c r="G606" s="407"/>
      <c r="H606" s="408"/>
      <c r="I606" s="409"/>
      <c r="J606" s="456"/>
      <c r="K606" s="16"/>
      <c r="L606" s="17"/>
      <c r="M606" s="20"/>
      <c r="N606" s="14"/>
      <c r="O606" s="15"/>
      <c r="P606" s="55"/>
    </row>
    <row r="607" spans="1:16" s="5" customFormat="1" ht="15" customHeight="1" x14ac:dyDescent="0.3">
      <c r="A607" s="305">
        <v>5.04</v>
      </c>
      <c r="B607" s="306"/>
      <c r="C607" s="390" t="s">
        <v>516</v>
      </c>
      <c r="D607" s="385"/>
      <c r="E607" s="309"/>
      <c r="F607" s="310"/>
      <c r="G607" s="311"/>
      <c r="H607" s="312"/>
      <c r="I607" s="313"/>
      <c r="J607" s="307"/>
      <c r="K607" s="16"/>
      <c r="L607" s="17"/>
      <c r="M607" s="20"/>
      <c r="N607" s="14"/>
      <c r="O607" s="15"/>
      <c r="P607" s="22"/>
    </row>
    <row r="608" spans="1:16" s="5" customFormat="1" ht="15" customHeight="1" x14ac:dyDescent="0.3">
      <c r="A608" s="305"/>
      <c r="B608" s="306"/>
      <c r="C608" s="452" t="s">
        <v>517</v>
      </c>
      <c r="D608" s="453"/>
      <c r="E608" s="309"/>
      <c r="F608" s="310"/>
      <c r="G608" s="311"/>
      <c r="H608" s="312"/>
      <c r="I608" s="313"/>
      <c r="J608" s="307"/>
      <c r="K608" s="16"/>
      <c r="L608" s="17"/>
      <c r="M608" s="20"/>
      <c r="N608" s="14"/>
      <c r="O608" s="15"/>
      <c r="P608" s="22"/>
    </row>
    <row r="609" spans="1:16" s="5" customFormat="1" ht="45.15" customHeight="1" x14ac:dyDescent="0.3">
      <c r="A609" s="305"/>
      <c r="B609" s="306"/>
      <c r="C609" s="452" t="s">
        <v>518</v>
      </c>
      <c r="D609" s="453"/>
      <c r="E609" s="309"/>
      <c r="F609" s="310"/>
      <c r="G609" s="311"/>
      <c r="H609" s="312"/>
      <c r="I609" s="313"/>
      <c r="J609" s="307"/>
      <c r="K609" s="16"/>
      <c r="L609" s="17"/>
      <c r="M609" s="20"/>
      <c r="N609" s="14"/>
      <c r="O609" s="15"/>
      <c r="P609" s="22"/>
    </row>
    <row r="610" spans="1:16" s="5" customFormat="1" ht="15" customHeight="1" x14ac:dyDescent="0.3">
      <c r="A610" s="319" t="s">
        <v>19</v>
      </c>
      <c r="B610" s="306"/>
      <c r="C610" s="307"/>
      <c r="D610" s="308" t="s">
        <v>519</v>
      </c>
      <c r="E610" s="309">
        <v>3791</v>
      </c>
      <c r="F610" s="310" t="s">
        <v>46</v>
      </c>
      <c r="G610" s="311"/>
      <c r="H610" s="312">
        <f t="shared" ref="H610:H616" si="89">E610*G610</f>
        <v>0</v>
      </c>
      <c r="I610" s="313"/>
      <c r="J610" s="307"/>
      <c r="K610" s="16"/>
      <c r="L610" s="17"/>
      <c r="M610" s="20"/>
      <c r="N610" s="14"/>
      <c r="O610" s="15"/>
      <c r="P610" s="22"/>
    </row>
    <row r="611" spans="1:16" s="5" customFormat="1" ht="15" customHeight="1" x14ac:dyDescent="0.3">
      <c r="A611" s="319" t="s">
        <v>22</v>
      </c>
      <c r="B611" s="306"/>
      <c r="C611" s="307"/>
      <c r="D611" s="308" t="s">
        <v>520</v>
      </c>
      <c r="E611" s="309">
        <v>669</v>
      </c>
      <c r="F611" s="310" t="s">
        <v>46</v>
      </c>
      <c r="G611" s="311"/>
      <c r="H611" s="312">
        <f t="shared" si="89"/>
        <v>0</v>
      </c>
      <c r="I611" s="313"/>
      <c r="J611" s="307"/>
      <c r="K611" s="16"/>
      <c r="L611" s="17"/>
      <c r="M611" s="20"/>
      <c r="N611" s="14"/>
      <c r="O611" s="15"/>
      <c r="P611" s="22"/>
    </row>
    <row r="612" spans="1:16" s="5" customFormat="1" ht="15" customHeight="1" x14ac:dyDescent="0.3">
      <c r="A612" s="319" t="s">
        <v>25</v>
      </c>
      <c r="B612" s="306"/>
      <c r="C612" s="307"/>
      <c r="D612" s="308" t="s">
        <v>521</v>
      </c>
      <c r="E612" s="309">
        <v>174</v>
      </c>
      <c r="F612" s="310" t="s">
        <v>46</v>
      </c>
      <c r="G612" s="311"/>
      <c r="H612" s="312">
        <f t="shared" si="89"/>
        <v>0</v>
      </c>
      <c r="I612" s="313"/>
      <c r="J612" s="307"/>
      <c r="K612" s="16"/>
      <c r="L612" s="17"/>
      <c r="M612" s="20"/>
      <c r="N612" s="14"/>
      <c r="O612" s="15"/>
      <c r="P612" s="22"/>
    </row>
    <row r="613" spans="1:16" s="5" customFormat="1" ht="15" customHeight="1" x14ac:dyDescent="0.3">
      <c r="A613" s="319" t="s">
        <v>28</v>
      </c>
      <c r="B613" s="306"/>
      <c r="C613" s="307"/>
      <c r="D613" s="308" t="s">
        <v>522</v>
      </c>
      <c r="E613" s="309">
        <v>445</v>
      </c>
      <c r="F613" s="310" t="s">
        <v>46</v>
      </c>
      <c r="G613" s="311"/>
      <c r="H613" s="312">
        <f t="shared" si="89"/>
        <v>0</v>
      </c>
      <c r="I613" s="313"/>
      <c r="J613" s="307"/>
      <c r="K613" s="16"/>
      <c r="L613" s="17"/>
      <c r="M613" s="20"/>
      <c r="N613" s="14"/>
      <c r="O613" s="15"/>
      <c r="P613" s="22"/>
    </row>
    <row r="614" spans="1:16" s="5" customFormat="1" ht="15" customHeight="1" x14ac:dyDescent="0.3">
      <c r="A614" s="319" t="s">
        <v>30</v>
      </c>
      <c r="B614" s="306"/>
      <c r="C614" s="307"/>
      <c r="D614" s="308" t="s">
        <v>523</v>
      </c>
      <c r="E614" s="309">
        <v>17</v>
      </c>
      <c r="F614" s="310" t="s">
        <v>46</v>
      </c>
      <c r="G614" s="311"/>
      <c r="H614" s="312">
        <f t="shared" si="89"/>
        <v>0</v>
      </c>
      <c r="I614" s="313"/>
      <c r="J614" s="307"/>
      <c r="K614" s="16"/>
      <c r="L614" s="17"/>
      <c r="M614" s="20"/>
      <c r="N614" s="14"/>
      <c r="O614" s="15"/>
      <c r="P614" s="22"/>
    </row>
    <row r="615" spans="1:16" s="5" customFormat="1" ht="15" customHeight="1" x14ac:dyDescent="0.3">
      <c r="A615" s="319" t="s">
        <v>32</v>
      </c>
      <c r="B615" s="306"/>
      <c r="C615" s="307"/>
      <c r="D615" s="308" t="s">
        <v>524</v>
      </c>
      <c r="E615" s="309">
        <v>120</v>
      </c>
      <c r="F615" s="310" t="s">
        <v>46</v>
      </c>
      <c r="G615" s="311"/>
      <c r="H615" s="312">
        <f t="shared" si="89"/>
        <v>0</v>
      </c>
      <c r="I615" s="313"/>
      <c r="J615" s="307"/>
      <c r="K615" s="16"/>
      <c r="L615" s="17"/>
      <c r="M615" s="20"/>
      <c r="N615" s="14"/>
      <c r="O615" s="15"/>
      <c r="P615" s="22"/>
    </row>
    <row r="616" spans="1:16" s="5" customFormat="1" ht="27.6" x14ac:dyDescent="0.3">
      <c r="A616" s="319" t="s">
        <v>34</v>
      </c>
      <c r="B616" s="306"/>
      <c r="C616" s="307"/>
      <c r="D616" s="308" t="s">
        <v>525</v>
      </c>
      <c r="E616" s="309">
        <v>1</v>
      </c>
      <c r="F616" s="310" t="s">
        <v>100</v>
      </c>
      <c r="G616" s="311"/>
      <c r="H616" s="312">
        <f t="shared" si="89"/>
        <v>0</v>
      </c>
      <c r="I616" s="313"/>
      <c r="J616" s="307"/>
      <c r="K616" s="16"/>
      <c r="L616" s="17"/>
      <c r="M616" s="20"/>
      <c r="N616" s="14"/>
      <c r="O616" s="15"/>
      <c r="P616" s="22"/>
    </row>
    <row r="617" spans="1:16" s="5" customFormat="1" ht="15" customHeight="1" x14ac:dyDescent="0.3">
      <c r="A617" s="319"/>
      <c r="B617" s="306"/>
      <c r="C617" s="307"/>
      <c r="D617" s="308"/>
      <c r="E617" s="309"/>
      <c r="F617" s="310"/>
      <c r="G617" s="311"/>
      <c r="H617" s="312"/>
      <c r="I617" s="313"/>
      <c r="J617" s="307"/>
      <c r="K617" s="16"/>
      <c r="L617" s="17"/>
      <c r="M617" s="20"/>
      <c r="N617" s="14"/>
      <c r="O617" s="15"/>
      <c r="P617" s="22"/>
    </row>
    <row r="618" spans="1:16" s="5" customFormat="1" ht="48.45" customHeight="1" x14ac:dyDescent="0.3">
      <c r="A618" s="319"/>
      <c r="B618" s="306"/>
      <c r="C618" s="452" t="s">
        <v>526</v>
      </c>
      <c r="D618" s="453"/>
      <c r="E618" s="309"/>
      <c r="F618" s="310"/>
      <c r="G618" s="311"/>
      <c r="H618" s="312"/>
      <c r="I618" s="313"/>
      <c r="J618" s="307"/>
      <c r="K618" s="16"/>
      <c r="L618" s="17"/>
      <c r="M618" s="20"/>
      <c r="N618" s="14"/>
      <c r="O618" s="15"/>
      <c r="P618" s="22"/>
    </row>
    <row r="619" spans="1:16" s="5" customFormat="1" ht="15" customHeight="1" x14ac:dyDescent="0.3">
      <c r="A619" s="319" t="s">
        <v>36</v>
      </c>
      <c r="B619" s="306"/>
      <c r="C619" s="307"/>
      <c r="D619" s="308" t="s">
        <v>527</v>
      </c>
      <c r="E619" s="309">
        <v>23</v>
      </c>
      <c r="F619" s="310" t="s">
        <v>249</v>
      </c>
      <c r="G619" s="311"/>
      <c r="H619" s="312">
        <f t="shared" ref="H619:H624" si="90">E619*G619</f>
        <v>0</v>
      </c>
      <c r="I619" s="313"/>
      <c r="J619" s="307"/>
      <c r="K619" s="16"/>
      <c r="L619" s="17"/>
      <c r="M619" s="20"/>
      <c r="N619" s="14"/>
      <c r="O619" s="15"/>
      <c r="P619" s="22"/>
    </row>
    <row r="620" spans="1:16" s="5" customFormat="1" ht="15" customHeight="1" x14ac:dyDescent="0.3">
      <c r="A620" s="319" t="s">
        <v>39</v>
      </c>
      <c r="B620" s="306"/>
      <c r="C620" s="307"/>
      <c r="D620" s="308" t="s">
        <v>528</v>
      </c>
      <c r="E620" s="309">
        <v>6</v>
      </c>
      <c r="F620" s="310" t="s">
        <v>249</v>
      </c>
      <c r="G620" s="311"/>
      <c r="H620" s="312">
        <f t="shared" si="90"/>
        <v>0</v>
      </c>
      <c r="I620" s="313"/>
      <c r="J620" s="307"/>
      <c r="K620" s="16"/>
      <c r="L620" s="17"/>
      <c r="M620" s="20"/>
      <c r="N620" s="14"/>
      <c r="O620" s="15"/>
      <c r="P620" s="22"/>
    </row>
    <row r="621" spans="1:16" s="5" customFormat="1" ht="15" customHeight="1" x14ac:dyDescent="0.3">
      <c r="A621" s="319" t="s">
        <v>42</v>
      </c>
      <c r="B621" s="306"/>
      <c r="C621" s="307"/>
      <c r="D621" s="308" t="s">
        <v>529</v>
      </c>
      <c r="E621" s="309">
        <v>2</v>
      </c>
      <c r="F621" s="310" t="s">
        <v>249</v>
      </c>
      <c r="G621" s="311"/>
      <c r="H621" s="312">
        <f t="shared" si="90"/>
        <v>0</v>
      </c>
      <c r="I621" s="313"/>
      <c r="J621" s="307"/>
      <c r="K621" s="16"/>
      <c r="L621" s="17"/>
      <c r="M621" s="20"/>
      <c r="N621" s="14"/>
      <c r="O621" s="15"/>
      <c r="P621" s="22"/>
    </row>
    <row r="622" spans="1:16" s="5" customFormat="1" ht="15" customHeight="1" x14ac:dyDescent="0.3">
      <c r="A622" s="319" t="s">
        <v>44</v>
      </c>
      <c r="B622" s="306"/>
      <c r="C622" s="307"/>
      <c r="D622" s="308" t="s">
        <v>530</v>
      </c>
      <c r="E622" s="309">
        <v>2</v>
      </c>
      <c r="F622" s="310" t="s">
        <v>249</v>
      </c>
      <c r="G622" s="311"/>
      <c r="H622" s="312">
        <f t="shared" si="90"/>
        <v>0</v>
      </c>
      <c r="I622" s="313"/>
      <c r="J622" s="307"/>
      <c r="K622" s="16"/>
      <c r="L622" s="17"/>
      <c r="M622" s="20"/>
      <c r="N622" s="14"/>
      <c r="O622" s="15"/>
      <c r="P622" s="22"/>
    </row>
    <row r="623" spans="1:16" s="5" customFormat="1" ht="15" customHeight="1" x14ac:dyDescent="0.3">
      <c r="A623" s="319" t="s">
        <v>46</v>
      </c>
      <c r="B623" s="306"/>
      <c r="C623" s="307"/>
      <c r="D623" s="308" t="s">
        <v>531</v>
      </c>
      <c r="E623" s="309">
        <v>1</v>
      </c>
      <c r="F623" s="310" t="s">
        <v>249</v>
      </c>
      <c r="G623" s="311"/>
      <c r="H623" s="312">
        <f t="shared" si="90"/>
        <v>0</v>
      </c>
      <c r="I623" s="313"/>
      <c r="J623" s="307"/>
      <c r="K623" s="16"/>
      <c r="L623" s="17"/>
      <c r="M623" s="20"/>
      <c r="N623" s="14"/>
      <c r="O623" s="15"/>
      <c r="P623" s="22"/>
    </row>
    <row r="624" spans="1:16" s="5" customFormat="1" ht="15" customHeight="1" x14ac:dyDescent="0.3">
      <c r="A624" s="319" t="s">
        <v>48</v>
      </c>
      <c r="B624" s="306"/>
      <c r="C624" s="307"/>
      <c r="D624" s="308" t="s">
        <v>532</v>
      </c>
      <c r="E624" s="309">
        <v>23</v>
      </c>
      <c r="F624" s="310" t="s">
        <v>249</v>
      </c>
      <c r="G624" s="311"/>
      <c r="H624" s="312">
        <f t="shared" si="90"/>
        <v>0</v>
      </c>
      <c r="I624" s="313"/>
      <c r="J624" s="307"/>
      <c r="K624" s="16"/>
      <c r="L624" s="17"/>
      <c r="M624" s="20"/>
      <c r="N624" s="14"/>
      <c r="O624" s="15"/>
      <c r="P624" s="22"/>
    </row>
    <row r="625" spans="1:16" s="5" customFormat="1" ht="15" customHeight="1" x14ac:dyDescent="0.3">
      <c r="A625" s="319"/>
      <c r="B625" s="306"/>
      <c r="C625" s="307"/>
      <c r="D625" s="308"/>
      <c r="E625" s="309"/>
      <c r="F625" s="310"/>
      <c r="G625" s="311"/>
      <c r="H625" s="312"/>
      <c r="I625" s="313"/>
      <c r="J625" s="307"/>
      <c r="K625" s="16"/>
      <c r="L625" s="17"/>
      <c r="M625" s="20"/>
      <c r="N625" s="14"/>
      <c r="O625" s="15"/>
      <c r="P625" s="22"/>
    </row>
    <row r="626" spans="1:16" s="5" customFormat="1" ht="32.85" customHeight="1" x14ac:dyDescent="0.3">
      <c r="A626" s="319"/>
      <c r="B626" s="306"/>
      <c r="C626" s="452" t="s">
        <v>533</v>
      </c>
      <c r="D626" s="453"/>
      <c r="E626" s="309"/>
      <c r="F626" s="310"/>
      <c r="G626" s="311"/>
      <c r="H626" s="312"/>
      <c r="I626" s="313"/>
      <c r="J626" s="307"/>
      <c r="K626" s="16"/>
      <c r="L626" s="17"/>
      <c r="M626" s="20"/>
      <c r="N626" s="14"/>
      <c r="O626" s="15"/>
      <c r="P626" s="22"/>
    </row>
    <row r="627" spans="1:16" s="5" customFormat="1" ht="15" customHeight="1" x14ac:dyDescent="0.3">
      <c r="A627" s="319"/>
      <c r="B627" s="306"/>
      <c r="C627" s="307"/>
      <c r="D627" s="308"/>
      <c r="E627" s="309"/>
      <c r="F627" s="310"/>
      <c r="G627" s="311"/>
      <c r="H627" s="312"/>
      <c r="I627" s="313"/>
      <c r="J627" s="307"/>
      <c r="K627" s="16"/>
      <c r="L627" s="17"/>
      <c r="M627" s="20"/>
      <c r="N627" s="14"/>
      <c r="O627" s="15"/>
      <c r="P627" s="22"/>
    </row>
    <row r="628" spans="1:16" s="5" customFormat="1" ht="15" customHeight="1" x14ac:dyDescent="0.3">
      <c r="A628" s="305"/>
      <c r="B628" s="306"/>
      <c r="C628" s="452" t="s">
        <v>534</v>
      </c>
      <c r="D628" s="453"/>
      <c r="E628" s="309"/>
      <c r="F628" s="310"/>
      <c r="G628" s="311"/>
      <c r="H628" s="312"/>
      <c r="I628" s="313"/>
      <c r="J628" s="307"/>
      <c r="K628" s="16"/>
      <c r="L628" s="17"/>
      <c r="M628" s="20"/>
      <c r="N628" s="14"/>
      <c r="O628" s="15"/>
      <c r="P628" s="22"/>
    </row>
    <row r="629" spans="1:16" s="5" customFormat="1" ht="15" customHeight="1" x14ac:dyDescent="0.3">
      <c r="A629" s="319" t="s">
        <v>50</v>
      </c>
      <c r="B629" s="306"/>
      <c r="C629" s="307"/>
      <c r="D629" s="308" t="s">
        <v>535</v>
      </c>
      <c r="E629" s="309">
        <v>1</v>
      </c>
      <c r="F629" s="310" t="s">
        <v>100</v>
      </c>
      <c r="G629" s="311"/>
      <c r="H629" s="312">
        <f t="shared" ref="H629" si="91">E629*G629</f>
        <v>0</v>
      </c>
      <c r="I629" s="313"/>
      <c r="J629" s="307"/>
      <c r="K629" s="16"/>
      <c r="L629" s="17"/>
      <c r="M629" s="20"/>
      <c r="N629" s="14"/>
      <c r="O629" s="15"/>
      <c r="P629" s="22"/>
    </row>
    <row r="630" spans="1:16" s="5" customFormat="1" ht="15" customHeight="1" x14ac:dyDescent="0.3">
      <c r="A630" s="319"/>
      <c r="B630" s="306"/>
      <c r="C630" s="307"/>
      <c r="D630" s="308"/>
      <c r="E630" s="309"/>
      <c r="F630" s="310"/>
      <c r="G630" s="311"/>
      <c r="H630" s="312"/>
      <c r="I630" s="313"/>
      <c r="J630" s="307"/>
      <c r="K630" s="16"/>
      <c r="L630" s="17"/>
      <c r="M630" s="20"/>
      <c r="N630" s="14"/>
      <c r="O630" s="15"/>
      <c r="P630" s="22"/>
    </row>
    <row r="631" spans="1:16" s="5" customFormat="1" ht="15" customHeight="1" x14ac:dyDescent="0.3">
      <c r="A631" s="319"/>
      <c r="B631" s="306"/>
      <c r="C631" s="452" t="s">
        <v>536</v>
      </c>
      <c r="D631" s="453"/>
      <c r="E631" s="309"/>
      <c r="F631" s="310"/>
      <c r="G631" s="311"/>
      <c r="H631" s="312"/>
      <c r="I631" s="313"/>
      <c r="J631" s="307"/>
      <c r="K631" s="16"/>
      <c r="L631" s="17"/>
      <c r="M631" s="20"/>
      <c r="N631" s="14"/>
      <c r="O631" s="15"/>
      <c r="P631" s="22"/>
    </row>
    <row r="632" spans="1:16" s="5" customFormat="1" ht="15" customHeight="1" x14ac:dyDescent="0.3">
      <c r="A632" s="319" t="s">
        <v>52</v>
      </c>
      <c r="B632" s="306"/>
      <c r="C632" s="307"/>
      <c r="D632" s="308" t="s">
        <v>535</v>
      </c>
      <c r="E632" s="309">
        <v>1</v>
      </c>
      <c r="F632" s="310" t="s">
        <v>100</v>
      </c>
      <c r="G632" s="311"/>
      <c r="H632" s="312">
        <f t="shared" ref="H632" si="92">E632*G632</f>
        <v>0</v>
      </c>
      <c r="I632" s="313"/>
      <c r="J632" s="307"/>
      <c r="K632" s="16"/>
      <c r="L632" s="17"/>
      <c r="M632" s="20"/>
      <c r="N632" s="14"/>
      <c r="O632" s="15"/>
      <c r="P632" s="22"/>
    </row>
    <row r="633" spans="1:16" s="5" customFormat="1" ht="15" customHeight="1" x14ac:dyDescent="0.3">
      <c r="A633" s="319"/>
      <c r="B633" s="306"/>
      <c r="C633" s="307"/>
      <c r="D633" s="308"/>
      <c r="E633" s="309"/>
      <c r="F633" s="310"/>
      <c r="G633" s="311"/>
      <c r="H633" s="312"/>
      <c r="I633" s="313"/>
      <c r="J633" s="307"/>
      <c r="K633" s="16"/>
      <c r="L633" s="17"/>
      <c r="M633" s="20"/>
      <c r="N633" s="14"/>
      <c r="O633" s="15"/>
      <c r="P633" s="22"/>
    </row>
    <row r="634" spans="1:16" s="5" customFormat="1" ht="15" customHeight="1" x14ac:dyDescent="0.3">
      <c r="A634" s="305"/>
      <c r="B634" s="306"/>
      <c r="C634" s="452" t="s">
        <v>537</v>
      </c>
      <c r="D634" s="453"/>
      <c r="E634" s="309"/>
      <c r="F634" s="310"/>
      <c r="G634" s="311"/>
      <c r="H634" s="312"/>
      <c r="I634" s="313"/>
      <c r="J634" s="307"/>
      <c r="K634" s="16"/>
      <c r="L634" s="17"/>
      <c r="M634" s="20"/>
      <c r="N634" s="14"/>
      <c r="O634" s="15"/>
      <c r="P634" s="22"/>
    </row>
    <row r="635" spans="1:16" s="5" customFormat="1" ht="15" customHeight="1" x14ac:dyDescent="0.3">
      <c r="A635" s="319" t="s">
        <v>54</v>
      </c>
      <c r="B635" s="306"/>
      <c r="C635" s="307"/>
      <c r="D635" s="308" t="s">
        <v>538</v>
      </c>
      <c r="E635" s="309">
        <v>1</v>
      </c>
      <c r="F635" s="310" t="s">
        <v>100</v>
      </c>
      <c r="G635" s="311"/>
      <c r="H635" s="312">
        <f t="shared" ref="H635" si="93">E635*G635</f>
        <v>0</v>
      </c>
      <c r="I635" s="313"/>
      <c r="J635" s="307"/>
      <c r="K635" s="16"/>
      <c r="L635" s="17"/>
      <c r="M635" s="20"/>
      <c r="N635" s="14"/>
      <c r="O635" s="15"/>
      <c r="P635" s="22"/>
    </row>
    <row r="636" spans="1:16" s="5" customFormat="1" ht="15" customHeight="1" x14ac:dyDescent="0.3">
      <c r="A636" s="319"/>
      <c r="B636" s="306"/>
      <c r="C636" s="307"/>
      <c r="D636" s="308"/>
      <c r="E636" s="309"/>
      <c r="F636" s="310"/>
      <c r="G636" s="311"/>
      <c r="H636" s="312"/>
      <c r="I636" s="313"/>
      <c r="J636" s="307"/>
      <c r="K636" s="16"/>
      <c r="L636" s="17"/>
      <c r="M636" s="20"/>
      <c r="N636" s="14"/>
      <c r="O636" s="15"/>
      <c r="P636" s="22"/>
    </row>
    <row r="637" spans="1:16" s="5" customFormat="1" ht="15" customHeight="1" x14ac:dyDescent="0.3">
      <c r="A637" s="305"/>
      <c r="B637" s="306"/>
      <c r="C637" s="452" t="s">
        <v>539</v>
      </c>
      <c r="D637" s="453"/>
      <c r="E637" s="309"/>
      <c r="F637" s="310"/>
      <c r="G637" s="311"/>
      <c r="H637" s="312"/>
      <c r="I637" s="313"/>
      <c r="J637" s="307"/>
      <c r="K637" s="16"/>
      <c r="L637" s="17"/>
      <c r="M637" s="20"/>
      <c r="N637" s="14"/>
      <c r="O637" s="15"/>
      <c r="P637" s="22"/>
    </row>
    <row r="638" spans="1:16" s="5" customFormat="1" ht="15" customHeight="1" x14ac:dyDescent="0.3">
      <c r="A638" s="319" t="s">
        <v>56</v>
      </c>
      <c r="B638" s="306"/>
      <c r="C638" s="307"/>
      <c r="D638" s="308" t="s">
        <v>519</v>
      </c>
      <c r="E638" s="309">
        <f>165+1</f>
        <v>166</v>
      </c>
      <c r="F638" s="310" t="s">
        <v>249</v>
      </c>
      <c r="G638" s="311"/>
      <c r="H638" s="312">
        <f t="shared" ref="H638" si="94">E638*G638</f>
        <v>0</v>
      </c>
      <c r="I638" s="313"/>
      <c r="J638" s="307"/>
      <c r="K638" s="16"/>
      <c r="L638" s="17"/>
      <c r="M638" s="20"/>
      <c r="N638" s="14"/>
      <c r="O638" s="15"/>
      <c r="P638" s="22"/>
    </row>
    <row r="639" spans="1:16" s="5" customFormat="1" ht="15" customHeight="1" x14ac:dyDescent="0.3">
      <c r="A639" s="319"/>
      <c r="B639" s="306"/>
      <c r="C639" s="307"/>
      <c r="D639" s="308"/>
      <c r="E639" s="309"/>
      <c r="F639" s="310"/>
      <c r="G639" s="311"/>
      <c r="H639" s="312"/>
      <c r="I639" s="313"/>
      <c r="J639" s="307"/>
      <c r="K639" s="16"/>
      <c r="L639" s="17"/>
      <c r="M639" s="20"/>
      <c r="N639" s="14"/>
      <c r="O639" s="15"/>
      <c r="P639" s="22"/>
    </row>
    <row r="640" spans="1:16" s="5" customFormat="1" ht="15" customHeight="1" x14ac:dyDescent="0.3">
      <c r="A640" s="305"/>
      <c r="B640" s="306"/>
      <c r="C640" s="452" t="s">
        <v>540</v>
      </c>
      <c r="D640" s="453"/>
      <c r="E640" s="309"/>
      <c r="F640" s="310"/>
      <c r="G640" s="311"/>
      <c r="H640" s="312"/>
      <c r="I640" s="313"/>
      <c r="J640" s="307"/>
      <c r="K640" s="16"/>
      <c r="L640" s="17"/>
      <c r="M640" s="20"/>
      <c r="N640" s="14"/>
      <c r="O640" s="15"/>
      <c r="P640" s="22"/>
    </row>
    <row r="641" spans="1:16" s="5" customFormat="1" ht="47.1" customHeight="1" x14ac:dyDescent="0.3">
      <c r="A641" s="305"/>
      <c r="B641" s="306"/>
      <c r="C641" s="452" t="s">
        <v>541</v>
      </c>
      <c r="D641" s="453"/>
      <c r="E641" s="309"/>
      <c r="F641" s="310"/>
      <c r="G641" s="311"/>
      <c r="H641" s="312"/>
      <c r="I641" s="313"/>
      <c r="J641" s="307"/>
      <c r="K641" s="16"/>
      <c r="L641" s="17"/>
      <c r="M641" s="20"/>
      <c r="N641" s="14"/>
      <c r="O641" s="15"/>
      <c r="P641" s="22"/>
    </row>
    <row r="642" spans="1:16" s="5" customFormat="1" ht="15" customHeight="1" x14ac:dyDescent="0.3">
      <c r="A642" s="319" t="s">
        <v>58</v>
      </c>
      <c r="B642" s="306"/>
      <c r="C642" s="307"/>
      <c r="D642" s="308" t="s">
        <v>507</v>
      </c>
      <c r="E642" s="309">
        <v>1</v>
      </c>
      <c r="F642" s="310" t="s">
        <v>100</v>
      </c>
      <c r="G642" s="311"/>
      <c r="H642" s="312">
        <f t="shared" ref="H642" si="95">E642*G642</f>
        <v>0</v>
      </c>
      <c r="I642" s="313"/>
      <c r="J642" s="307"/>
      <c r="K642" s="16"/>
      <c r="L642" s="17"/>
      <c r="M642" s="20"/>
      <c r="N642" s="14"/>
      <c r="O642" s="15"/>
      <c r="P642" s="22"/>
    </row>
    <row r="643" spans="1:16" s="5" customFormat="1" ht="15" customHeight="1" x14ac:dyDescent="0.3">
      <c r="A643" s="319"/>
      <c r="B643" s="306"/>
      <c r="C643" s="307"/>
      <c r="D643" s="308"/>
      <c r="E643" s="309"/>
      <c r="F643" s="310"/>
      <c r="G643" s="311"/>
      <c r="H643" s="312"/>
      <c r="I643" s="313"/>
      <c r="J643" s="307"/>
      <c r="K643" s="16"/>
      <c r="L643" s="17"/>
      <c r="M643" s="20"/>
      <c r="N643" s="14"/>
      <c r="O643" s="15"/>
      <c r="P643" s="22"/>
    </row>
    <row r="644" spans="1:16" s="5" customFormat="1" ht="47.1" customHeight="1" x14ac:dyDescent="0.3">
      <c r="A644" s="319"/>
      <c r="B644" s="306"/>
      <c r="C644" s="452" t="s">
        <v>526</v>
      </c>
      <c r="D644" s="453"/>
      <c r="E644" s="309"/>
      <c r="F644" s="310"/>
      <c r="G644" s="311"/>
      <c r="H644" s="312"/>
      <c r="I644" s="313"/>
      <c r="J644" s="307"/>
      <c r="K644" s="16"/>
      <c r="L644" s="17"/>
      <c r="M644" s="20"/>
      <c r="N644" s="14"/>
      <c r="O644" s="15"/>
      <c r="P644" s="22"/>
    </row>
    <row r="645" spans="1:16" s="5" customFormat="1" ht="15" customHeight="1" x14ac:dyDescent="0.3">
      <c r="A645" s="319" t="s">
        <v>60</v>
      </c>
      <c r="B645" s="306"/>
      <c r="C645" s="307"/>
      <c r="D645" s="308" t="s">
        <v>529</v>
      </c>
      <c r="E645" s="309">
        <v>2</v>
      </c>
      <c r="F645" s="310" t="s">
        <v>249</v>
      </c>
      <c r="G645" s="311"/>
      <c r="H645" s="312">
        <f t="shared" ref="H645:H647" si="96">E645*G645</f>
        <v>0</v>
      </c>
      <c r="I645" s="313"/>
      <c r="J645" s="307"/>
      <c r="K645" s="16"/>
      <c r="L645" s="17"/>
      <c r="M645" s="20"/>
      <c r="N645" s="14"/>
      <c r="O645" s="15"/>
      <c r="P645" s="22"/>
    </row>
    <row r="646" spans="1:16" s="5" customFormat="1" ht="15" customHeight="1" x14ac:dyDescent="0.3">
      <c r="A646" s="319" t="s">
        <v>62</v>
      </c>
      <c r="B646" s="306"/>
      <c r="C646" s="307"/>
      <c r="D646" s="308" t="s">
        <v>530</v>
      </c>
      <c r="E646" s="309">
        <v>2</v>
      </c>
      <c r="F646" s="310" t="s">
        <v>249</v>
      </c>
      <c r="G646" s="311"/>
      <c r="H646" s="312">
        <f t="shared" si="96"/>
        <v>0</v>
      </c>
      <c r="I646" s="313"/>
      <c r="J646" s="307"/>
      <c r="K646" s="16"/>
      <c r="L646" s="17"/>
      <c r="M646" s="20"/>
      <c r="N646" s="14"/>
      <c r="O646" s="15"/>
      <c r="P646" s="22"/>
    </row>
    <row r="647" spans="1:16" s="5" customFormat="1" ht="15" customHeight="1" x14ac:dyDescent="0.3">
      <c r="A647" s="319" t="s">
        <v>64</v>
      </c>
      <c r="B647" s="306"/>
      <c r="C647" s="307"/>
      <c r="D647" s="308" t="s">
        <v>531</v>
      </c>
      <c r="E647" s="309">
        <v>1</v>
      </c>
      <c r="F647" s="310" t="s">
        <v>249</v>
      </c>
      <c r="G647" s="311"/>
      <c r="H647" s="312">
        <f t="shared" si="96"/>
        <v>0</v>
      </c>
      <c r="I647" s="313"/>
      <c r="J647" s="307"/>
      <c r="K647" s="16"/>
      <c r="L647" s="17"/>
      <c r="M647" s="20"/>
      <c r="N647" s="14"/>
      <c r="O647" s="15"/>
      <c r="P647" s="22"/>
    </row>
    <row r="648" spans="1:16" s="5" customFormat="1" ht="15" customHeight="1" x14ac:dyDescent="0.3">
      <c r="A648" s="319"/>
      <c r="B648" s="306"/>
      <c r="C648" s="307"/>
      <c r="D648" s="308"/>
      <c r="E648" s="309"/>
      <c r="F648" s="310"/>
      <c r="G648" s="311"/>
      <c r="H648" s="312"/>
      <c r="I648" s="313"/>
      <c r="J648" s="307"/>
      <c r="K648" s="16"/>
      <c r="L648" s="17"/>
      <c r="M648" s="20"/>
      <c r="N648" s="14"/>
      <c r="O648" s="15"/>
      <c r="P648" s="22"/>
    </row>
    <row r="649" spans="1:16" s="5" customFormat="1" ht="58.5" customHeight="1" x14ac:dyDescent="0.3">
      <c r="A649" s="319"/>
      <c r="B649" s="306"/>
      <c r="C649" s="394" t="s">
        <v>542</v>
      </c>
      <c r="D649" s="395"/>
      <c r="E649" s="309"/>
      <c r="F649" s="310"/>
      <c r="G649" s="311"/>
      <c r="H649" s="312"/>
      <c r="I649" s="313"/>
      <c r="J649" s="307"/>
      <c r="K649" s="16"/>
      <c r="L649" s="17"/>
      <c r="M649" s="20"/>
      <c r="N649" s="14"/>
      <c r="O649" s="15"/>
      <c r="P649" s="22"/>
    </row>
    <row r="650" spans="1:16" s="5" customFormat="1" ht="15" customHeight="1" x14ac:dyDescent="0.3">
      <c r="A650" s="319" t="s">
        <v>66</v>
      </c>
      <c r="B650" s="306"/>
      <c r="C650" s="307"/>
      <c r="D650" s="308" t="s">
        <v>543</v>
      </c>
      <c r="E650" s="309">
        <v>2</v>
      </c>
      <c r="F650" s="310" t="s">
        <v>249</v>
      </c>
      <c r="G650" s="311"/>
      <c r="H650" s="312">
        <f t="shared" ref="H650:H652" si="97">E650*G650</f>
        <v>0</v>
      </c>
      <c r="I650" s="313"/>
      <c r="J650" s="307"/>
      <c r="K650" s="16"/>
      <c r="L650" s="17"/>
      <c r="M650" s="20"/>
      <c r="N650" s="14"/>
      <c r="O650" s="15"/>
      <c r="P650" s="22"/>
    </row>
    <row r="651" spans="1:16" s="5" customFormat="1" ht="15" customHeight="1" x14ac:dyDescent="0.3">
      <c r="A651" s="319" t="s">
        <v>68</v>
      </c>
      <c r="B651" s="306"/>
      <c r="C651" s="307"/>
      <c r="D651" s="308" t="s">
        <v>544</v>
      </c>
      <c r="E651" s="309">
        <v>1</v>
      </c>
      <c r="F651" s="310" t="s">
        <v>249</v>
      </c>
      <c r="G651" s="311"/>
      <c r="H651" s="312">
        <f t="shared" si="97"/>
        <v>0</v>
      </c>
      <c r="I651" s="313"/>
      <c r="J651" s="307"/>
      <c r="K651" s="16"/>
      <c r="L651" s="17"/>
      <c r="M651" s="20"/>
      <c r="N651" s="14"/>
      <c r="O651" s="15"/>
      <c r="P651" s="22"/>
    </row>
    <row r="652" spans="1:16" s="5" customFormat="1" ht="15" customHeight="1" x14ac:dyDescent="0.3">
      <c r="A652" s="319" t="s">
        <v>71</v>
      </c>
      <c r="B652" s="306"/>
      <c r="C652" s="307"/>
      <c r="D652" s="308" t="s">
        <v>545</v>
      </c>
      <c r="E652" s="309">
        <v>10</v>
      </c>
      <c r="F652" s="310" t="s">
        <v>249</v>
      </c>
      <c r="G652" s="311"/>
      <c r="H652" s="312">
        <f t="shared" si="97"/>
        <v>0</v>
      </c>
      <c r="I652" s="313"/>
      <c r="J652" s="307"/>
      <c r="K652" s="16"/>
      <c r="L652" s="17"/>
      <c r="M652" s="20"/>
      <c r="N652" s="14"/>
      <c r="O652" s="15"/>
      <c r="P652" s="22"/>
    </row>
    <row r="653" spans="1:16" s="5" customFormat="1" ht="15" customHeight="1" x14ac:dyDescent="0.3">
      <c r="A653" s="319"/>
      <c r="B653" s="306"/>
      <c r="C653" s="307"/>
      <c r="D653" s="308"/>
      <c r="E653" s="309"/>
      <c r="F653" s="310"/>
      <c r="G653" s="311"/>
      <c r="H653" s="312"/>
      <c r="I653" s="313"/>
      <c r="J653" s="307"/>
      <c r="K653" s="16"/>
      <c r="L653" s="17"/>
      <c r="M653" s="20"/>
      <c r="N653" s="14"/>
      <c r="O653" s="15"/>
      <c r="P653" s="22"/>
    </row>
    <row r="654" spans="1:16" s="5" customFormat="1" ht="14.25" customHeight="1" x14ac:dyDescent="0.3">
      <c r="A654" s="305"/>
      <c r="B654" s="306"/>
      <c r="C654" s="452" t="s">
        <v>546</v>
      </c>
      <c r="D654" s="453"/>
      <c r="E654" s="309"/>
      <c r="F654" s="310"/>
      <c r="G654" s="311"/>
      <c r="H654" s="312"/>
      <c r="I654" s="313"/>
      <c r="J654" s="307"/>
      <c r="K654" s="16"/>
      <c r="L654" s="17"/>
      <c r="M654" s="20"/>
      <c r="N654" s="14"/>
      <c r="O654" s="15"/>
      <c r="P654" s="22"/>
    </row>
    <row r="655" spans="1:16" s="5" customFormat="1" ht="45.15" customHeight="1" x14ac:dyDescent="0.3">
      <c r="A655" s="305"/>
      <c r="B655" s="306"/>
      <c r="C655" s="452" t="s">
        <v>547</v>
      </c>
      <c r="D655" s="453"/>
      <c r="E655" s="309"/>
      <c r="F655" s="310"/>
      <c r="G655" s="311"/>
      <c r="H655" s="312"/>
      <c r="I655" s="313"/>
      <c r="J655" s="307"/>
      <c r="K655" s="16"/>
      <c r="L655" s="17"/>
      <c r="M655" s="20"/>
      <c r="N655" s="14"/>
      <c r="O655" s="15"/>
      <c r="P655" s="22"/>
    </row>
    <row r="656" spans="1:16" s="5" customFormat="1" ht="15" customHeight="1" x14ac:dyDescent="0.3">
      <c r="A656" s="319" t="s">
        <v>73</v>
      </c>
      <c r="B656" s="306"/>
      <c r="C656" s="307"/>
      <c r="D656" s="308" t="s">
        <v>524</v>
      </c>
      <c r="E656" s="309">
        <v>88</v>
      </c>
      <c r="F656" s="310" t="s">
        <v>46</v>
      </c>
      <c r="G656" s="311"/>
      <c r="H656" s="312">
        <f t="shared" ref="H656:H657" si="98">E656*G656</f>
        <v>0</v>
      </c>
      <c r="I656" s="313"/>
      <c r="J656" s="307"/>
      <c r="K656" s="16"/>
      <c r="L656" s="17"/>
      <c r="M656" s="20"/>
      <c r="N656" s="14"/>
      <c r="O656" s="15"/>
      <c r="P656" s="22"/>
    </row>
    <row r="657" spans="1:16" s="5" customFormat="1" ht="15" customHeight="1" x14ac:dyDescent="0.3">
      <c r="A657" s="319" t="s">
        <v>75</v>
      </c>
      <c r="B657" s="306"/>
      <c r="C657" s="307"/>
      <c r="D657" s="308" t="s">
        <v>548</v>
      </c>
      <c r="E657" s="309">
        <v>1</v>
      </c>
      <c r="F657" s="310" t="s">
        <v>100</v>
      </c>
      <c r="G657" s="311"/>
      <c r="H657" s="312">
        <f t="shared" si="98"/>
        <v>0</v>
      </c>
      <c r="I657" s="313"/>
      <c r="J657" s="307"/>
      <c r="K657" s="16"/>
      <c r="L657" s="17"/>
      <c r="M657" s="20"/>
      <c r="N657" s="14"/>
      <c r="O657" s="15"/>
      <c r="P657" s="22"/>
    </row>
    <row r="658" spans="1:16" s="5" customFormat="1" ht="10.5" customHeight="1" x14ac:dyDescent="0.3">
      <c r="A658" s="430"/>
      <c r="B658" s="402"/>
      <c r="C658" s="431"/>
      <c r="D658" s="404"/>
      <c r="E658" s="432"/>
      <c r="F658" s="433"/>
      <c r="G658" s="407"/>
      <c r="H658" s="408"/>
      <c r="I658" s="409"/>
      <c r="J658" s="307"/>
      <c r="K658" s="16"/>
      <c r="L658" s="17"/>
      <c r="M658" s="20"/>
      <c r="N658" s="14"/>
      <c r="O658" s="15"/>
      <c r="P658" s="22"/>
    </row>
    <row r="659" spans="1:16" s="5" customFormat="1" ht="46.05" customHeight="1" x14ac:dyDescent="0.3">
      <c r="A659" s="305"/>
      <c r="B659" s="306"/>
      <c r="C659" s="394" t="s">
        <v>549</v>
      </c>
      <c r="D659" s="395"/>
      <c r="E659" s="309"/>
      <c r="F659" s="310"/>
      <c r="G659" s="311"/>
      <c r="H659" s="312"/>
      <c r="I659" s="313"/>
      <c r="J659" s="307"/>
      <c r="K659" s="16"/>
      <c r="L659" s="17"/>
      <c r="M659" s="20"/>
      <c r="N659" s="14"/>
      <c r="O659" s="15"/>
      <c r="P659" s="22"/>
    </row>
    <row r="660" spans="1:16" s="5" customFormat="1" ht="27.6" x14ac:dyDescent="0.3">
      <c r="A660" s="305" t="s">
        <v>77</v>
      </c>
      <c r="B660" s="306"/>
      <c r="C660" s="390"/>
      <c r="D660" s="397" t="s">
        <v>550</v>
      </c>
      <c r="E660" s="309">
        <v>1</v>
      </c>
      <c r="F660" s="310" t="s">
        <v>487</v>
      </c>
      <c r="G660" s="311"/>
      <c r="H660" s="312">
        <f t="shared" ref="H660:H666" si="99">E660*G660</f>
        <v>0</v>
      </c>
      <c r="I660" s="313"/>
      <c r="J660" s="307"/>
      <c r="K660" s="16"/>
      <c r="L660" s="17"/>
      <c r="M660" s="20"/>
      <c r="N660" s="14"/>
      <c r="O660" s="15"/>
      <c r="P660" s="22"/>
    </row>
    <row r="661" spans="1:16" s="5" customFormat="1" ht="27.6" x14ac:dyDescent="0.3">
      <c r="A661" s="305" t="s">
        <v>80</v>
      </c>
      <c r="B661" s="306"/>
      <c r="C661" s="390"/>
      <c r="D661" s="397" t="s">
        <v>551</v>
      </c>
      <c r="E661" s="309">
        <v>1</v>
      </c>
      <c r="F661" s="310" t="s">
        <v>249</v>
      </c>
      <c r="G661" s="311"/>
      <c r="H661" s="312">
        <f t="shared" si="99"/>
        <v>0</v>
      </c>
      <c r="I661" s="313"/>
      <c r="J661" s="307"/>
      <c r="K661" s="16"/>
      <c r="L661" s="17"/>
      <c r="M661" s="20"/>
      <c r="N661" s="14"/>
      <c r="O661" s="15"/>
      <c r="P661" s="22"/>
    </row>
    <row r="662" spans="1:16" s="5" customFormat="1" ht="30" customHeight="1" x14ac:dyDescent="0.3">
      <c r="A662" s="305" t="s">
        <v>81</v>
      </c>
      <c r="B662" s="306"/>
      <c r="C662" s="390"/>
      <c r="D662" s="308" t="s">
        <v>552</v>
      </c>
      <c r="E662" s="309">
        <v>1</v>
      </c>
      <c r="F662" s="310" t="s">
        <v>487</v>
      </c>
      <c r="G662" s="311"/>
      <c r="H662" s="312">
        <f t="shared" si="99"/>
        <v>0</v>
      </c>
      <c r="I662" s="313"/>
      <c r="J662" s="307"/>
      <c r="K662" s="16"/>
      <c r="L662" s="17"/>
      <c r="M662" s="20"/>
      <c r="N662" s="14"/>
      <c r="O662" s="15"/>
      <c r="P662" s="22"/>
    </row>
    <row r="663" spans="1:16" s="5" customFormat="1" ht="30" customHeight="1" x14ac:dyDescent="0.3">
      <c r="A663" s="305" t="s">
        <v>83</v>
      </c>
      <c r="B663" s="306"/>
      <c r="C663" s="390"/>
      <c r="D663" s="308" t="s">
        <v>553</v>
      </c>
      <c r="E663" s="309">
        <v>1</v>
      </c>
      <c r="F663" s="310" t="s">
        <v>487</v>
      </c>
      <c r="G663" s="311"/>
      <c r="H663" s="312">
        <f t="shared" si="99"/>
        <v>0</v>
      </c>
      <c r="I663" s="313"/>
      <c r="J663" s="307"/>
      <c r="K663" s="16"/>
      <c r="L663" s="17"/>
      <c r="M663" s="20"/>
      <c r="N663" s="14"/>
      <c r="O663" s="15"/>
      <c r="P663" s="22"/>
    </row>
    <row r="664" spans="1:16" s="5" customFormat="1" ht="31.35" customHeight="1" x14ac:dyDescent="0.3">
      <c r="A664" s="305" t="s">
        <v>85</v>
      </c>
      <c r="B664" s="306"/>
      <c r="C664" s="390"/>
      <c r="D664" s="397" t="s">
        <v>554</v>
      </c>
      <c r="E664" s="309">
        <v>1</v>
      </c>
      <c r="F664" s="310" t="s">
        <v>487</v>
      </c>
      <c r="G664" s="311"/>
      <c r="H664" s="312">
        <f t="shared" si="99"/>
        <v>0</v>
      </c>
      <c r="I664" s="313"/>
      <c r="J664" s="307"/>
      <c r="K664" s="16"/>
      <c r="L664" s="17"/>
      <c r="M664" s="20"/>
      <c r="N664" s="14"/>
      <c r="O664" s="15"/>
      <c r="P664" s="22"/>
    </row>
    <row r="665" spans="1:16" s="5" customFormat="1" ht="27.6" x14ac:dyDescent="0.3">
      <c r="A665" s="305" t="s">
        <v>87</v>
      </c>
      <c r="B665" s="306"/>
      <c r="C665" s="390"/>
      <c r="D665" s="397" t="s">
        <v>555</v>
      </c>
      <c r="E665" s="309">
        <v>1</v>
      </c>
      <c r="F665" s="310" t="s">
        <v>249</v>
      </c>
      <c r="G665" s="311"/>
      <c r="H665" s="312">
        <f t="shared" si="99"/>
        <v>0</v>
      </c>
      <c r="I665" s="313"/>
      <c r="J665" s="307"/>
      <c r="K665" s="16"/>
      <c r="L665" s="17"/>
      <c r="M665" s="20"/>
      <c r="N665" s="14"/>
      <c r="O665" s="15"/>
      <c r="P665" s="22"/>
    </row>
    <row r="666" spans="1:16" s="5" customFormat="1" ht="27.6" x14ac:dyDescent="0.3">
      <c r="A666" s="305" t="s">
        <v>89</v>
      </c>
      <c r="B666" s="306"/>
      <c r="C666" s="390"/>
      <c r="D666" s="397" t="s">
        <v>556</v>
      </c>
      <c r="E666" s="309">
        <v>1</v>
      </c>
      <c r="F666" s="310" t="s">
        <v>249</v>
      </c>
      <c r="G666" s="311"/>
      <c r="H666" s="312">
        <f t="shared" si="99"/>
        <v>0</v>
      </c>
      <c r="I666" s="313"/>
      <c r="J666" s="307"/>
      <c r="K666" s="16"/>
      <c r="L666" s="17"/>
      <c r="M666" s="20"/>
      <c r="N666" s="14"/>
      <c r="O666" s="15"/>
      <c r="P666" s="22"/>
    </row>
    <row r="667" spans="1:16" s="5" customFormat="1" ht="15" customHeight="1" x14ac:dyDescent="0.3">
      <c r="A667" s="305"/>
      <c r="B667" s="306"/>
      <c r="C667" s="390"/>
      <c r="D667" s="397"/>
      <c r="E667" s="309"/>
      <c r="F667" s="310"/>
      <c r="G667" s="311"/>
      <c r="H667" s="312"/>
      <c r="I667" s="313"/>
      <c r="J667" s="307"/>
      <c r="K667" s="16"/>
      <c r="L667" s="17"/>
      <c r="M667" s="20"/>
      <c r="N667" s="14"/>
      <c r="O667" s="15"/>
      <c r="P667" s="22"/>
    </row>
    <row r="668" spans="1:16" s="5" customFormat="1" ht="15" customHeight="1" x14ac:dyDescent="0.3">
      <c r="A668" s="305"/>
      <c r="B668" s="306"/>
      <c r="C668" s="390"/>
      <c r="D668" s="397" t="s">
        <v>557</v>
      </c>
      <c r="E668" s="309"/>
      <c r="F668" s="310"/>
      <c r="G668" s="311"/>
      <c r="H668" s="312"/>
      <c r="I668" s="313"/>
      <c r="J668" s="307"/>
      <c r="K668" s="16"/>
      <c r="L668" s="17"/>
      <c r="M668" s="20"/>
      <c r="N668" s="14"/>
      <c r="O668" s="15"/>
      <c r="P668" s="22"/>
    </row>
    <row r="669" spans="1:16" s="5" customFormat="1" ht="15" customHeight="1" x14ac:dyDescent="0.3">
      <c r="A669" s="305" t="s">
        <v>91</v>
      </c>
      <c r="B669" s="306"/>
      <c r="C669" s="390"/>
      <c r="D669" s="397" t="s">
        <v>558</v>
      </c>
      <c r="E669" s="309">
        <v>1</v>
      </c>
      <c r="F669" s="310" t="s">
        <v>100</v>
      </c>
      <c r="G669" s="311"/>
      <c r="H669" s="312">
        <f t="shared" ref="H669:H672" si="100">E669*G669</f>
        <v>0</v>
      </c>
      <c r="I669" s="313"/>
      <c r="J669" s="307"/>
      <c r="K669" s="16"/>
      <c r="L669" s="17"/>
      <c r="M669" s="20"/>
      <c r="N669" s="14"/>
      <c r="O669" s="15"/>
      <c r="P669" s="22"/>
    </row>
    <row r="670" spans="1:16" s="5" customFormat="1" ht="15" customHeight="1" x14ac:dyDescent="0.3">
      <c r="A670" s="305" t="s">
        <v>92</v>
      </c>
      <c r="B670" s="306"/>
      <c r="C670" s="390"/>
      <c r="D670" s="397" t="s">
        <v>559</v>
      </c>
      <c r="E670" s="309">
        <v>1</v>
      </c>
      <c r="F670" s="310" t="s">
        <v>100</v>
      </c>
      <c r="G670" s="311"/>
      <c r="H670" s="312">
        <f t="shared" si="100"/>
        <v>0</v>
      </c>
      <c r="I670" s="313"/>
      <c r="J670" s="307"/>
      <c r="K670" s="16"/>
      <c r="L670" s="17"/>
      <c r="M670" s="20"/>
      <c r="N670" s="14"/>
      <c r="O670" s="15"/>
      <c r="P670" s="22"/>
    </row>
    <row r="671" spans="1:16" s="5" customFormat="1" ht="15" customHeight="1" x14ac:dyDescent="0.3">
      <c r="A671" s="305" t="s">
        <v>94</v>
      </c>
      <c r="B671" s="306"/>
      <c r="C671" s="390"/>
      <c r="D671" s="397" t="s">
        <v>560</v>
      </c>
      <c r="E671" s="309">
        <v>1</v>
      </c>
      <c r="F671" s="310" t="s">
        <v>100</v>
      </c>
      <c r="G671" s="311"/>
      <c r="H671" s="312">
        <f t="shared" si="100"/>
        <v>0</v>
      </c>
      <c r="I671" s="313"/>
      <c r="J671" s="307"/>
      <c r="K671" s="16"/>
      <c r="L671" s="17"/>
      <c r="M671" s="20"/>
      <c r="N671" s="14"/>
      <c r="O671" s="15"/>
      <c r="P671" s="22"/>
    </row>
    <row r="672" spans="1:16" s="5" customFormat="1" ht="15" customHeight="1" x14ac:dyDescent="0.3">
      <c r="A672" s="305" t="s">
        <v>95</v>
      </c>
      <c r="B672" s="306"/>
      <c r="C672" s="390"/>
      <c r="D672" s="397" t="s">
        <v>561</v>
      </c>
      <c r="E672" s="309">
        <v>1</v>
      </c>
      <c r="F672" s="310" t="s">
        <v>100</v>
      </c>
      <c r="G672" s="311"/>
      <c r="H672" s="312">
        <f t="shared" si="100"/>
        <v>0</v>
      </c>
      <c r="I672" s="313"/>
      <c r="J672" s="307"/>
      <c r="K672" s="16"/>
      <c r="L672" s="17"/>
      <c r="M672" s="20"/>
      <c r="N672" s="14"/>
      <c r="O672" s="15"/>
      <c r="P672" s="22"/>
    </row>
    <row r="673" spans="1:16" s="5" customFormat="1" ht="15" customHeight="1" x14ac:dyDescent="0.3">
      <c r="A673" s="305"/>
      <c r="B673" s="306"/>
      <c r="C673" s="390"/>
      <c r="D673" s="397"/>
      <c r="E673" s="309"/>
      <c r="F673" s="310"/>
      <c r="G673" s="311"/>
      <c r="H673" s="312"/>
      <c r="I673" s="313"/>
      <c r="J673" s="307"/>
      <c r="K673" s="16"/>
      <c r="L673" s="17"/>
      <c r="M673" s="20"/>
      <c r="N673" s="14"/>
      <c r="O673" s="15"/>
      <c r="P673" s="22"/>
    </row>
    <row r="674" spans="1:16" s="5" customFormat="1" ht="33.450000000000003" customHeight="1" x14ac:dyDescent="0.3">
      <c r="A674" s="305"/>
      <c r="B674" s="306"/>
      <c r="C674" s="394" t="s">
        <v>562</v>
      </c>
      <c r="D674" s="395"/>
      <c r="E674" s="309"/>
      <c r="F674" s="310"/>
      <c r="G674" s="311"/>
      <c r="H674" s="312"/>
      <c r="I674" s="313"/>
      <c r="J674" s="307"/>
      <c r="K674" s="16"/>
      <c r="L674" s="17"/>
      <c r="M674" s="20"/>
      <c r="N674" s="14"/>
      <c r="O674" s="15"/>
      <c r="P674" s="22"/>
    </row>
    <row r="675" spans="1:16" s="5" customFormat="1" x14ac:dyDescent="0.3">
      <c r="A675" s="305" t="s">
        <v>98</v>
      </c>
      <c r="B675" s="306"/>
      <c r="C675" s="390"/>
      <c r="D675" s="397" t="s">
        <v>563</v>
      </c>
      <c r="E675" s="309">
        <v>1</v>
      </c>
      <c r="F675" s="310" t="s">
        <v>249</v>
      </c>
      <c r="G675" s="311"/>
      <c r="H675" s="312">
        <f t="shared" ref="H675:H677" si="101">E675*G675</f>
        <v>0</v>
      </c>
      <c r="I675" s="313"/>
      <c r="J675" s="307"/>
      <c r="K675" s="16"/>
      <c r="L675" s="17"/>
      <c r="M675" s="20"/>
      <c r="N675" s="14"/>
      <c r="O675" s="15"/>
      <c r="P675" s="22"/>
    </row>
    <row r="676" spans="1:16" s="5" customFormat="1" x14ac:dyDescent="0.3">
      <c r="A676" s="305" t="s">
        <v>101</v>
      </c>
      <c r="B676" s="306"/>
      <c r="C676" s="390"/>
      <c r="D676" s="397" t="s">
        <v>564</v>
      </c>
      <c r="E676" s="309">
        <v>1</v>
      </c>
      <c r="F676" s="310" t="s">
        <v>249</v>
      </c>
      <c r="G676" s="311"/>
      <c r="H676" s="312">
        <f t="shared" si="101"/>
        <v>0</v>
      </c>
      <c r="I676" s="313"/>
      <c r="J676" s="307"/>
      <c r="K676" s="16"/>
      <c r="L676" s="17"/>
      <c r="M676" s="20"/>
      <c r="N676" s="14"/>
      <c r="O676" s="15"/>
      <c r="P676" s="22"/>
    </row>
    <row r="677" spans="1:16" s="5" customFormat="1" x14ac:dyDescent="0.3">
      <c r="A677" s="305" t="s">
        <v>104</v>
      </c>
      <c r="B677" s="306"/>
      <c r="C677" s="390"/>
      <c r="D677" s="397" t="s">
        <v>565</v>
      </c>
      <c r="E677" s="309">
        <v>1</v>
      </c>
      <c r="F677" s="310" t="s">
        <v>100</v>
      </c>
      <c r="G677" s="311"/>
      <c r="H677" s="312">
        <f t="shared" si="101"/>
        <v>0</v>
      </c>
      <c r="I677" s="313"/>
      <c r="J677" s="307"/>
      <c r="K677" s="16"/>
      <c r="L677" s="17"/>
      <c r="M677" s="20"/>
      <c r="N677" s="14"/>
      <c r="O677" s="15"/>
      <c r="P677" s="22"/>
    </row>
    <row r="678" spans="1:16" s="5" customFormat="1" x14ac:dyDescent="0.3">
      <c r="A678" s="305"/>
      <c r="B678" s="306"/>
      <c r="C678" s="390"/>
      <c r="D678" s="397"/>
      <c r="E678" s="309"/>
      <c r="F678" s="310"/>
      <c r="G678" s="311"/>
      <c r="H678" s="312"/>
      <c r="I678" s="313"/>
      <c r="J678" s="307"/>
      <c r="K678" s="16"/>
      <c r="L678" s="17"/>
      <c r="M678" s="20"/>
      <c r="N678" s="14"/>
      <c r="O678" s="15"/>
      <c r="P678" s="22"/>
    </row>
    <row r="679" spans="1:16" s="5" customFormat="1" x14ac:dyDescent="0.3">
      <c r="A679" s="305"/>
      <c r="B679" s="306"/>
      <c r="C679" s="390"/>
      <c r="D679" s="397" t="s">
        <v>557</v>
      </c>
      <c r="E679" s="309"/>
      <c r="F679" s="310"/>
      <c r="G679" s="311"/>
      <c r="H679" s="312"/>
      <c r="I679" s="313"/>
      <c r="J679" s="307"/>
      <c r="K679" s="16"/>
      <c r="L679" s="17"/>
      <c r="M679" s="20"/>
      <c r="N679" s="14"/>
      <c r="O679" s="15"/>
      <c r="P679" s="22"/>
    </row>
    <row r="680" spans="1:16" s="5" customFormat="1" x14ac:dyDescent="0.3">
      <c r="A680" s="305" t="s">
        <v>106</v>
      </c>
      <c r="B680" s="306"/>
      <c r="C680" s="390"/>
      <c r="D680" s="397" t="s">
        <v>566</v>
      </c>
      <c r="E680" s="309">
        <v>1</v>
      </c>
      <c r="F680" s="310" t="s">
        <v>100</v>
      </c>
      <c r="G680" s="311"/>
      <c r="H680" s="312">
        <f t="shared" ref="H680:H681" si="102">E680*G680</f>
        <v>0</v>
      </c>
      <c r="I680" s="313"/>
      <c r="J680" s="307"/>
      <c r="K680" s="16"/>
      <c r="L680" s="17"/>
      <c r="M680" s="20"/>
      <c r="N680" s="14"/>
      <c r="O680" s="15"/>
      <c r="P680" s="22"/>
    </row>
    <row r="681" spans="1:16" s="5" customFormat="1" x14ac:dyDescent="0.3">
      <c r="A681" s="305" t="s">
        <v>108</v>
      </c>
      <c r="B681" s="306"/>
      <c r="C681" s="390"/>
      <c r="D681" s="397" t="s">
        <v>567</v>
      </c>
      <c r="E681" s="309">
        <v>1</v>
      </c>
      <c r="F681" s="310" t="s">
        <v>100</v>
      </c>
      <c r="G681" s="311"/>
      <c r="H681" s="312">
        <f t="shared" si="102"/>
        <v>0</v>
      </c>
      <c r="I681" s="313"/>
      <c r="J681" s="307"/>
      <c r="K681" s="16"/>
      <c r="L681" s="17"/>
      <c r="M681" s="20"/>
      <c r="N681" s="14"/>
      <c r="O681" s="15"/>
      <c r="P681" s="22"/>
    </row>
    <row r="682" spans="1:16" s="5" customFormat="1" ht="15" customHeight="1" x14ac:dyDescent="0.3">
      <c r="A682" s="305"/>
      <c r="B682" s="306"/>
      <c r="C682" s="390"/>
      <c r="D682" s="397"/>
      <c r="E682" s="309"/>
      <c r="F682" s="310"/>
      <c r="G682" s="311"/>
      <c r="H682" s="312"/>
      <c r="I682" s="313"/>
      <c r="J682" s="307"/>
      <c r="K682" s="16"/>
      <c r="L682" s="17"/>
      <c r="M682" s="20"/>
      <c r="N682" s="14"/>
      <c r="O682" s="15"/>
      <c r="P682" s="22"/>
    </row>
    <row r="683" spans="1:16" s="5" customFormat="1" ht="15" customHeight="1" x14ac:dyDescent="0.3">
      <c r="A683" s="305">
        <v>5.05</v>
      </c>
      <c r="B683" s="306"/>
      <c r="C683" s="390" t="s">
        <v>568</v>
      </c>
      <c r="D683" s="385"/>
      <c r="E683" s="309"/>
      <c r="F683" s="310"/>
      <c r="G683" s="311"/>
      <c r="H683" s="312"/>
      <c r="I683" s="313"/>
      <c r="J683" s="307"/>
      <c r="K683" s="16"/>
      <c r="L683" s="17"/>
      <c r="M683" s="20"/>
      <c r="N683" s="14"/>
      <c r="O683" s="15"/>
      <c r="P683" s="22"/>
    </row>
    <row r="684" spans="1:16" s="5" customFormat="1" ht="11.7" customHeight="1" x14ac:dyDescent="0.3">
      <c r="A684" s="305"/>
      <c r="B684" s="306"/>
      <c r="C684" s="390"/>
      <c r="D684" s="397"/>
      <c r="E684" s="309"/>
      <c r="F684" s="310"/>
      <c r="G684" s="311"/>
      <c r="H684" s="312"/>
      <c r="I684" s="313"/>
      <c r="J684" s="307"/>
      <c r="K684" s="16"/>
      <c r="L684" s="17"/>
      <c r="M684" s="20"/>
      <c r="N684" s="14"/>
      <c r="O684" s="15"/>
      <c r="P684" s="22"/>
    </row>
    <row r="685" spans="1:16" s="5" customFormat="1" ht="15" customHeight="1" x14ac:dyDescent="0.3">
      <c r="A685" s="305">
        <v>5.0599999999999996</v>
      </c>
      <c r="B685" s="306"/>
      <c r="C685" s="390" t="s">
        <v>569</v>
      </c>
      <c r="D685" s="385"/>
      <c r="E685" s="309"/>
      <c r="F685" s="310"/>
      <c r="G685" s="311"/>
      <c r="H685" s="312"/>
      <c r="I685" s="313"/>
      <c r="J685" s="307"/>
      <c r="K685" s="16"/>
      <c r="L685" s="17"/>
      <c r="M685" s="20"/>
      <c r="N685" s="14"/>
      <c r="O685" s="15"/>
      <c r="P685" s="22"/>
    </row>
    <row r="686" spans="1:16" s="5" customFormat="1" ht="15" customHeight="1" x14ac:dyDescent="0.3">
      <c r="A686" s="305"/>
      <c r="B686" s="306"/>
      <c r="C686" s="390" t="s">
        <v>570</v>
      </c>
      <c r="D686" s="385"/>
      <c r="E686" s="309"/>
      <c r="F686" s="310"/>
      <c r="G686" s="311"/>
      <c r="H686" s="312"/>
      <c r="I686" s="313"/>
      <c r="J686" s="307"/>
      <c r="K686" s="16"/>
      <c r="L686" s="17"/>
      <c r="M686" s="20"/>
      <c r="N686" s="14"/>
      <c r="O686" s="15"/>
      <c r="P686" s="22"/>
    </row>
    <row r="687" spans="1:16" s="5" customFormat="1" ht="30" customHeight="1" x14ac:dyDescent="0.3">
      <c r="A687" s="305"/>
      <c r="B687" s="306"/>
      <c r="C687" s="452" t="s">
        <v>571</v>
      </c>
      <c r="D687" s="453"/>
      <c r="E687" s="309"/>
      <c r="F687" s="310"/>
      <c r="G687" s="311"/>
      <c r="H687" s="312"/>
      <c r="I687" s="313"/>
      <c r="J687" s="307"/>
      <c r="K687" s="16"/>
      <c r="L687" s="17"/>
      <c r="M687" s="20"/>
      <c r="N687" s="14"/>
      <c r="O687" s="15"/>
      <c r="P687" s="22"/>
    </row>
    <row r="688" spans="1:16" s="5" customFormat="1" ht="15" customHeight="1" x14ac:dyDescent="0.3">
      <c r="A688" s="319" t="s">
        <v>19</v>
      </c>
      <c r="B688" s="306"/>
      <c r="C688" s="307"/>
      <c r="D688" s="308" t="s">
        <v>535</v>
      </c>
      <c r="E688" s="309">
        <f>4873+125</f>
        <v>4998</v>
      </c>
      <c r="F688" s="310" t="s">
        <v>46</v>
      </c>
      <c r="G688" s="311"/>
      <c r="H688" s="312">
        <f t="shared" ref="H688" si="103">E688*G688</f>
        <v>0</v>
      </c>
      <c r="I688" s="313"/>
      <c r="J688" s="307"/>
      <c r="K688" s="16"/>
      <c r="L688" s="17"/>
      <c r="M688" s="20"/>
      <c r="N688" s="14"/>
      <c r="O688" s="15"/>
      <c r="P688" s="22"/>
    </row>
    <row r="689" spans="1:16" s="5" customFormat="1" x14ac:dyDescent="0.3">
      <c r="A689" s="305"/>
      <c r="B689" s="306"/>
      <c r="C689" s="390"/>
      <c r="D689" s="397"/>
      <c r="E689" s="309"/>
      <c r="F689" s="310"/>
      <c r="G689" s="311"/>
      <c r="H689" s="312"/>
      <c r="I689" s="313"/>
      <c r="J689" s="307"/>
      <c r="K689" s="16"/>
      <c r="L689" s="17"/>
      <c r="M689" s="20"/>
      <c r="N689" s="14"/>
      <c r="O689" s="15"/>
      <c r="P689" s="22"/>
    </row>
    <row r="690" spans="1:16" s="5" customFormat="1" ht="15" customHeight="1" x14ac:dyDescent="0.3">
      <c r="A690" s="305"/>
      <c r="B690" s="306"/>
      <c r="C690" s="390" t="s">
        <v>572</v>
      </c>
      <c r="D690" s="385"/>
      <c r="E690" s="309"/>
      <c r="F690" s="310"/>
      <c r="G690" s="311"/>
      <c r="H690" s="312"/>
      <c r="I690" s="313"/>
      <c r="J690" s="307"/>
      <c r="K690" s="16"/>
      <c r="L690" s="17"/>
      <c r="M690" s="20"/>
      <c r="N690" s="14"/>
      <c r="O690" s="15"/>
      <c r="P690" s="22"/>
    </row>
    <row r="691" spans="1:16" s="5" customFormat="1" ht="59.7" customHeight="1" x14ac:dyDescent="0.3">
      <c r="A691" s="305"/>
      <c r="B691" s="306"/>
      <c r="C691" s="452" t="s">
        <v>573</v>
      </c>
      <c r="D691" s="453"/>
      <c r="E691" s="309"/>
      <c r="F691" s="310"/>
      <c r="G691" s="311"/>
      <c r="H691" s="312"/>
      <c r="I691" s="313"/>
      <c r="J691" s="307"/>
      <c r="K691" s="16"/>
      <c r="L691" s="17"/>
      <c r="M691" s="20"/>
      <c r="N691" s="14"/>
      <c r="O691" s="15"/>
      <c r="P691" s="22"/>
    </row>
    <row r="692" spans="1:16" s="5" customFormat="1" ht="27.6" x14ac:dyDescent="0.3">
      <c r="A692" s="305" t="s">
        <v>22</v>
      </c>
      <c r="B692" s="306"/>
      <c r="C692" s="390"/>
      <c r="D692" s="308" t="s">
        <v>574</v>
      </c>
      <c r="E692" s="309">
        <v>1</v>
      </c>
      <c r="F692" s="310" t="s">
        <v>100</v>
      </c>
      <c r="G692" s="311"/>
      <c r="H692" s="312">
        <f>E692*G692</f>
        <v>0</v>
      </c>
      <c r="I692" s="313"/>
      <c r="J692" s="307"/>
      <c r="K692" s="16"/>
      <c r="L692" s="17"/>
      <c r="M692" s="20"/>
      <c r="N692" s="14"/>
      <c r="O692" s="15"/>
      <c r="P692" s="22"/>
    </row>
    <row r="693" spans="1:16" s="5" customFormat="1" ht="27.6" x14ac:dyDescent="0.3">
      <c r="A693" s="305" t="s">
        <v>25</v>
      </c>
      <c r="B693" s="306"/>
      <c r="C693" s="390"/>
      <c r="D693" s="308" t="s">
        <v>575</v>
      </c>
      <c r="E693" s="309">
        <v>1</v>
      </c>
      <c r="F693" s="310" t="s">
        <v>100</v>
      </c>
      <c r="G693" s="311"/>
      <c r="H693" s="312">
        <f>E693*G693</f>
        <v>0</v>
      </c>
      <c r="I693" s="313"/>
      <c r="J693" s="307"/>
      <c r="K693" s="16"/>
      <c r="L693" s="17"/>
      <c r="M693" s="20"/>
      <c r="N693" s="14"/>
      <c r="O693" s="15"/>
      <c r="P693" s="22"/>
    </row>
    <row r="694" spans="1:16" s="5" customFormat="1" ht="15.15" customHeight="1" x14ac:dyDescent="0.3">
      <c r="A694" s="305" t="s">
        <v>28</v>
      </c>
      <c r="B694" s="306"/>
      <c r="C694" s="390"/>
      <c r="D694" s="308" t="s">
        <v>576</v>
      </c>
      <c r="E694" s="309">
        <f>636+37</f>
        <v>673</v>
      </c>
      <c r="F694" s="310" t="s">
        <v>21</v>
      </c>
      <c r="G694" s="311"/>
      <c r="H694" s="312">
        <f>E694*G694</f>
        <v>0</v>
      </c>
      <c r="I694" s="313"/>
      <c r="J694" s="307"/>
      <c r="K694" s="16"/>
      <c r="L694" s="17"/>
      <c r="M694" s="20"/>
      <c r="N694" s="14"/>
      <c r="O694" s="15"/>
      <c r="P694" s="22"/>
    </row>
    <row r="695" spans="1:16" s="5" customFormat="1" ht="15.15" customHeight="1" x14ac:dyDescent="0.3">
      <c r="A695" s="305"/>
      <c r="B695" s="306"/>
      <c r="C695" s="390"/>
      <c r="D695" s="308"/>
      <c r="E695" s="309"/>
      <c r="F695" s="310"/>
      <c r="G695" s="311"/>
      <c r="H695" s="312"/>
      <c r="I695" s="313"/>
      <c r="J695" s="307"/>
      <c r="K695" s="16"/>
      <c r="L695" s="17"/>
      <c r="M695" s="20"/>
      <c r="N695" s="14"/>
      <c r="O695" s="15"/>
      <c r="P695" s="22"/>
    </row>
    <row r="696" spans="1:16" s="5" customFormat="1" ht="35.85" customHeight="1" x14ac:dyDescent="0.3">
      <c r="A696" s="305"/>
      <c r="B696" s="306"/>
      <c r="C696" s="452" t="s">
        <v>577</v>
      </c>
      <c r="D696" s="453"/>
      <c r="E696" s="309"/>
      <c r="F696" s="310"/>
      <c r="G696" s="311"/>
      <c r="H696" s="312"/>
      <c r="I696" s="313"/>
      <c r="J696" s="307"/>
      <c r="K696" s="16"/>
      <c r="L696" s="17"/>
      <c r="M696" s="20"/>
      <c r="N696" s="14"/>
      <c r="O696" s="15"/>
      <c r="P696" s="22"/>
    </row>
    <row r="697" spans="1:16" s="5" customFormat="1" ht="15.15" customHeight="1" x14ac:dyDescent="0.3">
      <c r="A697" s="305" t="s">
        <v>30</v>
      </c>
      <c r="B697" s="306"/>
      <c r="C697" s="390"/>
      <c r="D697" s="308" t="s">
        <v>574</v>
      </c>
      <c r="E697" s="309">
        <v>1</v>
      </c>
      <c r="F697" s="310" t="s">
        <v>100</v>
      </c>
      <c r="G697" s="311"/>
      <c r="H697" s="312">
        <f>E697*G697</f>
        <v>0</v>
      </c>
      <c r="I697" s="313"/>
      <c r="J697" s="307"/>
      <c r="K697" s="16"/>
      <c r="L697" s="17"/>
      <c r="M697" s="20"/>
      <c r="N697" s="14"/>
      <c r="O697" s="15"/>
      <c r="P697" s="22"/>
    </row>
    <row r="698" spans="1:16" s="5" customFormat="1" ht="15.15" customHeight="1" x14ac:dyDescent="0.3">
      <c r="A698" s="305" t="s">
        <v>32</v>
      </c>
      <c r="B698" s="306"/>
      <c r="C698" s="390"/>
      <c r="D698" s="308" t="s">
        <v>575</v>
      </c>
      <c r="E698" s="309">
        <v>1</v>
      </c>
      <c r="F698" s="310" t="s">
        <v>100</v>
      </c>
      <c r="G698" s="311"/>
      <c r="H698" s="312">
        <f>E698*G698</f>
        <v>0</v>
      </c>
      <c r="I698" s="313" t="s">
        <v>1730</v>
      </c>
      <c r="J698" s="307"/>
      <c r="K698" s="16"/>
      <c r="L698" s="17"/>
      <c r="M698" s="20"/>
      <c r="N698" s="14"/>
      <c r="O698" s="15"/>
      <c r="P698" s="22"/>
    </row>
    <row r="699" spans="1:16" s="5" customFormat="1" ht="15.15" customHeight="1" x14ac:dyDescent="0.3">
      <c r="A699" s="305" t="s">
        <v>34</v>
      </c>
      <c r="B699" s="306"/>
      <c r="C699" s="390"/>
      <c r="D699" s="308" t="s">
        <v>576</v>
      </c>
      <c r="E699" s="309">
        <f>636+37</f>
        <v>673</v>
      </c>
      <c r="F699" s="310" t="s">
        <v>21</v>
      </c>
      <c r="G699" s="311"/>
      <c r="H699" s="312">
        <f>E699*G699</f>
        <v>0</v>
      </c>
      <c r="I699" s="313" t="s">
        <v>578</v>
      </c>
      <c r="J699" s="307"/>
      <c r="K699" s="16"/>
      <c r="L699" s="17"/>
      <c r="M699" s="20"/>
      <c r="N699" s="14"/>
      <c r="O699" s="15"/>
      <c r="P699" s="22"/>
    </row>
    <row r="700" spans="1:16" s="5" customFormat="1" ht="15.15" customHeight="1" x14ac:dyDescent="0.3">
      <c r="A700" s="305"/>
      <c r="B700" s="306"/>
      <c r="C700" s="390"/>
      <c r="D700" s="308"/>
      <c r="E700" s="309"/>
      <c r="F700" s="310"/>
      <c r="G700" s="311"/>
      <c r="H700" s="312"/>
      <c r="I700" s="313"/>
      <c r="J700" s="307"/>
      <c r="K700" s="16"/>
      <c r="L700" s="17"/>
      <c r="M700" s="20"/>
      <c r="N700" s="14"/>
      <c r="O700" s="15"/>
      <c r="P700" s="22"/>
    </row>
    <row r="701" spans="1:16" s="5" customFormat="1" ht="32.1" customHeight="1" x14ac:dyDescent="0.3">
      <c r="A701" s="305"/>
      <c r="B701" s="306"/>
      <c r="C701" s="452" t="s">
        <v>579</v>
      </c>
      <c r="D701" s="453"/>
      <c r="E701" s="309"/>
      <c r="F701" s="310"/>
      <c r="G701" s="311"/>
      <c r="H701" s="312"/>
      <c r="I701" s="313"/>
      <c r="J701" s="307"/>
      <c r="K701" s="16"/>
      <c r="L701" s="17"/>
      <c r="M701" s="20"/>
      <c r="N701" s="14"/>
      <c r="O701" s="15"/>
      <c r="P701" s="22"/>
    </row>
    <row r="702" spans="1:16" s="5" customFormat="1" ht="15.15" customHeight="1" x14ac:dyDescent="0.3">
      <c r="A702" s="305" t="s">
        <v>36</v>
      </c>
      <c r="B702" s="306"/>
      <c r="C702" s="390"/>
      <c r="D702" s="308" t="s">
        <v>580</v>
      </c>
      <c r="E702" s="309">
        <v>1</v>
      </c>
      <c r="F702" s="310" t="s">
        <v>100</v>
      </c>
      <c r="G702" s="311"/>
      <c r="H702" s="312">
        <f>E702*G702</f>
        <v>0</v>
      </c>
      <c r="I702" s="313"/>
      <c r="J702" s="307"/>
      <c r="K702" s="16"/>
      <c r="L702" s="17"/>
      <c r="M702" s="20"/>
      <c r="N702" s="14"/>
      <c r="O702" s="15"/>
      <c r="P702" s="22"/>
    </row>
    <row r="703" spans="1:16" s="5" customFormat="1" ht="15.15" customHeight="1" x14ac:dyDescent="0.3">
      <c r="A703" s="305"/>
      <c r="B703" s="306"/>
      <c r="C703" s="390"/>
      <c r="D703" s="308"/>
      <c r="E703" s="309"/>
      <c r="F703" s="310"/>
      <c r="G703" s="311"/>
      <c r="H703" s="312"/>
      <c r="I703" s="313"/>
      <c r="J703" s="307"/>
      <c r="K703" s="16"/>
      <c r="L703" s="17"/>
      <c r="M703" s="20"/>
      <c r="N703" s="14"/>
      <c r="O703" s="15"/>
      <c r="P703" s="22"/>
    </row>
    <row r="704" spans="1:16" s="5" customFormat="1" ht="50.85" customHeight="1" x14ac:dyDescent="0.3">
      <c r="A704" s="305"/>
      <c r="B704" s="306"/>
      <c r="C704" s="452" t="s">
        <v>581</v>
      </c>
      <c r="D704" s="453"/>
      <c r="E704" s="309"/>
      <c r="F704" s="310"/>
      <c r="G704" s="311"/>
      <c r="H704" s="312"/>
      <c r="I704" s="313"/>
      <c r="J704" s="307"/>
      <c r="K704" s="16"/>
      <c r="L704" s="17"/>
      <c r="M704" s="20"/>
      <c r="N704" s="14"/>
      <c r="O704" s="15"/>
      <c r="P704" s="22"/>
    </row>
    <row r="705" spans="1:16" s="5" customFormat="1" ht="15.15" customHeight="1" x14ac:dyDescent="0.3">
      <c r="A705" s="305"/>
      <c r="B705" s="306"/>
      <c r="C705" s="390"/>
      <c r="D705" s="400" t="s">
        <v>582</v>
      </c>
      <c r="E705" s="309"/>
      <c r="F705" s="310"/>
      <c r="G705" s="311"/>
      <c r="H705" s="312"/>
      <c r="I705" s="313"/>
      <c r="J705" s="307"/>
      <c r="K705" s="16"/>
      <c r="L705" s="17"/>
      <c r="M705" s="20"/>
      <c r="N705" s="14"/>
      <c r="O705" s="15"/>
      <c r="P705" s="22"/>
    </row>
    <row r="706" spans="1:16" s="5" customFormat="1" ht="15.15" customHeight="1" x14ac:dyDescent="0.3">
      <c r="A706" s="305" t="s">
        <v>39</v>
      </c>
      <c r="B706" s="306"/>
      <c r="C706" s="390"/>
      <c r="D706" s="308" t="s">
        <v>583</v>
      </c>
      <c r="E706" s="309">
        <v>10</v>
      </c>
      <c r="F706" s="310" t="s">
        <v>249</v>
      </c>
      <c r="G706" s="311"/>
      <c r="H706" s="312">
        <f>E706*G706</f>
        <v>0</v>
      </c>
      <c r="I706" s="313"/>
      <c r="J706" s="307"/>
      <c r="K706" s="16"/>
      <c r="L706" s="17"/>
      <c r="M706" s="20"/>
      <c r="N706" s="14"/>
      <c r="O706" s="15"/>
      <c r="P706" s="22"/>
    </row>
    <row r="707" spans="1:16" s="5" customFormat="1" ht="15.15" customHeight="1" x14ac:dyDescent="0.3">
      <c r="A707" s="305" t="s">
        <v>42</v>
      </c>
      <c r="B707" s="306"/>
      <c r="C707" s="390"/>
      <c r="D707" s="308" t="s">
        <v>584</v>
      </c>
      <c r="E707" s="309">
        <v>1</v>
      </c>
      <c r="F707" s="310" t="s">
        <v>249</v>
      </c>
      <c r="G707" s="311"/>
      <c r="H707" s="312">
        <f>E707*G707</f>
        <v>0</v>
      </c>
      <c r="I707" s="313"/>
      <c r="J707" s="307"/>
      <c r="K707" s="16"/>
      <c r="L707" s="17"/>
      <c r="M707" s="20"/>
      <c r="N707" s="14"/>
      <c r="O707" s="15"/>
      <c r="P707" s="22"/>
    </row>
    <row r="708" spans="1:16" s="5" customFormat="1" ht="15.15" customHeight="1" x14ac:dyDescent="0.3">
      <c r="A708" s="305" t="s">
        <v>44</v>
      </c>
      <c r="B708" s="306"/>
      <c r="C708" s="390"/>
      <c r="D708" s="308" t="s">
        <v>585</v>
      </c>
      <c r="E708" s="309">
        <v>1</v>
      </c>
      <c r="F708" s="310" t="s">
        <v>249</v>
      </c>
      <c r="G708" s="311"/>
      <c r="H708" s="312">
        <f>E708*G708</f>
        <v>0</v>
      </c>
      <c r="I708" s="313"/>
      <c r="J708" s="307"/>
      <c r="K708" s="16"/>
      <c r="L708" s="17"/>
      <c r="M708" s="20"/>
      <c r="N708" s="14"/>
      <c r="O708" s="15"/>
      <c r="P708" s="22"/>
    </row>
    <row r="709" spans="1:16" s="5" customFormat="1" ht="15.15" customHeight="1" x14ac:dyDescent="0.3">
      <c r="A709" s="305"/>
      <c r="B709" s="306"/>
      <c r="C709" s="390"/>
      <c r="D709" s="308"/>
      <c r="E709" s="309"/>
      <c r="F709" s="310"/>
      <c r="G709" s="311"/>
      <c r="H709" s="312"/>
      <c r="I709" s="313"/>
      <c r="J709" s="307"/>
      <c r="K709" s="16"/>
      <c r="L709" s="17"/>
      <c r="M709" s="20"/>
      <c r="N709" s="14"/>
      <c r="O709" s="15"/>
      <c r="P709" s="22"/>
    </row>
    <row r="710" spans="1:16" s="5" customFormat="1" ht="15.15" customHeight="1" x14ac:dyDescent="0.3">
      <c r="A710" s="305"/>
      <c r="B710" s="306"/>
      <c r="C710" s="390"/>
      <c r="D710" s="400" t="s">
        <v>586</v>
      </c>
      <c r="E710" s="309"/>
      <c r="F710" s="310"/>
      <c r="G710" s="311"/>
      <c r="H710" s="312"/>
      <c r="I710" s="313"/>
      <c r="J710" s="307"/>
      <c r="K710" s="16"/>
      <c r="L710" s="17"/>
      <c r="M710" s="20"/>
      <c r="N710" s="14"/>
      <c r="O710" s="15"/>
      <c r="P710" s="22"/>
    </row>
    <row r="711" spans="1:16" s="5" customFormat="1" ht="15.15" customHeight="1" x14ac:dyDescent="0.3">
      <c r="A711" s="305" t="s">
        <v>46</v>
      </c>
      <c r="B711" s="306"/>
      <c r="C711" s="390"/>
      <c r="D711" s="308" t="s">
        <v>583</v>
      </c>
      <c r="E711" s="309">
        <f>33+3</f>
        <v>36</v>
      </c>
      <c r="F711" s="310" t="s">
        <v>249</v>
      </c>
      <c r="G711" s="311"/>
      <c r="H711" s="312">
        <f>E711*G711</f>
        <v>0</v>
      </c>
      <c r="I711" s="313"/>
      <c r="J711" s="307"/>
      <c r="K711" s="16"/>
      <c r="L711" s="17"/>
      <c r="M711" s="20"/>
      <c r="N711" s="14"/>
      <c r="O711" s="15"/>
      <c r="P711" s="22"/>
    </row>
    <row r="712" spans="1:16" s="5" customFormat="1" ht="15.15" customHeight="1" x14ac:dyDescent="0.3">
      <c r="A712" s="305" t="s">
        <v>48</v>
      </c>
      <c r="B712" s="306"/>
      <c r="C712" s="390"/>
      <c r="D712" s="308" t="s">
        <v>584</v>
      </c>
      <c r="E712" s="309">
        <v>1</v>
      </c>
      <c r="F712" s="310" t="s">
        <v>249</v>
      </c>
      <c r="G712" s="311"/>
      <c r="H712" s="312">
        <f t="shared" ref="H712:H713" si="104">E712*G712</f>
        <v>0</v>
      </c>
      <c r="I712" s="313"/>
      <c r="J712" s="307"/>
      <c r="K712" s="16"/>
      <c r="L712" s="17"/>
      <c r="M712" s="20"/>
      <c r="N712" s="14"/>
      <c r="O712" s="15"/>
      <c r="P712" s="22"/>
    </row>
    <row r="713" spans="1:16" s="5" customFormat="1" ht="15.15" customHeight="1" x14ac:dyDescent="0.3">
      <c r="A713" s="305" t="s">
        <v>50</v>
      </c>
      <c r="B713" s="306"/>
      <c r="C713" s="390"/>
      <c r="D713" s="308" t="s">
        <v>587</v>
      </c>
      <c r="E713" s="309">
        <v>1</v>
      </c>
      <c r="F713" s="310" t="s">
        <v>249</v>
      </c>
      <c r="G713" s="311"/>
      <c r="H713" s="312">
        <f t="shared" si="104"/>
        <v>0</v>
      </c>
      <c r="I713" s="313"/>
      <c r="J713" s="307"/>
      <c r="K713" s="16"/>
      <c r="L713" s="17"/>
      <c r="M713" s="20"/>
      <c r="N713" s="14"/>
      <c r="O713" s="15"/>
      <c r="P713" s="22"/>
    </row>
    <row r="714" spans="1:16" s="5" customFormat="1" ht="15.15" customHeight="1" x14ac:dyDescent="0.3">
      <c r="A714" s="401"/>
      <c r="B714" s="402"/>
      <c r="C714" s="403"/>
      <c r="D714" s="404"/>
      <c r="E714" s="432"/>
      <c r="F714" s="433"/>
      <c r="G714" s="407"/>
      <c r="H714" s="408"/>
      <c r="I714" s="409"/>
      <c r="J714" s="307"/>
      <c r="K714" s="16"/>
      <c r="L714" s="17"/>
      <c r="M714" s="20"/>
      <c r="N714" s="14"/>
      <c r="O714" s="15"/>
      <c r="P714" s="22"/>
    </row>
    <row r="715" spans="1:16" s="5" customFormat="1" ht="15.15" customHeight="1" x14ac:dyDescent="0.3">
      <c r="A715" s="305"/>
      <c r="B715" s="306"/>
      <c r="C715" s="390"/>
      <c r="D715" s="400" t="s">
        <v>588</v>
      </c>
      <c r="E715" s="309"/>
      <c r="F715" s="310"/>
      <c r="G715" s="311"/>
      <c r="H715" s="312"/>
      <c r="I715" s="313"/>
      <c r="J715" s="307"/>
      <c r="K715" s="16"/>
      <c r="L715" s="17"/>
      <c r="M715" s="20"/>
      <c r="N715" s="14"/>
      <c r="O715" s="15"/>
      <c r="P715" s="22"/>
    </row>
    <row r="716" spans="1:16" s="5" customFormat="1" ht="15.15" customHeight="1" x14ac:dyDescent="0.3">
      <c r="A716" s="305" t="s">
        <v>52</v>
      </c>
      <c r="B716" s="306"/>
      <c r="C716" s="390"/>
      <c r="D716" s="308" t="s">
        <v>583</v>
      </c>
      <c r="E716" s="309">
        <v>1</v>
      </c>
      <c r="F716" s="310" t="s">
        <v>249</v>
      </c>
      <c r="G716" s="311"/>
      <c r="H716" s="312">
        <f t="shared" ref="H716:H719" si="105">E716*G716</f>
        <v>0</v>
      </c>
      <c r="I716" s="313"/>
      <c r="J716" s="307"/>
      <c r="K716" s="16"/>
      <c r="L716" s="17"/>
      <c r="M716" s="20"/>
      <c r="N716" s="14"/>
      <c r="O716" s="15"/>
      <c r="P716" s="22"/>
    </row>
    <row r="717" spans="1:16" s="5" customFormat="1" ht="15.15" customHeight="1" x14ac:dyDescent="0.3">
      <c r="A717" s="305" t="s">
        <v>54</v>
      </c>
      <c r="B717" s="306"/>
      <c r="C717" s="390"/>
      <c r="D717" s="308" t="s">
        <v>584</v>
      </c>
      <c r="E717" s="309">
        <v>1</v>
      </c>
      <c r="F717" s="310" t="s">
        <v>249</v>
      </c>
      <c r="G717" s="311"/>
      <c r="H717" s="312">
        <f t="shared" si="105"/>
        <v>0</v>
      </c>
      <c r="I717" s="313"/>
      <c r="J717" s="307"/>
      <c r="K717" s="16"/>
      <c r="L717" s="17"/>
      <c r="M717" s="20"/>
      <c r="N717" s="14"/>
      <c r="O717" s="15"/>
      <c r="P717" s="22"/>
    </row>
    <row r="718" spans="1:16" s="5" customFormat="1" ht="15.15" customHeight="1" x14ac:dyDescent="0.3">
      <c r="A718" s="305" t="s">
        <v>56</v>
      </c>
      <c r="B718" s="306"/>
      <c r="C718" s="390"/>
      <c r="D718" s="308" t="s">
        <v>587</v>
      </c>
      <c r="E718" s="309">
        <v>1</v>
      </c>
      <c r="F718" s="310" t="s">
        <v>249</v>
      </c>
      <c r="G718" s="311"/>
      <c r="H718" s="312">
        <f t="shared" si="105"/>
        <v>0</v>
      </c>
      <c r="I718" s="313"/>
      <c r="J718" s="307"/>
      <c r="K718" s="16"/>
      <c r="L718" s="17"/>
      <c r="M718" s="20"/>
      <c r="N718" s="14"/>
      <c r="O718" s="15"/>
      <c r="P718" s="22"/>
    </row>
    <row r="719" spans="1:16" s="5" customFormat="1" ht="15.15" customHeight="1" x14ac:dyDescent="0.3">
      <c r="A719" s="305" t="s">
        <v>58</v>
      </c>
      <c r="B719" s="306"/>
      <c r="C719" s="390"/>
      <c r="D719" s="308" t="s">
        <v>589</v>
      </c>
      <c r="E719" s="309">
        <v>1</v>
      </c>
      <c r="F719" s="310" t="s">
        <v>249</v>
      </c>
      <c r="G719" s="311"/>
      <c r="H719" s="312">
        <f t="shared" si="105"/>
        <v>0</v>
      </c>
      <c r="I719" s="313"/>
      <c r="J719" s="307"/>
      <c r="K719" s="16"/>
      <c r="L719" s="17"/>
      <c r="M719" s="20"/>
      <c r="N719" s="14"/>
      <c r="O719" s="15"/>
      <c r="P719" s="22"/>
    </row>
    <row r="720" spans="1:16" s="5" customFormat="1" ht="15" customHeight="1" x14ac:dyDescent="0.3">
      <c r="A720" s="319"/>
      <c r="B720" s="306"/>
      <c r="C720" s="307"/>
      <c r="D720" s="308"/>
      <c r="E720" s="309"/>
      <c r="F720" s="310"/>
      <c r="G720" s="311"/>
      <c r="H720" s="312"/>
      <c r="I720" s="313"/>
      <c r="J720" s="307"/>
      <c r="K720" s="16"/>
      <c r="L720" s="17"/>
      <c r="M720" s="20"/>
      <c r="N720" s="14"/>
      <c r="O720" s="15"/>
      <c r="P720" s="22"/>
    </row>
    <row r="721" spans="1:16" s="5" customFormat="1" ht="60.6" customHeight="1" x14ac:dyDescent="0.3">
      <c r="A721" s="305"/>
      <c r="B721" s="306"/>
      <c r="C721" s="394" t="s">
        <v>590</v>
      </c>
      <c r="D721" s="395"/>
      <c r="E721" s="309"/>
      <c r="F721" s="310"/>
      <c r="G721" s="311"/>
      <c r="H721" s="312"/>
      <c r="I721" s="313"/>
      <c r="J721" s="307"/>
      <c r="K721" s="16"/>
      <c r="L721" s="17"/>
      <c r="M721" s="20"/>
      <c r="N721" s="14"/>
      <c r="O721" s="15"/>
      <c r="P721" s="22"/>
    </row>
    <row r="722" spans="1:16" s="5" customFormat="1" ht="15" customHeight="1" x14ac:dyDescent="0.3">
      <c r="A722" s="319"/>
      <c r="B722" s="306"/>
      <c r="C722" s="307"/>
      <c r="D722" s="385"/>
      <c r="E722" s="309"/>
      <c r="F722" s="310"/>
      <c r="G722" s="311"/>
      <c r="H722" s="312"/>
      <c r="I722" s="313"/>
      <c r="J722" s="307"/>
      <c r="K722" s="16"/>
      <c r="L722" s="17"/>
      <c r="M722" s="20"/>
      <c r="N722" s="14"/>
      <c r="O722" s="15"/>
      <c r="P722" s="22"/>
    </row>
    <row r="723" spans="1:16" s="5" customFormat="1" ht="15" customHeight="1" x14ac:dyDescent="0.3">
      <c r="A723" s="305"/>
      <c r="B723" s="306"/>
      <c r="C723" s="357" t="s">
        <v>591</v>
      </c>
      <c r="D723" s="397"/>
      <c r="E723" s="309"/>
      <c r="F723" s="310"/>
      <c r="G723" s="311"/>
      <c r="H723" s="312"/>
      <c r="I723" s="313"/>
      <c r="J723" s="307"/>
      <c r="K723" s="16"/>
      <c r="L723" s="17"/>
      <c r="M723" s="20"/>
      <c r="N723" s="14"/>
      <c r="O723" s="15"/>
      <c r="P723" s="22"/>
    </row>
    <row r="724" spans="1:16" s="5" customFormat="1" ht="15" customHeight="1" x14ac:dyDescent="0.3">
      <c r="A724" s="305" t="s">
        <v>60</v>
      </c>
      <c r="B724" s="306"/>
      <c r="C724" s="390"/>
      <c r="D724" s="397" t="s">
        <v>592</v>
      </c>
      <c r="E724" s="309">
        <v>1</v>
      </c>
      <c r="F724" s="310" t="s">
        <v>249</v>
      </c>
      <c r="G724" s="311"/>
      <c r="H724" s="312">
        <f t="shared" ref="H724:H751" si="106">E724*G724</f>
        <v>0</v>
      </c>
      <c r="I724" s="313"/>
      <c r="J724" s="307"/>
      <c r="K724" s="16"/>
      <c r="L724" s="17"/>
      <c r="M724" s="20"/>
      <c r="N724" s="14"/>
      <c r="O724" s="15"/>
      <c r="P724" s="22"/>
    </row>
    <row r="725" spans="1:16" s="5" customFormat="1" ht="15" customHeight="1" x14ac:dyDescent="0.3">
      <c r="A725" s="305" t="s">
        <v>62</v>
      </c>
      <c r="B725" s="306"/>
      <c r="C725" s="390"/>
      <c r="D725" s="397" t="s">
        <v>593</v>
      </c>
      <c r="E725" s="309">
        <v>1</v>
      </c>
      <c r="F725" s="310" t="s">
        <v>249</v>
      </c>
      <c r="G725" s="311"/>
      <c r="H725" s="312">
        <f t="shared" si="106"/>
        <v>0</v>
      </c>
      <c r="I725" s="313"/>
      <c r="J725" s="307"/>
      <c r="K725" s="16"/>
      <c r="L725" s="17"/>
      <c r="M725" s="20"/>
      <c r="N725" s="14"/>
      <c r="O725" s="15"/>
      <c r="P725" s="22"/>
    </row>
    <row r="726" spans="1:16" s="5" customFormat="1" ht="15" customHeight="1" x14ac:dyDescent="0.3">
      <c r="A726" s="305" t="s">
        <v>64</v>
      </c>
      <c r="B726" s="306"/>
      <c r="C726" s="390"/>
      <c r="D726" s="397" t="s">
        <v>594</v>
      </c>
      <c r="E726" s="309">
        <v>1</v>
      </c>
      <c r="F726" s="310" t="s">
        <v>249</v>
      </c>
      <c r="G726" s="311"/>
      <c r="H726" s="312">
        <f t="shared" si="106"/>
        <v>0</v>
      </c>
      <c r="I726" s="313"/>
      <c r="J726" s="307"/>
      <c r="K726" s="16"/>
      <c r="L726" s="17"/>
      <c r="M726" s="20"/>
      <c r="N726" s="14"/>
      <c r="O726" s="15"/>
      <c r="P726" s="22"/>
    </row>
    <row r="727" spans="1:16" s="5" customFormat="1" ht="15" customHeight="1" x14ac:dyDescent="0.3">
      <c r="A727" s="305" t="s">
        <v>66</v>
      </c>
      <c r="B727" s="306"/>
      <c r="C727" s="390"/>
      <c r="D727" s="397" t="s">
        <v>595</v>
      </c>
      <c r="E727" s="309">
        <v>4</v>
      </c>
      <c r="F727" s="310" t="s">
        <v>249</v>
      </c>
      <c r="G727" s="311"/>
      <c r="H727" s="312">
        <f t="shared" si="106"/>
        <v>0</v>
      </c>
      <c r="I727" s="313"/>
      <c r="J727" s="307"/>
      <c r="K727" s="16"/>
      <c r="L727" s="17"/>
      <c r="M727" s="20"/>
      <c r="N727" s="14"/>
      <c r="O727" s="15"/>
      <c r="P727" s="22"/>
    </row>
    <row r="728" spans="1:16" s="5" customFormat="1" ht="15" customHeight="1" x14ac:dyDescent="0.3">
      <c r="A728" s="305" t="s">
        <v>68</v>
      </c>
      <c r="B728" s="306"/>
      <c r="C728" s="390"/>
      <c r="D728" s="397" t="s">
        <v>596</v>
      </c>
      <c r="E728" s="309">
        <v>1</v>
      </c>
      <c r="F728" s="310" t="s">
        <v>249</v>
      </c>
      <c r="G728" s="311"/>
      <c r="H728" s="312">
        <f t="shared" si="106"/>
        <v>0</v>
      </c>
      <c r="I728" s="313"/>
      <c r="J728" s="307"/>
      <c r="K728" s="16"/>
      <c r="L728" s="17"/>
      <c r="M728" s="20"/>
      <c r="N728" s="14"/>
      <c r="O728" s="15"/>
      <c r="P728" s="22"/>
    </row>
    <row r="729" spans="1:16" s="5" customFormat="1" ht="15" customHeight="1" x14ac:dyDescent="0.3">
      <c r="A729" s="305" t="s">
        <v>71</v>
      </c>
      <c r="B729" s="306"/>
      <c r="C729" s="390"/>
      <c r="D729" s="397" t="s">
        <v>597</v>
      </c>
      <c r="E729" s="309">
        <v>5</v>
      </c>
      <c r="F729" s="310" t="s">
        <v>249</v>
      </c>
      <c r="G729" s="311"/>
      <c r="H729" s="312">
        <f t="shared" si="106"/>
        <v>0</v>
      </c>
      <c r="I729" s="313"/>
      <c r="J729" s="307"/>
      <c r="K729" s="16"/>
      <c r="L729" s="17"/>
      <c r="M729" s="20"/>
      <c r="N729" s="14"/>
      <c r="O729" s="15"/>
      <c r="P729" s="22"/>
    </row>
    <row r="730" spans="1:16" s="5" customFormat="1" ht="15" customHeight="1" x14ac:dyDescent="0.3">
      <c r="A730" s="305" t="s">
        <v>73</v>
      </c>
      <c r="B730" s="306"/>
      <c r="C730" s="390"/>
      <c r="D730" s="397" t="s">
        <v>598</v>
      </c>
      <c r="E730" s="309">
        <v>7</v>
      </c>
      <c r="F730" s="310" t="s">
        <v>249</v>
      </c>
      <c r="G730" s="311"/>
      <c r="H730" s="312">
        <f t="shared" si="106"/>
        <v>0</v>
      </c>
      <c r="I730" s="313"/>
      <c r="J730" s="307"/>
      <c r="K730" s="16"/>
      <c r="L730" s="17"/>
      <c r="M730" s="20"/>
      <c r="N730" s="14"/>
      <c r="O730" s="15"/>
      <c r="P730" s="22"/>
    </row>
    <row r="731" spans="1:16" s="5" customFormat="1" ht="15" customHeight="1" x14ac:dyDescent="0.3">
      <c r="A731" s="305" t="s">
        <v>75</v>
      </c>
      <c r="B731" s="306"/>
      <c r="C731" s="390"/>
      <c r="D731" s="397" t="s">
        <v>599</v>
      </c>
      <c r="E731" s="309">
        <v>3</v>
      </c>
      <c r="F731" s="310" t="s">
        <v>249</v>
      </c>
      <c r="G731" s="311"/>
      <c r="H731" s="312">
        <f t="shared" si="106"/>
        <v>0</v>
      </c>
      <c r="I731" s="313"/>
      <c r="J731" s="307"/>
      <c r="K731" s="16"/>
      <c r="L731" s="17"/>
      <c r="M731" s="20"/>
      <c r="N731" s="14"/>
      <c r="O731" s="15"/>
      <c r="P731" s="22"/>
    </row>
    <row r="732" spans="1:16" s="5" customFormat="1" ht="15" customHeight="1" x14ac:dyDescent="0.3">
      <c r="A732" s="305" t="s">
        <v>77</v>
      </c>
      <c r="B732" s="306"/>
      <c r="C732" s="390"/>
      <c r="D732" s="397" t="s">
        <v>600</v>
      </c>
      <c r="E732" s="309">
        <v>1</v>
      </c>
      <c r="F732" s="310" t="s">
        <v>249</v>
      </c>
      <c r="G732" s="311"/>
      <c r="H732" s="312">
        <f t="shared" si="106"/>
        <v>0</v>
      </c>
      <c r="I732" s="313"/>
      <c r="J732" s="307"/>
      <c r="K732" s="16"/>
      <c r="L732" s="17"/>
      <c r="M732" s="20"/>
      <c r="N732" s="14"/>
      <c r="O732" s="15"/>
      <c r="P732" s="22"/>
    </row>
    <row r="733" spans="1:16" s="5" customFormat="1" ht="15" customHeight="1" x14ac:dyDescent="0.3">
      <c r="A733" s="305" t="s">
        <v>80</v>
      </c>
      <c r="B733" s="306"/>
      <c r="C733" s="390"/>
      <c r="D733" s="397" t="s">
        <v>601</v>
      </c>
      <c r="E733" s="309">
        <v>22</v>
      </c>
      <c r="F733" s="310" t="s">
        <v>249</v>
      </c>
      <c r="G733" s="311"/>
      <c r="H733" s="312">
        <f t="shared" si="106"/>
        <v>0</v>
      </c>
      <c r="I733" s="313"/>
      <c r="J733" s="307"/>
      <c r="K733" s="16"/>
      <c r="L733" s="17"/>
      <c r="M733" s="20"/>
      <c r="N733" s="14"/>
      <c r="O733" s="15"/>
      <c r="P733" s="22"/>
    </row>
    <row r="734" spans="1:16" s="5" customFormat="1" ht="15" customHeight="1" x14ac:dyDescent="0.3">
      <c r="A734" s="305" t="s">
        <v>81</v>
      </c>
      <c r="B734" s="306"/>
      <c r="C734" s="390"/>
      <c r="D734" s="397" t="s">
        <v>602</v>
      </c>
      <c r="E734" s="309">
        <v>1</v>
      </c>
      <c r="F734" s="310" t="s">
        <v>249</v>
      </c>
      <c r="G734" s="311"/>
      <c r="H734" s="312">
        <f t="shared" si="106"/>
        <v>0</v>
      </c>
      <c r="I734" s="313"/>
      <c r="J734" s="307"/>
      <c r="K734" s="16"/>
      <c r="L734" s="17"/>
      <c r="M734" s="20"/>
      <c r="N734" s="14"/>
      <c r="O734" s="15"/>
      <c r="P734" s="22"/>
    </row>
    <row r="735" spans="1:16" s="5" customFormat="1" ht="15" customHeight="1" x14ac:dyDescent="0.3">
      <c r="A735" s="305" t="s">
        <v>83</v>
      </c>
      <c r="B735" s="306"/>
      <c r="C735" s="390"/>
      <c r="D735" s="397" t="s">
        <v>603</v>
      </c>
      <c r="E735" s="309">
        <v>1</v>
      </c>
      <c r="F735" s="310" t="s">
        <v>249</v>
      </c>
      <c r="G735" s="311"/>
      <c r="H735" s="312">
        <f t="shared" si="106"/>
        <v>0</v>
      </c>
      <c r="I735" s="313"/>
      <c r="J735" s="307"/>
      <c r="K735" s="16"/>
      <c r="L735" s="17"/>
      <c r="M735" s="20"/>
      <c r="N735" s="14"/>
      <c r="O735" s="15"/>
      <c r="P735" s="22"/>
    </row>
    <row r="736" spans="1:16" s="5" customFormat="1" ht="15" customHeight="1" x14ac:dyDescent="0.3">
      <c r="A736" s="305" t="s">
        <v>85</v>
      </c>
      <c r="B736" s="306"/>
      <c r="C736" s="390"/>
      <c r="D736" s="397" t="s">
        <v>604</v>
      </c>
      <c r="E736" s="309">
        <v>6</v>
      </c>
      <c r="F736" s="310" t="s">
        <v>249</v>
      </c>
      <c r="G736" s="311"/>
      <c r="H736" s="312">
        <f t="shared" si="106"/>
        <v>0</v>
      </c>
      <c r="I736" s="313"/>
      <c r="J736" s="307"/>
      <c r="K736" s="16"/>
      <c r="L736" s="17"/>
      <c r="M736" s="20"/>
      <c r="N736" s="14"/>
      <c r="O736" s="15"/>
      <c r="P736" s="22"/>
    </row>
    <row r="737" spans="1:16" s="5" customFormat="1" ht="15" customHeight="1" x14ac:dyDescent="0.3">
      <c r="A737" s="305" t="s">
        <v>87</v>
      </c>
      <c r="B737" s="306"/>
      <c r="C737" s="390"/>
      <c r="D737" s="397" t="s">
        <v>605</v>
      </c>
      <c r="E737" s="309">
        <v>6</v>
      </c>
      <c r="F737" s="310" t="s">
        <v>249</v>
      </c>
      <c r="G737" s="311"/>
      <c r="H737" s="312">
        <f t="shared" si="106"/>
        <v>0</v>
      </c>
      <c r="I737" s="313"/>
      <c r="J737" s="307"/>
      <c r="K737" s="16"/>
      <c r="L737" s="17"/>
      <c r="M737" s="20"/>
      <c r="N737" s="14"/>
      <c r="O737" s="15"/>
      <c r="P737" s="22"/>
    </row>
    <row r="738" spans="1:16" s="5" customFormat="1" ht="15" customHeight="1" x14ac:dyDescent="0.3">
      <c r="A738" s="305" t="s">
        <v>89</v>
      </c>
      <c r="B738" s="306"/>
      <c r="C738" s="390"/>
      <c r="D738" s="397" t="s">
        <v>606</v>
      </c>
      <c r="E738" s="309">
        <v>1</v>
      </c>
      <c r="F738" s="310" t="s">
        <v>249</v>
      </c>
      <c r="G738" s="311"/>
      <c r="H738" s="312">
        <f t="shared" si="106"/>
        <v>0</v>
      </c>
      <c r="I738" s="313"/>
      <c r="J738" s="307"/>
      <c r="K738" s="16"/>
      <c r="L738" s="17"/>
      <c r="M738" s="20"/>
      <c r="N738" s="14"/>
      <c r="O738" s="15"/>
      <c r="P738" s="22"/>
    </row>
    <row r="739" spans="1:16" s="5" customFormat="1" ht="15" customHeight="1" x14ac:dyDescent="0.3">
      <c r="A739" s="305" t="s">
        <v>91</v>
      </c>
      <c r="B739" s="306"/>
      <c r="C739" s="390"/>
      <c r="D739" s="397" t="s">
        <v>607</v>
      </c>
      <c r="E739" s="309">
        <v>3</v>
      </c>
      <c r="F739" s="310" t="s">
        <v>249</v>
      </c>
      <c r="G739" s="311"/>
      <c r="H739" s="312">
        <f t="shared" si="106"/>
        <v>0</v>
      </c>
      <c r="I739" s="313"/>
      <c r="J739" s="307"/>
      <c r="K739" s="16"/>
      <c r="L739" s="17"/>
      <c r="M739" s="20"/>
      <c r="N739" s="14"/>
      <c r="O739" s="15"/>
      <c r="P739" s="22"/>
    </row>
    <row r="740" spans="1:16" s="5" customFormat="1" ht="15" customHeight="1" x14ac:dyDescent="0.3">
      <c r="A740" s="305" t="s">
        <v>92</v>
      </c>
      <c r="B740" s="306"/>
      <c r="C740" s="390"/>
      <c r="D740" s="397" t="s">
        <v>608</v>
      </c>
      <c r="E740" s="309">
        <v>3</v>
      </c>
      <c r="F740" s="310" t="s">
        <v>249</v>
      </c>
      <c r="G740" s="311"/>
      <c r="H740" s="312">
        <f t="shared" si="106"/>
        <v>0</v>
      </c>
      <c r="I740" s="313"/>
      <c r="J740" s="307"/>
      <c r="K740" s="16"/>
      <c r="L740" s="17"/>
      <c r="M740" s="20"/>
      <c r="N740" s="14"/>
      <c r="O740" s="15"/>
      <c r="P740" s="22"/>
    </row>
    <row r="741" spans="1:16" s="5" customFormat="1" ht="15" customHeight="1" x14ac:dyDescent="0.3">
      <c r="A741" s="305" t="s">
        <v>94</v>
      </c>
      <c r="B741" s="306"/>
      <c r="C741" s="390"/>
      <c r="D741" s="397" t="s">
        <v>609</v>
      </c>
      <c r="E741" s="309">
        <v>1</v>
      </c>
      <c r="F741" s="310" t="s">
        <v>249</v>
      </c>
      <c r="G741" s="311"/>
      <c r="H741" s="312">
        <f t="shared" si="106"/>
        <v>0</v>
      </c>
      <c r="I741" s="313"/>
      <c r="J741" s="307"/>
      <c r="K741" s="16"/>
      <c r="L741" s="17"/>
      <c r="M741" s="20"/>
      <c r="N741" s="14"/>
      <c r="O741" s="15"/>
      <c r="P741" s="22"/>
    </row>
    <row r="742" spans="1:16" s="5" customFormat="1" ht="15" customHeight="1" x14ac:dyDescent="0.3">
      <c r="A742" s="305" t="s">
        <v>95</v>
      </c>
      <c r="B742" s="306"/>
      <c r="C742" s="390"/>
      <c r="D742" s="397" t="s">
        <v>610</v>
      </c>
      <c r="E742" s="309">
        <v>1</v>
      </c>
      <c r="F742" s="310" t="s">
        <v>249</v>
      </c>
      <c r="G742" s="311"/>
      <c r="H742" s="312">
        <f t="shared" si="106"/>
        <v>0</v>
      </c>
      <c r="I742" s="313"/>
      <c r="J742" s="307"/>
      <c r="K742" s="16"/>
      <c r="L742" s="17"/>
      <c r="M742" s="20"/>
      <c r="N742" s="14"/>
      <c r="O742" s="15"/>
      <c r="P742" s="22"/>
    </row>
    <row r="743" spans="1:16" s="5" customFormat="1" ht="15" customHeight="1" x14ac:dyDescent="0.3">
      <c r="A743" s="305" t="s">
        <v>98</v>
      </c>
      <c r="B743" s="306"/>
      <c r="C743" s="390"/>
      <c r="D743" s="397" t="s">
        <v>611</v>
      </c>
      <c r="E743" s="309">
        <v>1</v>
      </c>
      <c r="F743" s="310" t="s">
        <v>249</v>
      </c>
      <c r="G743" s="311"/>
      <c r="H743" s="312">
        <f t="shared" si="106"/>
        <v>0</v>
      </c>
      <c r="I743" s="313"/>
      <c r="J743" s="307"/>
      <c r="K743" s="16"/>
      <c r="L743" s="17"/>
      <c r="M743" s="20"/>
      <c r="N743" s="14"/>
      <c r="O743" s="15"/>
      <c r="P743" s="22"/>
    </row>
    <row r="744" spans="1:16" s="5" customFormat="1" ht="15" customHeight="1" x14ac:dyDescent="0.3">
      <c r="A744" s="305" t="s">
        <v>101</v>
      </c>
      <c r="B744" s="306"/>
      <c r="C744" s="390"/>
      <c r="D744" s="397" t="s">
        <v>612</v>
      </c>
      <c r="E744" s="309">
        <v>1</v>
      </c>
      <c r="F744" s="310" t="s">
        <v>249</v>
      </c>
      <c r="G744" s="311"/>
      <c r="H744" s="312">
        <f t="shared" si="106"/>
        <v>0</v>
      </c>
      <c r="I744" s="313"/>
      <c r="J744" s="307"/>
      <c r="K744" s="16"/>
      <c r="L744" s="17"/>
      <c r="M744" s="20"/>
      <c r="N744" s="14"/>
      <c r="O744" s="15"/>
      <c r="P744" s="22"/>
    </row>
    <row r="745" spans="1:16" s="5" customFormat="1" ht="15" customHeight="1" x14ac:dyDescent="0.3">
      <c r="A745" s="305" t="s">
        <v>104</v>
      </c>
      <c r="B745" s="306"/>
      <c r="C745" s="390"/>
      <c r="D745" s="397" t="s">
        <v>613</v>
      </c>
      <c r="E745" s="309">
        <v>1</v>
      </c>
      <c r="F745" s="310" t="s">
        <v>249</v>
      </c>
      <c r="G745" s="311"/>
      <c r="H745" s="312">
        <f t="shared" si="106"/>
        <v>0</v>
      </c>
      <c r="I745" s="313"/>
      <c r="J745" s="307"/>
      <c r="K745" s="16"/>
      <c r="L745" s="17"/>
      <c r="M745" s="20"/>
      <c r="N745" s="14"/>
      <c r="O745" s="15"/>
      <c r="P745" s="22"/>
    </row>
    <row r="746" spans="1:16" s="5" customFormat="1" ht="15" customHeight="1" x14ac:dyDescent="0.3">
      <c r="A746" s="305" t="s">
        <v>106</v>
      </c>
      <c r="B746" s="306"/>
      <c r="C746" s="390"/>
      <c r="D746" s="397" t="s">
        <v>614</v>
      </c>
      <c r="E746" s="309">
        <v>1</v>
      </c>
      <c r="F746" s="310" t="s">
        <v>249</v>
      </c>
      <c r="G746" s="311"/>
      <c r="H746" s="312">
        <f t="shared" si="106"/>
        <v>0</v>
      </c>
      <c r="I746" s="313"/>
      <c r="J746" s="307"/>
      <c r="K746" s="16"/>
      <c r="L746" s="17"/>
      <c r="M746" s="20"/>
      <c r="N746" s="14"/>
      <c r="O746" s="15"/>
      <c r="P746" s="22"/>
    </row>
    <row r="747" spans="1:16" s="5" customFormat="1" ht="15" customHeight="1" x14ac:dyDescent="0.3">
      <c r="A747" s="305" t="s">
        <v>108</v>
      </c>
      <c r="B747" s="306"/>
      <c r="C747" s="390"/>
      <c r="D747" s="397" t="s">
        <v>615</v>
      </c>
      <c r="E747" s="309">
        <v>1</v>
      </c>
      <c r="F747" s="310" t="s">
        <v>249</v>
      </c>
      <c r="G747" s="311"/>
      <c r="H747" s="312">
        <f t="shared" si="106"/>
        <v>0</v>
      </c>
      <c r="I747" s="313"/>
      <c r="J747" s="307"/>
      <c r="K747" s="16"/>
      <c r="L747" s="17"/>
      <c r="M747" s="20"/>
      <c r="N747" s="14"/>
      <c r="O747" s="15"/>
      <c r="P747" s="22"/>
    </row>
    <row r="748" spans="1:16" s="5" customFormat="1" ht="15" customHeight="1" x14ac:dyDescent="0.3">
      <c r="A748" s="305" t="s">
        <v>110</v>
      </c>
      <c r="B748" s="306"/>
      <c r="C748" s="390"/>
      <c r="D748" s="397" t="s">
        <v>616</v>
      </c>
      <c r="E748" s="309">
        <v>1</v>
      </c>
      <c r="F748" s="310" t="s">
        <v>249</v>
      </c>
      <c r="G748" s="311"/>
      <c r="H748" s="312">
        <f t="shared" si="106"/>
        <v>0</v>
      </c>
      <c r="I748" s="313"/>
      <c r="J748" s="307"/>
      <c r="K748" s="16"/>
      <c r="L748" s="17"/>
      <c r="M748" s="20"/>
      <c r="N748" s="14"/>
      <c r="O748" s="15"/>
      <c r="P748" s="22"/>
    </row>
    <row r="749" spans="1:16" s="5" customFormat="1" ht="15" customHeight="1" x14ac:dyDescent="0.3">
      <c r="A749" s="305" t="s">
        <v>112</v>
      </c>
      <c r="B749" s="306"/>
      <c r="C749" s="390"/>
      <c r="D749" s="397" t="s">
        <v>617</v>
      </c>
      <c r="E749" s="309">
        <v>1</v>
      </c>
      <c r="F749" s="310" t="s">
        <v>249</v>
      </c>
      <c r="G749" s="311"/>
      <c r="H749" s="312">
        <f t="shared" si="106"/>
        <v>0</v>
      </c>
      <c r="I749" s="313"/>
      <c r="J749" s="307"/>
      <c r="K749" s="16"/>
      <c r="L749" s="17"/>
      <c r="M749" s="20"/>
      <c r="N749" s="14"/>
      <c r="O749" s="15"/>
      <c r="P749" s="22"/>
    </row>
    <row r="750" spans="1:16" s="5" customFormat="1" ht="15" customHeight="1" x14ac:dyDescent="0.3">
      <c r="A750" s="305" t="s">
        <v>115</v>
      </c>
      <c r="B750" s="306"/>
      <c r="C750" s="390"/>
      <c r="D750" s="397" t="s">
        <v>618</v>
      </c>
      <c r="E750" s="309">
        <v>1</v>
      </c>
      <c r="F750" s="310" t="s">
        <v>249</v>
      </c>
      <c r="G750" s="311"/>
      <c r="H750" s="312">
        <f t="shared" si="106"/>
        <v>0</v>
      </c>
      <c r="I750" s="313"/>
      <c r="J750" s="307"/>
      <c r="K750" s="16"/>
      <c r="L750" s="17"/>
      <c r="M750" s="20"/>
      <c r="N750" s="14"/>
      <c r="O750" s="15"/>
      <c r="P750" s="22"/>
    </row>
    <row r="751" spans="1:16" s="5" customFormat="1" ht="15" customHeight="1" x14ac:dyDescent="0.3">
      <c r="A751" s="305" t="s">
        <v>619</v>
      </c>
      <c r="B751" s="306"/>
      <c r="C751" s="390"/>
      <c r="D751" s="397" t="s">
        <v>620</v>
      </c>
      <c r="E751" s="309">
        <v>1</v>
      </c>
      <c r="F751" s="310" t="s">
        <v>249</v>
      </c>
      <c r="G751" s="311"/>
      <c r="H751" s="312">
        <f t="shared" si="106"/>
        <v>0</v>
      </c>
      <c r="I751" s="313"/>
      <c r="J751" s="307"/>
      <c r="K751" s="16"/>
      <c r="L751" s="17"/>
      <c r="M751" s="20"/>
      <c r="N751" s="14"/>
      <c r="O751" s="15"/>
      <c r="P751" s="22"/>
    </row>
    <row r="752" spans="1:16" s="5" customFormat="1" ht="15" customHeight="1" x14ac:dyDescent="0.3">
      <c r="A752" s="305"/>
      <c r="B752" s="306"/>
      <c r="C752" s="390"/>
      <c r="D752" s="397"/>
      <c r="E752" s="309"/>
      <c r="F752" s="310"/>
      <c r="G752" s="311"/>
      <c r="H752" s="312"/>
      <c r="I752" s="313"/>
      <c r="J752" s="307"/>
      <c r="K752" s="16"/>
      <c r="L752" s="17"/>
      <c r="M752" s="20"/>
      <c r="N752" s="14"/>
      <c r="O752" s="15"/>
      <c r="P752" s="22"/>
    </row>
    <row r="753" spans="1:16" s="5" customFormat="1" ht="15" customHeight="1" x14ac:dyDescent="0.3">
      <c r="A753" s="305"/>
      <c r="B753" s="306"/>
      <c r="C753" s="357" t="s">
        <v>621</v>
      </c>
      <c r="D753" s="397"/>
      <c r="E753" s="309"/>
      <c r="F753" s="310"/>
      <c r="G753" s="311"/>
      <c r="H753" s="312"/>
      <c r="I753" s="313"/>
      <c r="J753" s="307"/>
      <c r="K753" s="16"/>
      <c r="L753" s="17"/>
      <c r="M753" s="20"/>
      <c r="N753" s="14"/>
      <c r="O753" s="15"/>
      <c r="P753" s="22"/>
    </row>
    <row r="754" spans="1:16" s="5" customFormat="1" ht="15" customHeight="1" x14ac:dyDescent="0.3">
      <c r="A754" s="305" t="s">
        <v>622</v>
      </c>
      <c r="B754" s="306"/>
      <c r="C754" s="390"/>
      <c r="D754" s="397" t="s">
        <v>623</v>
      </c>
      <c r="E754" s="309">
        <v>1</v>
      </c>
      <c r="F754" s="310" t="s">
        <v>249</v>
      </c>
      <c r="G754" s="311"/>
      <c r="H754" s="312">
        <f>E754*G754</f>
        <v>0</v>
      </c>
      <c r="I754" s="313"/>
      <c r="J754" s="307"/>
      <c r="K754" s="16"/>
      <c r="L754" s="17"/>
      <c r="M754" s="20"/>
      <c r="N754" s="14"/>
      <c r="O754" s="15"/>
      <c r="P754" s="22"/>
    </row>
    <row r="755" spans="1:16" s="5" customFormat="1" ht="15" customHeight="1" x14ac:dyDescent="0.3">
      <c r="A755" s="305" t="s">
        <v>624</v>
      </c>
      <c r="B755" s="306"/>
      <c r="C755" s="390"/>
      <c r="D755" s="397" t="s">
        <v>625</v>
      </c>
      <c r="E755" s="309">
        <v>2</v>
      </c>
      <c r="F755" s="310" t="s">
        <v>249</v>
      </c>
      <c r="G755" s="311"/>
      <c r="H755" s="312">
        <f>E755*G755</f>
        <v>0</v>
      </c>
      <c r="I755" s="313"/>
      <c r="J755" s="307"/>
      <c r="K755" s="16"/>
      <c r="L755" s="17"/>
      <c r="M755" s="20"/>
      <c r="N755" s="14"/>
      <c r="O755" s="15"/>
      <c r="P755" s="22"/>
    </row>
    <row r="756" spans="1:16" s="5" customFormat="1" ht="15" customHeight="1" x14ac:dyDescent="0.3">
      <c r="A756" s="305" t="s">
        <v>626</v>
      </c>
      <c r="B756" s="306"/>
      <c r="C756" s="390"/>
      <c r="D756" s="397" t="s">
        <v>627</v>
      </c>
      <c r="E756" s="309">
        <v>1</v>
      </c>
      <c r="F756" s="310" t="s">
        <v>249</v>
      </c>
      <c r="G756" s="311"/>
      <c r="H756" s="312">
        <f>E756*G756</f>
        <v>0</v>
      </c>
      <c r="I756" s="313"/>
      <c r="J756" s="307"/>
      <c r="K756" s="16"/>
      <c r="L756" s="17"/>
      <c r="M756" s="20"/>
      <c r="N756" s="14"/>
      <c r="O756" s="15"/>
      <c r="P756" s="22"/>
    </row>
    <row r="757" spans="1:16" s="5" customFormat="1" ht="15" customHeight="1" x14ac:dyDescent="0.3">
      <c r="A757" s="305" t="s">
        <v>628</v>
      </c>
      <c r="B757" s="306"/>
      <c r="C757" s="390"/>
      <c r="D757" s="397" t="s">
        <v>596</v>
      </c>
      <c r="E757" s="309">
        <v>1</v>
      </c>
      <c r="F757" s="310" t="s">
        <v>249</v>
      </c>
      <c r="G757" s="311"/>
      <c r="H757" s="312">
        <f t="shared" ref="H757:H759" si="107">E757*G757</f>
        <v>0</v>
      </c>
      <c r="I757" s="313"/>
      <c r="J757" s="307"/>
      <c r="K757" s="16"/>
      <c r="L757" s="17"/>
      <c r="M757" s="20"/>
      <c r="N757" s="14"/>
      <c r="O757" s="15"/>
      <c r="P757" s="22"/>
    </row>
    <row r="758" spans="1:16" s="5" customFormat="1" ht="15" customHeight="1" x14ac:dyDescent="0.3">
      <c r="A758" s="305" t="s">
        <v>629</v>
      </c>
      <c r="B758" s="306"/>
      <c r="C758" s="390"/>
      <c r="D758" s="397" t="s">
        <v>600</v>
      </c>
      <c r="E758" s="309">
        <v>1</v>
      </c>
      <c r="F758" s="310" t="s">
        <v>249</v>
      </c>
      <c r="G758" s="311"/>
      <c r="H758" s="312">
        <f t="shared" si="107"/>
        <v>0</v>
      </c>
      <c r="I758" s="313"/>
      <c r="J758" s="307"/>
      <c r="K758" s="16"/>
      <c r="L758" s="17"/>
      <c r="M758" s="20"/>
      <c r="N758" s="14"/>
      <c r="O758" s="15"/>
      <c r="P758" s="22"/>
    </row>
    <row r="759" spans="1:16" s="5" customFormat="1" ht="15" customHeight="1" x14ac:dyDescent="0.3">
      <c r="A759" s="305" t="s">
        <v>630</v>
      </c>
      <c r="B759" s="306"/>
      <c r="C759" s="390"/>
      <c r="D759" s="397" t="s">
        <v>601</v>
      </c>
      <c r="E759" s="309">
        <v>1</v>
      </c>
      <c r="F759" s="310" t="s">
        <v>249</v>
      </c>
      <c r="G759" s="311"/>
      <c r="H759" s="312">
        <f t="shared" si="107"/>
        <v>0</v>
      </c>
      <c r="I759" s="313"/>
      <c r="J759" s="307"/>
      <c r="K759" s="16"/>
      <c r="L759" s="17"/>
      <c r="M759" s="20"/>
      <c r="N759" s="14"/>
      <c r="O759" s="15"/>
      <c r="P759" s="22"/>
    </row>
    <row r="760" spans="1:16" s="5" customFormat="1" ht="15" customHeight="1" x14ac:dyDescent="0.3">
      <c r="A760" s="305" t="s">
        <v>631</v>
      </c>
      <c r="B760" s="306"/>
      <c r="C760" s="390"/>
      <c r="D760" s="397" t="s">
        <v>632</v>
      </c>
      <c r="E760" s="309">
        <v>1</v>
      </c>
      <c r="F760" s="310" t="s">
        <v>249</v>
      </c>
      <c r="G760" s="311"/>
      <c r="H760" s="312">
        <f>E760*G760</f>
        <v>0</v>
      </c>
      <c r="I760" s="313"/>
      <c r="J760" s="307"/>
      <c r="K760" s="16"/>
      <c r="L760" s="17"/>
      <c r="M760" s="20"/>
      <c r="N760" s="14"/>
      <c r="O760" s="15"/>
      <c r="P760" s="22"/>
    </row>
    <row r="761" spans="1:16" s="5" customFormat="1" ht="15" customHeight="1" x14ac:dyDescent="0.3">
      <c r="A761" s="305" t="s">
        <v>633</v>
      </c>
      <c r="B761" s="306"/>
      <c r="C761" s="390"/>
      <c r="D761" s="397" t="s">
        <v>634</v>
      </c>
      <c r="E761" s="309">
        <v>1</v>
      </c>
      <c r="F761" s="310" t="s">
        <v>249</v>
      </c>
      <c r="G761" s="311"/>
      <c r="H761" s="312">
        <f>E761*G761</f>
        <v>0</v>
      </c>
      <c r="I761" s="313"/>
      <c r="J761" s="307"/>
      <c r="K761" s="16"/>
      <c r="L761" s="17"/>
      <c r="M761" s="20"/>
      <c r="N761" s="14"/>
      <c r="O761" s="15"/>
      <c r="P761" s="22"/>
    </row>
    <row r="762" spans="1:16" s="5" customFormat="1" ht="15" customHeight="1" x14ac:dyDescent="0.3">
      <c r="A762" s="305" t="s">
        <v>635</v>
      </c>
      <c r="B762" s="306"/>
      <c r="C762" s="390"/>
      <c r="D762" s="397" t="s">
        <v>636</v>
      </c>
      <c r="E762" s="309">
        <v>5</v>
      </c>
      <c r="F762" s="310" t="s">
        <v>249</v>
      </c>
      <c r="G762" s="311"/>
      <c r="H762" s="312">
        <f>E762*G762</f>
        <v>0</v>
      </c>
      <c r="I762" s="313"/>
      <c r="J762" s="307"/>
      <c r="K762" s="16"/>
      <c r="L762" s="17"/>
      <c r="M762" s="20"/>
      <c r="N762" s="14"/>
      <c r="O762" s="15"/>
      <c r="P762" s="22"/>
    </row>
    <row r="763" spans="1:16" s="5" customFormat="1" ht="15" customHeight="1" x14ac:dyDescent="0.3">
      <c r="A763" s="305" t="s">
        <v>637</v>
      </c>
      <c r="B763" s="306"/>
      <c r="C763" s="390"/>
      <c r="D763" s="397" t="s">
        <v>636</v>
      </c>
      <c r="E763" s="309">
        <v>1</v>
      </c>
      <c r="F763" s="310" t="s">
        <v>249</v>
      </c>
      <c r="G763" s="311"/>
      <c r="H763" s="312">
        <f t="shared" ref="H763:H777" si="108">E763*G763</f>
        <v>0</v>
      </c>
      <c r="I763" s="313"/>
      <c r="J763" s="307"/>
      <c r="K763" s="16"/>
      <c r="L763" s="17"/>
      <c r="M763" s="20"/>
      <c r="N763" s="14"/>
      <c r="O763" s="15"/>
      <c r="P763" s="22"/>
    </row>
    <row r="764" spans="1:16" s="5" customFormat="1" ht="15" customHeight="1" x14ac:dyDescent="0.3">
      <c r="A764" s="305" t="s">
        <v>637</v>
      </c>
      <c r="B764" s="306"/>
      <c r="C764" s="390"/>
      <c r="D764" s="397" t="s">
        <v>638</v>
      </c>
      <c r="E764" s="309">
        <v>4</v>
      </c>
      <c r="F764" s="310" t="s">
        <v>249</v>
      </c>
      <c r="G764" s="311"/>
      <c r="H764" s="312">
        <f t="shared" si="108"/>
        <v>0</v>
      </c>
      <c r="I764" s="313"/>
      <c r="J764" s="307"/>
      <c r="K764" s="16"/>
      <c r="L764" s="17"/>
      <c r="M764" s="20"/>
      <c r="N764" s="14"/>
      <c r="O764" s="15"/>
      <c r="P764" s="22"/>
    </row>
    <row r="765" spans="1:16" s="5" customFormat="1" ht="15" customHeight="1" x14ac:dyDescent="0.3">
      <c r="A765" s="305" t="s">
        <v>639</v>
      </c>
      <c r="B765" s="306"/>
      <c r="C765" s="390"/>
      <c r="D765" s="397" t="s">
        <v>640</v>
      </c>
      <c r="E765" s="309">
        <v>1</v>
      </c>
      <c r="F765" s="310" t="s">
        <v>249</v>
      </c>
      <c r="G765" s="311"/>
      <c r="H765" s="312">
        <f t="shared" si="108"/>
        <v>0</v>
      </c>
      <c r="I765" s="313"/>
      <c r="J765" s="307"/>
      <c r="K765" s="16"/>
      <c r="L765" s="17"/>
      <c r="M765" s="20"/>
      <c r="N765" s="14"/>
      <c r="O765" s="15"/>
      <c r="P765" s="22"/>
    </row>
    <row r="766" spans="1:16" s="5" customFormat="1" ht="15" customHeight="1" x14ac:dyDescent="0.3">
      <c r="A766" s="305" t="s">
        <v>641</v>
      </c>
      <c r="B766" s="306"/>
      <c r="C766" s="390"/>
      <c r="D766" s="397" t="s">
        <v>642</v>
      </c>
      <c r="E766" s="309">
        <v>1</v>
      </c>
      <c r="F766" s="310" t="s">
        <v>249</v>
      </c>
      <c r="G766" s="311"/>
      <c r="H766" s="312">
        <f t="shared" si="108"/>
        <v>0</v>
      </c>
      <c r="I766" s="313"/>
      <c r="J766" s="307"/>
      <c r="K766" s="16"/>
      <c r="L766" s="17"/>
      <c r="M766" s="20"/>
      <c r="N766" s="14"/>
      <c r="O766" s="15"/>
      <c r="P766" s="22"/>
    </row>
    <row r="767" spans="1:16" s="5" customFormat="1" ht="15" customHeight="1" x14ac:dyDescent="0.3">
      <c r="A767" s="305" t="s">
        <v>643</v>
      </c>
      <c r="B767" s="306"/>
      <c r="C767" s="390"/>
      <c r="D767" s="397" t="s">
        <v>644</v>
      </c>
      <c r="E767" s="309">
        <v>4</v>
      </c>
      <c r="F767" s="310" t="s">
        <v>249</v>
      </c>
      <c r="G767" s="311"/>
      <c r="H767" s="312">
        <f t="shared" si="108"/>
        <v>0</v>
      </c>
      <c r="I767" s="313"/>
      <c r="J767" s="307"/>
      <c r="K767" s="16"/>
      <c r="L767" s="17"/>
      <c r="M767" s="20"/>
      <c r="N767" s="14"/>
      <c r="O767" s="15"/>
      <c r="P767" s="22"/>
    </row>
    <row r="768" spans="1:16" s="5" customFormat="1" ht="15" customHeight="1" x14ac:dyDescent="0.3">
      <c r="A768" s="305" t="s">
        <v>645</v>
      </c>
      <c r="B768" s="306"/>
      <c r="C768" s="390"/>
      <c r="D768" s="397" t="s">
        <v>646</v>
      </c>
      <c r="E768" s="309">
        <v>1</v>
      </c>
      <c r="F768" s="310" t="s">
        <v>249</v>
      </c>
      <c r="G768" s="311"/>
      <c r="H768" s="312">
        <f t="shared" si="108"/>
        <v>0</v>
      </c>
      <c r="I768" s="313"/>
      <c r="J768" s="307"/>
      <c r="K768" s="16"/>
      <c r="L768" s="17"/>
      <c r="M768" s="20"/>
      <c r="N768" s="14"/>
      <c r="O768" s="15"/>
      <c r="P768" s="22"/>
    </row>
    <row r="769" spans="1:16" s="5" customFormat="1" ht="15" customHeight="1" x14ac:dyDescent="0.3">
      <c r="A769" s="305" t="s">
        <v>647</v>
      </c>
      <c r="B769" s="306"/>
      <c r="C769" s="390"/>
      <c r="D769" s="397" t="s">
        <v>648</v>
      </c>
      <c r="E769" s="309">
        <v>5</v>
      </c>
      <c r="F769" s="310" t="s">
        <v>249</v>
      </c>
      <c r="G769" s="311"/>
      <c r="H769" s="312">
        <f t="shared" si="108"/>
        <v>0</v>
      </c>
      <c r="I769" s="313"/>
      <c r="J769" s="307"/>
      <c r="K769" s="16"/>
      <c r="L769" s="17"/>
      <c r="M769" s="20"/>
      <c r="N769" s="14"/>
      <c r="O769" s="15"/>
      <c r="P769" s="22"/>
    </row>
    <row r="770" spans="1:16" s="5" customFormat="1" ht="15" customHeight="1" x14ac:dyDescent="0.3">
      <c r="A770" s="305" t="s">
        <v>649</v>
      </c>
      <c r="B770" s="306"/>
      <c r="C770" s="390"/>
      <c r="D770" s="397" t="s">
        <v>650</v>
      </c>
      <c r="E770" s="309">
        <v>1</v>
      </c>
      <c r="F770" s="310" t="s">
        <v>249</v>
      </c>
      <c r="G770" s="311"/>
      <c r="H770" s="312">
        <f t="shared" si="108"/>
        <v>0</v>
      </c>
      <c r="I770" s="313"/>
      <c r="J770" s="307"/>
      <c r="K770" s="16"/>
      <c r="L770" s="17"/>
      <c r="M770" s="20"/>
      <c r="N770" s="14"/>
      <c r="O770" s="15"/>
      <c r="P770" s="22"/>
    </row>
    <row r="771" spans="1:16" s="5" customFormat="1" ht="15" customHeight="1" x14ac:dyDescent="0.3">
      <c r="A771" s="305" t="s">
        <v>651</v>
      </c>
      <c r="B771" s="306"/>
      <c r="C771" s="390"/>
      <c r="D771" s="397" t="s">
        <v>652</v>
      </c>
      <c r="E771" s="309">
        <v>1</v>
      </c>
      <c r="F771" s="310" t="s">
        <v>249</v>
      </c>
      <c r="G771" s="311"/>
      <c r="H771" s="312">
        <f t="shared" si="108"/>
        <v>0</v>
      </c>
      <c r="I771" s="313"/>
      <c r="J771" s="307"/>
      <c r="K771" s="16"/>
      <c r="L771" s="17"/>
      <c r="M771" s="20"/>
      <c r="N771" s="14"/>
      <c r="O771" s="15"/>
      <c r="P771" s="22"/>
    </row>
    <row r="772" spans="1:16" s="5" customFormat="1" ht="15" customHeight="1" x14ac:dyDescent="0.3">
      <c r="A772" s="305" t="s">
        <v>653</v>
      </c>
      <c r="B772" s="306"/>
      <c r="C772" s="390"/>
      <c r="D772" s="397" t="s">
        <v>654</v>
      </c>
      <c r="E772" s="309">
        <v>4</v>
      </c>
      <c r="F772" s="310" t="s">
        <v>249</v>
      </c>
      <c r="G772" s="311"/>
      <c r="H772" s="312">
        <f t="shared" si="108"/>
        <v>0</v>
      </c>
      <c r="I772" s="313"/>
      <c r="J772" s="307"/>
      <c r="K772" s="16"/>
      <c r="L772" s="17"/>
      <c r="M772" s="20"/>
      <c r="N772" s="14"/>
      <c r="O772" s="15"/>
      <c r="P772" s="22"/>
    </row>
    <row r="773" spans="1:16" s="5" customFormat="1" ht="15" customHeight="1" x14ac:dyDescent="0.3">
      <c r="A773" s="305" t="s">
        <v>655</v>
      </c>
      <c r="B773" s="306"/>
      <c r="C773" s="390"/>
      <c r="D773" s="397" t="s">
        <v>656</v>
      </c>
      <c r="E773" s="309">
        <v>1</v>
      </c>
      <c r="F773" s="310" t="s">
        <v>249</v>
      </c>
      <c r="G773" s="311"/>
      <c r="H773" s="312">
        <f t="shared" si="108"/>
        <v>0</v>
      </c>
      <c r="I773" s="313"/>
      <c r="J773" s="307"/>
      <c r="K773" s="16"/>
      <c r="L773" s="17"/>
      <c r="M773" s="20"/>
      <c r="N773" s="14"/>
      <c r="O773" s="15"/>
      <c r="P773" s="22"/>
    </row>
    <row r="774" spans="1:16" s="5" customFormat="1" ht="15" customHeight="1" x14ac:dyDescent="0.3">
      <c r="A774" s="305" t="s">
        <v>657</v>
      </c>
      <c r="B774" s="306"/>
      <c r="C774" s="390"/>
      <c r="D774" s="397" t="s">
        <v>658</v>
      </c>
      <c r="E774" s="309">
        <v>1</v>
      </c>
      <c r="F774" s="310" t="s">
        <v>249</v>
      </c>
      <c r="G774" s="311"/>
      <c r="H774" s="312">
        <f t="shared" si="108"/>
        <v>0</v>
      </c>
      <c r="I774" s="313"/>
      <c r="J774" s="307"/>
      <c r="K774" s="16"/>
      <c r="L774" s="17"/>
      <c r="M774" s="20"/>
      <c r="N774" s="14"/>
      <c r="O774" s="15"/>
      <c r="P774" s="22"/>
    </row>
    <row r="775" spans="1:16" s="5" customFormat="1" ht="15" customHeight="1" x14ac:dyDescent="0.3">
      <c r="A775" s="305" t="s">
        <v>659</v>
      </c>
      <c r="B775" s="306"/>
      <c r="C775" s="390"/>
      <c r="D775" s="397" t="s">
        <v>660</v>
      </c>
      <c r="E775" s="309">
        <v>1</v>
      </c>
      <c r="F775" s="310" t="s">
        <v>249</v>
      </c>
      <c r="G775" s="311"/>
      <c r="H775" s="312">
        <f t="shared" si="108"/>
        <v>0</v>
      </c>
      <c r="I775" s="313"/>
      <c r="J775" s="307"/>
      <c r="K775" s="16"/>
      <c r="L775" s="17"/>
      <c r="M775" s="20"/>
      <c r="N775" s="14"/>
      <c r="O775" s="15"/>
      <c r="P775" s="22"/>
    </row>
    <row r="776" spans="1:16" s="5" customFormat="1" ht="15" customHeight="1" x14ac:dyDescent="0.3">
      <c r="A776" s="305" t="s">
        <v>661</v>
      </c>
      <c r="B776" s="306"/>
      <c r="C776" s="390"/>
      <c r="D776" s="397" t="s">
        <v>662</v>
      </c>
      <c r="E776" s="309">
        <v>2</v>
      </c>
      <c r="F776" s="310" t="s">
        <v>249</v>
      </c>
      <c r="G776" s="311"/>
      <c r="H776" s="312">
        <f t="shared" si="108"/>
        <v>0</v>
      </c>
      <c r="I776" s="313"/>
      <c r="J776" s="307"/>
      <c r="K776" s="16"/>
      <c r="L776" s="17"/>
      <c r="M776" s="20"/>
      <c r="N776" s="14"/>
      <c r="O776" s="15"/>
      <c r="P776" s="22"/>
    </row>
    <row r="777" spans="1:16" s="5" customFormat="1" ht="15" customHeight="1" x14ac:dyDescent="0.3">
      <c r="A777" s="305" t="s">
        <v>663</v>
      </c>
      <c r="B777" s="306"/>
      <c r="C777" s="390"/>
      <c r="D777" s="397" t="s">
        <v>612</v>
      </c>
      <c r="E777" s="309">
        <v>1</v>
      </c>
      <c r="F777" s="310" t="s">
        <v>249</v>
      </c>
      <c r="G777" s="311"/>
      <c r="H777" s="312">
        <f t="shared" si="108"/>
        <v>0</v>
      </c>
      <c r="I777" s="313"/>
      <c r="J777" s="307"/>
      <c r="K777" s="16"/>
      <c r="L777" s="17"/>
      <c r="M777" s="20"/>
      <c r="N777" s="14"/>
      <c r="O777" s="15"/>
      <c r="P777" s="22"/>
    </row>
    <row r="778" spans="1:16" s="5" customFormat="1" ht="15" customHeight="1" x14ac:dyDescent="0.3">
      <c r="A778" s="305" t="s">
        <v>664</v>
      </c>
      <c r="B778" s="306"/>
      <c r="C778" s="390"/>
      <c r="D778" s="397" t="s">
        <v>665</v>
      </c>
      <c r="E778" s="309">
        <v>2</v>
      </c>
      <c r="F778" s="310" t="s">
        <v>249</v>
      </c>
      <c r="G778" s="311"/>
      <c r="H778" s="312">
        <f>E778*G778</f>
        <v>0</v>
      </c>
      <c r="I778" s="313"/>
      <c r="J778" s="307"/>
      <c r="K778" s="16"/>
      <c r="L778" s="17"/>
      <c r="M778" s="20"/>
      <c r="N778" s="14"/>
      <c r="O778" s="15"/>
      <c r="P778" s="22"/>
    </row>
    <row r="779" spans="1:16" s="5" customFormat="1" ht="15" customHeight="1" x14ac:dyDescent="0.3">
      <c r="A779" s="305" t="s">
        <v>68</v>
      </c>
      <c r="B779" s="306"/>
      <c r="C779" s="390"/>
      <c r="D779" s="397" t="s">
        <v>666</v>
      </c>
      <c r="E779" s="309">
        <v>2</v>
      </c>
      <c r="F779" s="310" t="s">
        <v>249</v>
      </c>
      <c r="G779" s="311"/>
      <c r="H779" s="312">
        <f>E779*G779</f>
        <v>0</v>
      </c>
      <c r="I779" s="313"/>
      <c r="J779" s="307"/>
      <c r="K779" s="16"/>
      <c r="L779" s="17"/>
      <c r="M779" s="20"/>
      <c r="N779" s="14"/>
      <c r="O779" s="15"/>
      <c r="P779" s="22"/>
    </row>
    <row r="780" spans="1:16" s="5" customFormat="1" ht="15" customHeight="1" x14ac:dyDescent="0.3">
      <c r="A780" s="305" t="s">
        <v>667</v>
      </c>
      <c r="B780" s="306"/>
      <c r="C780" s="390"/>
      <c r="D780" s="397" t="s">
        <v>668</v>
      </c>
      <c r="E780" s="309">
        <v>2</v>
      </c>
      <c r="F780" s="310" t="s">
        <v>249</v>
      </c>
      <c r="G780" s="311"/>
      <c r="H780" s="312">
        <f>E780*G780</f>
        <v>0</v>
      </c>
      <c r="I780" s="313"/>
      <c r="J780" s="307"/>
      <c r="K780" s="16"/>
      <c r="L780" s="17"/>
      <c r="M780" s="20"/>
      <c r="N780" s="14"/>
      <c r="O780" s="15"/>
      <c r="P780" s="22"/>
    </row>
    <row r="781" spans="1:16" s="5" customFormat="1" ht="15" customHeight="1" x14ac:dyDescent="0.3">
      <c r="A781" s="305"/>
      <c r="B781" s="306"/>
      <c r="C781" s="390"/>
      <c r="D781" s="397"/>
      <c r="E781" s="309"/>
      <c r="F781" s="310"/>
      <c r="G781" s="311"/>
      <c r="H781" s="312"/>
      <c r="I781" s="313"/>
      <c r="J781" s="307"/>
      <c r="K781" s="16"/>
      <c r="L781" s="17"/>
      <c r="M781" s="20"/>
      <c r="N781" s="14"/>
      <c r="O781" s="15"/>
      <c r="P781" s="22"/>
    </row>
    <row r="782" spans="1:16" s="5" customFormat="1" ht="48" customHeight="1" x14ac:dyDescent="0.3">
      <c r="A782" s="417"/>
      <c r="B782" s="418"/>
      <c r="C782" s="457" t="s">
        <v>669</v>
      </c>
      <c r="D782" s="458"/>
      <c r="E782" s="459"/>
      <c r="F782" s="460"/>
      <c r="G782" s="423"/>
      <c r="H782" s="424"/>
      <c r="I782" s="425"/>
      <c r="J782" s="307"/>
      <c r="K782" s="16"/>
      <c r="L782" s="17"/>
      <c r="M782" s="20"/>
      <c r="N782" s="14"/>
      <c r="O782" s="15"/>
      <c r="P782" s="22"/>
    </row>
    <row r="783" spans="1:16" s="5" customFormat="1" ht="15" customHeight="1" x14ac:dyDescent="0.3">
      <c r="A783" s="305" t="s">
        <v>670</v>
      </c>
      <c r="B783" s="306"/>
      <c r="C783" s="357"/>
      <c r="D783" s="397" t="s">
        <v>671</v>
      </c>
      <c r="E783" s="309">
        <v>5</v>
      </c>
      <c r="F783" s="310" t="s">
        <v>249</v>
      </c>
      <c r="G783" s="311"/>
      <c r="H783" s="312">
        <f t="shared" ref="H783:H787" si="109">E783*G783</f>
        <v>0</v>
      </c>
      <c r="I783" s="313"/>
      <c r="J783" s="307"/>
      <c r="K783" s="16"/>
      <c r="L783" s="17"/>
      <c r="M783" s="20"/>
      <c r="N783" s="14"/>
      <c r="O783" s="15"/>
      <c r="P783" s="22"/>
    </row>
    <row r="784" spans="1:16" s="5" customFormat="1" ht="15" customHeight="1" x14ac:dyDescent="0.3">
      <c r="A784" s="305" t="s">
        <v>672</v>
      </c>
      <c r="B784" s="306"/>
      <c r="C784" s="357"/>
      <c r="D784" s="397" t="s">
        <v>673</v>
      </c>
      <c r="E784" s="309">
        <v>5</v>
      </c>
      <c r="F784" s="310" t="s">
        <v>249</v>
      </c>
      <c r="G784" s="311"/>
      <c r="H784" s="312">
        <f t="shared" si="109"/>
        <v>0</v>
      </c>
      <c r="I784" s="313"/>
      <c r="J784" s="307"/>
      <c r="K784" s="16"/>
      <c r="L784" s="17"/>
      <c r="M784" s="20"/>
      <c r="N784" s="14"/>
      <c r="O784" s="15"/>
      <c r="P784" s="22"/>
    </row>
    <row r="785" spans="1:16" s="5" customFormat="1" ht="15" customHeight="1" x14ac:dyDescent="0.3">
      <c r="A785" s="305" t="s">
        <v>674</v>
      </c>
      <c r="B785" s="306"/>
      <c r="C785" s="357"/>
      <c r="D785" s="397" t="s">
        <v>675</v>
      </c>
      <c r="E785" s="309">
        <v>2</v>
      </c>
      <c r="F785" s="310" t="s">
        <v>249</v>
      </c>
      <c r="G785" s="311"/>
      <c r="H785" s="312">
        <f t="shared" si="109"/>
        <v>0</v>
      </c>
      <c r="I785" s="313"/>
      <c r="J785" s="307"/>
      <c r="K785" s="16"/>
      <c r="L785" s="17"/>
      <c r="M785" s="20"/>
      <c r="N785" s="14"/>
      <c r="O785" s="15"/>
      <c r="P785" s="22"/>
    </row>
    <row r="786" spans="1:16" s="5" customFormat="1" ht="15" customHeight="1" x14ac:dyDescent="0.3">
      <c r="A786" s="305" t="s">
        <v>676</v>
      </c>
      <c r="B786" s="306"/>
      <c r="C786" s="357"/>
      <c r="D786" s="397" t="s">
        <v>677</v>
      </c>
      <c r="E786" s="309">
        <v>3</v>
      </c>
      <c r="F786" s="310" t="s">
        <v>249</v>
      </c>
      <c r="G786" s="311"/>
      <c r="H786" s="312">
        <f t="shared" si="109"/>
        <v>0</v>
      </c>
      <c r="I786" s="313"/>
      <c r="J786" s="307"/>
      <c r="K786" s="16"/>
      <c r="L786" s="17"/>
      <c r="M786" s="20"/>
      <c r="N786" s="14"/>
      <c r="O786" s="15"/>
      <c r="P786" s="22"/>
    </row>
    <row r="787" spans="1:16" s="5" customFormat="1" ht="15" customHeight="1" x14ac:dyDescent="0.3">
      <c r="A787" s="305" t="s">
        <v>678</v>
      </c>
      <c r="B787" s="306"/>
      <c r="C787" s="357"/>
      <c r="D787" s="397" t="s">
        <v>679</v>
      </c>
      <c r="E787" s="309">
        <v>3</v>
      </c>
      <c r="F787" s="310" t="s">
        <v>249</v>
      </c>
      <c r="G787" s="311"/>
      <c r="H787" s="312">
        <f t="shared" si="109"/>
        <v>0</v>
      </c>
      <c r="I787" s="313"/>
      <c r="J787" s="307"/>
      <c r="K787" s="16"/>
      <c r="L787" s="17"/>
      <c r="M787" s="20"/>
      <c r="N787" s="14"/>
      <c r="O787" s="15"/>
      <c r="P787" s="22"/>
    </row>
    <row r="788" spans="1:16" s="5" customFormat="1" ht="15" customHeight="1" x14ac:dyDescent="0.3">
      <c r="A788" s="305"/>
      <c r="B788" s="306"/>
      <c r="C788" s="390"/>
      <c r="D788" s="397"/>
      <c r="E788" s="309"/>
      <c r="F788" s="310"/>
      <c r="G788" s="311"/>
      <c r="H788" s="312"/>
      <c r="I788" s="313"/>
      <c r="J788" s="307"/>
      <c r="K788" s="37"/>
      <c r="L788" s="25"/>
      <c r="M788" s="28"/>
      <c r="N788" s="29"/>
      <c r="O788" s="32"/>
      <c r="P788" s="22"/>
    </row>
    <row r="789" spans="1:16" s="5" customFormat="1" ht="60" customHeight="1" x14ac:dyDescent="0.3">
      <c r="A789" s="305"/>
      <c r="B789" s="306"/>
      <c r="C789" s="394" t="s">
        <v>680</v>
      </c>
      <c r="D789" s="395"/>
      <c r="E789" s="309"/>
      <c r="F789" s="310"/>
      <c r="G789" s="311"/>
      <c r="H789" s="312"/>
      <c r="I789" s="313"/>
      <c r="J789" s="307"/>
      <c r="K789" s="16"/>
      <c r="L789" s="17"/>
      <c r="M789" s="20"/>
      <c r="N789" s="14"/>
      <c r="O789" s="15"/>
      <c r="P789" s="22"/>
    </row>
    <row r="790" spans="1:16" s="5" customFormat="1" ht="27.6" x14ac:dyDescent="0.3">
      <c r="A790" s="305" t="s">
        <v>681</v>
      </c>
      <c r="B790" s="306"/>
      <c r="C790" s="390"/>
      <c r="D790" s="397" t="s">
        <v>682</v>
      </c>
      <c r="E790" s="309">
        <v>1</v>
      </c>
      <c r="F790" s="310" t="s">
        <v>249</v>
      </c>
      <c r="G790" s="311"/>
      <c r="H790" s="312">
        <f t="shared" ref="H790:H792" si="110">E790*G790</f>
        <v>0</v>
      </c>
      <c r="I790" s="313"/>
      <c r="J790" s="307"/>
      <c r="K790" s="16"/>
      <c r="L790" s="17"/>
      <c r="M790" s="20"/>
      <c r="N790" s="14"/>
      <c r="O790" s="15"/>
      <c r="P790" s="22"/>
    </row>
    <row r="791" spans="1:16" s="5" customFormat="1" ht="27.6" x14ac:dyDescent="0.3">
      <c r="A791" s="305" t="s">
        <v>683</v>
      </c>
      <c r="B791" s="306"/>
      <c r="C791" s="390"/>
      <c r="D791" s="397" t="s">
        <v>684</v>
      </c>
      <c r="E791" s="309">
        <v>1</v>
      </c>
      <c r="F791" s="310" t="s">
        <v>249</v>
      </c>
      <c r="G791" s="311"/>
      <c r="H791" s="312">
        <f t="shared" si="110"/>
        <v>0</v>
      </c>
      <c r="I791" s="313"/>
      <c r="J791" s="307"/>
      <c r="K791" s="16"/>
      <c r="L791" s="17"/>
      <c r="M791" s="20"/>
      <c r="N791" s="14"/>
      <c r="O791" s="15"/>
      <c r="P791" s="22"/>
    </row>
    <row r="792" spans="1:16" s="5" customFormat="1" ht="27.6" x14ac:dyDescent="0.3">
      <c r="A792" s="305" t="s">
        <v>685</v>
      </c>
      <c r="B792" s="306"/>
      <c r="C792" s="390"/>
      <c r="D792" s="397" t="s">
        <v>686</v>
      </c>
      <c r="E792" s="309">
        <v>2</v>
      </c>
      <c r="F792" s="310" t="s">
        <v>249</v>
      </c>
      <c r="G792" s="311"/>
      <c r="H792" s="312">
        <f t="shared" si="110"/>
        <v>0</v>
      </c>
      <c r="I792" s="313"/>
      <c r="J792" s="307"/>
      <c r="K792" s="16"/>
      <c r="L792" s="17"/>
      <c r="M792" s="20"/>
      <c r="N792" s="14"/>
      <c r="O792" s="15"/>
      <c r="P792" s="22"/>
    </row>
    <row r="793" spans="1:16" s="5" customFormat="1" ht="15" customHeight="1" x14ac:dyDescent="0.3">
      <c r="A793" s="305"/>
      <c r="B793" s="306"/>
      <c r="C793" s="390"/>
      <c r="D793" s="397"/>
      <c r="E793" s="309"/>
      <c r="F793" s="310"/>
      <c r="G793" s="311"/>
      <c r="H793" s="312"/>
      <c r="I793" s="313"/>
      <c r="J793" s="307"/>
      <c r="K793" s="16"/>
      <c r="L793" s="17"/>
      <c r="M793" s="20"/>
      <c r="N793" s="14"/>
      <c r="O793" s="15"/>
      <c r="P793" s="22"/>
    </row>
    <row r="794" spans="1:16" s="5" customFormat="1" ht="60" customHeight="1" x14ac:dyDescent="0.3">
      <c r="A794" s="305"/>
      <c r="B794" s="306"/>
      <c r="C794" s="394" t="s">
        <v>687</v>
      </c>
      <c r="D794" s="395"/>
      <c r="E794" s="309"/>
      <c r="F794" s="310"/>
      <c r="G794" s="311"/>
      <c r="H794" s="312"/>
      <c r="I794" s="313"/>
      <c r="J794" s="307"/>
      <c r="K794" s="16"/>
      <c r="L794" s="17"/>
      <c r="M794" s="20"/>
      <c r="N794" s="14"/>
      <c r="O794" s="15"/>
      <c r="P794" s="22"/>
    </row>
    <row r="795" spans="1:16" s="5" customFormat="1" ht="27.6" x14ac:dyDescent="0.3">
      <c r="A795" s="305" t="s">
        <v>688</v>
      </c>
      <c r="B795" s="306"/>
      <c r="C795" s="390"/>
      <c r="D795" s="397" t="s">
        <v>689</v>
      </c>
      <c r="E795" s="309">
        <v>6</v>
      </c>
      <c r="F795" s="310" t="s">
        <v>249</v>
      </c>
      <c r="G795" s="311"/>
      <c r="H795" s="312">
        <f t="shared" ref="H795" si="111">E795*G795</f>
        <v>0</v>
      </c>
      <c r="I795" s="313"/>
      <c r="J795" s="307"/>
      <c r="K795" s="16"/>
      <c r="L795" s="17"/>
      <c r="M795" s="20"/>
      <c r="N795" s="14"/>
      <c r="O795" s="15"/>
      <c r="P795" s="22"/>
    </row>
    <row r="796" spans="1:16" s="5" customFormat="1" ht="15" customHeight="1" x14ac:dyDescent="0.3">
      <c r="A796" s="305"/>
      <c r="B796" s="306"/>
      <c r="C796" s="390"/>
      <c r="D796" s="308"/>
      <c r="E796" s="309"/>
      <c r="F796" s="310"/>
      <c r="G796" s="311"/>
      <c r="H796" s="312"/>
      <c r="I796" s="313"/>
      <c r="J796" s="307"/>
      <c r="K796" s="16"/>
      <c r="L796" s="17"/>
      <c r="M796" s="20"/>
      <c r="N796" s="14"/>
      <c r="O796" s="15"/>
      <c r="P796" s="22"/>
    </row>
    <row r="797" spans="1:16" s="5" customFormat="1" ht="15" customHeight="1" x14ac:dyDescent="0.3">
      <c r="A797" s="305">
        <v>5.07</v>
      </c>
      <c r="B797" s="306"/>
      <c r="C797" s="390" t="s">
        <v>690</v>
      </c>
      <c r="D797" s="385"/>
      <c r="E797" s="309"/>
      <c r="F797" s="310"/>
      <c r="G797" s="311"/>
      <c r="H797" s="312"/>
      <c r="I797" s="313"/>
      <c r="J797" s="307"/>
      <c r="K797" s="16"/>
      <c r="L797" s="17"/>
      <c r="M797" s="20"/>
      <c r="N797" s="14"/>
      <c r="O797" s="15"/>
      <c r="P797" s="22"/>
    </row>
    <row r="798" spans="1:16" s="5" customFormat="1" ht="15" customHeight="1" x14ac:dyDescent="0.3">
      <c r="A798" s="305"/>
      <c r="B798" s="306"/>
      <c r="C798" s="390" t="s">
        <v>691</v>
      </c>
      <c r="D798" s="385"/>
      <c r="E798" s="309"/>
      <c r="F798" s="310"/>
      <c r="G798" s="311"/>
      <c r="H798" s="312"/>
      <c r="I798" s="313"/>
      <c r="J798" s="307"/>
      <c r="K798" s="16"/>
      <c r="L798" s="17"/>
      <c r="M798" s="20"/>
      <c r="N798" s="14"/>
      <c r="O798" s="15"/>
      <c r="P798" s="22"/>
    </row>
    <row r="799" spans="1:16" s="5" customFormat="1" ht="60.3" customHeight="1" x14ac:dyDescent="0.3">
      <c r="A799" s="305"/>
      <c r="B799" s="306"/>
      <c r="C799" s="452" t="s">
        <v>573</v>
      </c>
      <c r="D799" s="453"/>
      <c r="E799" s="309"/>
      <c r="F799" s="310"/>
      <c r="G799" s="311"/>
      <c r="H799" s="312"/>
      <c r="I799" s="313"/>
      <c r="J799" s="307"/>
      <c r="K799" s="16"/>
      <c r="L799" s="17"/>
      <c r="M799" s="20"/>
      <c r="N799" s="14"/>
      <c r="O799" s="15"/>
      <c r="P799" s="22"/>
    </row>
    <row r="800" spans="1:16" s="5" customFormat="1" ht="15" customHeight="1" x14ac:dyDescent="0.3">
      <c r="A800" s="319" t="s">
        <v>19</v>
      </c>
      <c r="B800" s="306"/>
      <c r="C800" s="307"/>
      <c r="D800" s="308" t="s">
        <v>692</v>
      </c>
      <c r="E800" s="309">
        <f>549+79</f>
        <v>628</v>
      </c>
      <c r="F800" s="310" t="s">
        <v>21</v>
      </c>
      <c r="G800" s="311"/>
      <c r="H800" s="312">
        <f t="shared" ref="H800" si="112">E800*G800</f>
        <v>0</v>
      </c>
      <c r="I800" s="313"/>
      <c r="J800" s="307"/>
      <c r="K800" s="16"/>
      <c r="L800" s="17"/>
      <c r="M800" s="20"/>
      <c r="N800" s="14"/>
      <c r="O800" s="15"/>
      <c r="P800" s="22"/>
    </row>
    <row r="801" spans="1:16" s="5" customFormat="1" ht="15" customHeight="1" x14ac:dyDescent="0.3">
      <c r="A801" s="319"/>
      <c r="B801" s="306"/>
      <c r="C801" s="307"/>
      <c r="D801" s="308"/>
      <c r="E801" s="309"/>
      <c r="F801" s="310"/>
      <c r="G801" s="311"/>
      <c r="H801" s="312"/>
      <c r="I801" s="313"/>
      <c r="J801" s="307"/>
      <c r="K801" s="16"/>
      <c r="L801" s="17"/>
      <c r="M801" s="20"/>
      <c r="N801" s="14"/>
      <c r="O801" s="15"/>
      <c r="P801" s="22"/>
    </row>
    <row r="802" spans="1:16" s="5" customFormat="1" ht="61.2" customHeight="1" x14ac:dyDescent="0.3">
      <c r="A802" s="319"/>
      <c r="B802" s="306"/>
      <c r="C802" s="452" t="s">
        <v>693</v>
      </c>
      <c r="D802" s="453"/>
      <c r="E802" s="309"/>
      <c r="F802" s="310"/>
      <c r="G802" s="311"/>
      <c r="H802" s="312"/>
      <c r="I802" s="313"/>
      <c r="J802" s="307"/>
      <c r="K802" s="16"/>
      <c r="L802" s="17"/>
      <c r="M802" s="20"/>
      <c r="N802" s="14"/>
      <c r="O802" s="15"/>
      <c r="P802" s="22"/>
    </row>
    <row r="803" spans="1:16" s="5" customFormat="1" ht="15" customHeight="1" x14ac:dyDescent="0.3">
      <c r="A803" s="319" t="s">
        <v>22</v>
      </c>
      <c r="B803" s="306"/>
      <c r="C803" s="307"/>
      <c r="D803" s="308" t="s">
        <v>694</v>
      </c>
      <c r="E803" s="309">
        <v>53</v>
      </c>
      <c r="F803" s="310" t="s">
        <v>21</v>
      </c>
      <c r="G803" s="311"/>
      <c r="H803" s="312">
        <f t="shared" ref="H803:H805" si="113">E803*G803</f>
        <v>0</v>
      </c>
      <c r="I803" s="313"/>
      <c r="J803" s="307"/>
      <c r="K803" s="16"/>
      <c r="L803" s="17"/>
      <c r="M803" s="20"/>
      <c r="N803" s="14"/>
      <c r="O803" s="15"/>
      <c r="P803" s="22"/>
    </row>
    <row r="804" spans="1:16" s="5" customFormat="1" ht="15" customHeight="1" x14ac:dyDescent="0.3">
      <c r="A804" s="319" t="s">
        <v>25</v>
      </c>
      <c r="B804" s="306"/>
      <c r="C804" s="307"/>
      <c r="D804" s="308" t="s">
        <v>695</v>
      </c>
      <c r="E804" s="309">
        <v>61</v>
      </c>
      <c r="F804" s="310" t="s">
        <v>21</v>
      </c>
      <c r="G804" s="311"/>
      <c r="H804" s="312">
        <f t="shared" si="113"/>
        <v>0</v>
      </c>
      <c r="I804" s="313"/>
      <c r="J804" s="307"/>
      <c r="K804" s="16"/>
      <c r="L804" s="17"/>
      <c r="M804" s="20"/>
      <c r="N804" s="14"/>
      <c r="O804" s="15"/>
      <c r="P804" s="22"/>
    </row>
    <row r="805" spans="1:16" s="5" customFormat="1" ht="15" customHeight="1" x14ac:dyDescent="0.3">
      <c r="A805" s="319" t="s">
        <v>28</v>
      </c>
      <c r="B805" s="306"/>
      <c r="C805" s="307"/>
      <c r="D805" s="308" t="s">
        <v>696</v>
      </c>
      <c r="E805" s="309">
        <v>68</v>
      </c>
      <c r="F805" s="310" t="s">
        <v>21</v>
      </c>
      <c r="G805" s="311"/>
      <c r="H805" s="312">
        <f t="shared" si="113"/>
        <v>0</v>
      </c>
      <c r="I805" s="313"/>
      <c r="J805" s="307"/>
      <c r="K805" s="16"/>
      <c r="L805" s="17"/>
      <c r="M805" s="20"/>
      <c r="N805" s="14"/>
      <c r="O805" s="15"/>
      <c r="P805" s="22"/>
    </row>
    <row r="806" spans="1:16" s="5" customFormat="1" ht="15" customHeight="1" x14ac:dyDescent="0.3">
      <c r="A806" s="319"/>
      <c r="B806" s="306"/>
      <c r="C806" s="307"/>
      <c r="D806" s="308"/>
      <c r="E806" s="309"/>
      <c r="F806" s="310"/>
      <c r="G806" s="311"/>
      <c r="H806" s="312"/>
      <c r="I806" s="313"/>
      <c r="J806" s="307"/>
      <c r="K806" s="16"/>
      <c r="L806" s="17"/>
      <c r="M806" s="20"/>
      <c r="N806" s="14"/>
      <c r="O806" s="15"/>
      <c r="P806" s="22"/>
    </row>
    <row r="807" spans="1:16" s="5" customFormat="1" ht="47.7" customHeight="1" x14ac:dyDescent="0.3">
      <c r="A807" s="319"/>
      <c r="B807" s="306"/>
      <c r="C807" s="452" t="s">
        <v>581</v>
      </c>
      <c r="D807" s="453"/>
      <c r="E807" s="309"/>
      <c r="F807" s="310"/>
      <c r="G807" s="311"/>
      <c r="H807" s="312"/>
      <c r="I807" s="313"/>
      <c r="J807" s="307"/>
      <c r="K807" s="16"/>
      <c r="L807" s="17"/>
      <c r="M807" s="20"/>
      <c r="N807" s="14"/>
      <c r="O807" s="15"/>
      <c r="P807" s="22"/>
    </row>
    <row r="808" spans="1:16" s="5" customFormat="1" ht="15" customHeight="1" x14ac:dyDescent="0.3">
      <c r="A808" s="319"/>
      <c r="B808" s="306"/>
      <c r="C808" s="357" t="s">
        <v>582</v>
      </c>
      <c r="D808" s="308"/>
      <c r="E808" s="309"/>
      <c r="F808" s="310"/>
      <c r="G808" s="311"/>
      <c r="H808" s="312"/>
      <c r="I808" s="313"/>
      <c r="J808" s="307"/>
      <c r="K808" s="16"/>
      <c r="L808" s="17"/>
      <c r="M808" s="20"/>
      <c r="N808" s="14"/>
      <c r="O808" s="15"/>
      <c r="P808" s="22"/>
    </row>
    <row r="809" spans="1:16" s="5" customFormat="1" ht="15" customHeight="1" x14ac:dyDescent="0.3">
      <c r="A809" s="319" t="s">
        <v>30</v>
      </c>
      <c r="B809" s="306"/>
      <c r="C809" s="307"/>
      <c r="D809" s="308" t="s">
        <v>583</v>
      </c>
      <c r="E809" s="309">
        <v>10</v>
      </c>
      <c r="F809" s="310" t="s">
        <v>249</v>
      </c>
      <c r="G809" s="311"/>
      <c r="H809" s="312">
        <f t="shared" ref="H809:H811" si="114">E809*G809</f>
        <v>0</v>
      </c>
      <c r="I809" s="313"/>
      <c r="J809" s="307"/>
      <c r="K809" s="16"/>
      <c r="L809" s="17"/>
      <c r="M809" s="20"/>
      <c r="N809" s="14"/>
      <c r="O809" s="15"/>
      <c r="P809" s="22"/>
    </row>
    <row r="810" spans="1:16" s="5" customFormat="1" ht="15" customHeight="1" x14ac:dyDescent="0.3">
      <c r="A810" s="319" t="s">
        <v>32</v>
      </c>
      <c r="B810" s="306"/>
      <c r="C810" s="307"/>
      <c r="D810" s="308" t="s">
        <v>584</v>
      </c>
      <c r="E810" s="309">
        <v>1</v>
      </c>
      <c r="F810" s="310" t="s">
        <v>249</v>
      </c>
      <c r="G810" s="311"/>
      <c r="H810" s="312">
        <f t="shared" si="114"/>
        <v>0</v>
      </c>
      <c r="I810" s="313"/>
      <c r="J810" s="307"/>
      <c r="K810" s="16"/>
      <c r="L810" s="17"/>
      <c r="M810" s="20"/>
      <c r="N810" s="14"/>
      <c r="O810" s="15"/>
      <c r="P810" s="22"/>
    </row>
    <row r="811" spans="1:16" s="5" customFormat="1" ht="15" customHeight="1" x14ac:dyDescent="0.3">
      <c r="A811" s="319" t="s">
        <v>34</v>
      </c>
      <c r="B811" s="306"/>
      <c r="C811" s="307"/>
      <c r="D811" s="308" t="s">
        <v>587</v>
      </c>
      <c r="E811" s="309">
        <v>1</v>
      </c>
      <c r="F811" s="310" t="s">
        <v>249</v>
      </c>
      <c r="G811" s="311"/>
      <c r="H811" s="312">
        <f t="shared" si="114"/>
        <v>0</v>
      </c>
      <c r="I811" s="313"/>
      <c r="J811" s="307"/>
      <c r="K811" s="16"/>
      <c r="L811" s="17"/>
      <c r="M811" s="20"/>
      <c r="N811" s="14"/>
      <c r="O811" s="15"/>
      <c r="P811" s="22"/>
    </row>
    <row r="812" spans="1:16" s="5" customFormat="1" ht="15" customHeight="1" x14ac:dyDescent="0.3">
      <c r="A812" s="319"/>
      <c r="B812" s="306"/>
      <c r="C812" s="307"/>
      <c r="D812" s="308"/>
      <c r="E812" s="309"/>
      <c r="F812" s="310"/>
      <c r="G812" s="311"/>
      <c r="H812" s="312"/>
      <c r="I812" s="313"/>
      <c r="J812" s="307"/>
      <c r="K812" s="16"/>
      <c r="L812" s="17"/>
      <c r="M812" s="20"/>
      <c r="N812" s="14"/>
      <c r="O812" s="15"/>
      <c r="P812" s="22"/>
    </row>
    <row r="813" spans="1:16" s="5" customFormat="1" ht="15" customHeight="1" x14ac:dyDescent="0.3">
      <c r="A813" s="319"/>
      <c r="B813" s="306"/>
      <c r="C813" s="357" t="s">
        <v>697</v>
      </c>
      <c r="D813" s="308"/>
      <c r="E813" s="309"/>
      <c r="F813" s="310"/>
      <c r="G813" s="311"/>
      <c r="H813" s="312"/>
      <c r="I813" s="313"/>
      <c r="J813" s="307"/>
      <c r="K813" s="16"/>
      <c r="L813" s="17"/>
      <c r="M813" s="20"/>
      <c r="N813" s="14"/>
      <c r="O813" s="15"/>
      <c r="P813" s="22"/>
    </row>
    <row r="814" spans="1:16" s="5" customFormat="1" ht="15" customHeight="1" x14ac:dyDescent="0.3">
      <c r="A814" s="319" t="s">
        <v>36</v>
      </c>
      <c r="B814" s="306"/>
      <c r="C814" s="307"/>
      <c r="D814" s="308" t="s">
        <v>698</v>
      </c>
      <c r="E814" s="309">
        <v>2</v>
      </c>
      <c r="F814" s="310" t="s">
        <v>249</v>
      </c>
      <c r="G814" s="311"/>
      <c r="H814" s="312">
        <f t="shared" ref="H814" si="115">E814*G814</f>
        <v>0</v>
      </c>
      <c r="I814" s="313"/>
      <c r="J814" s="307"/>
      <c r="K814" s="16"/>
      <c r="L814" s="17"/>
      <c r="M814" s="20"/>
      <c r="N814" s="14"/>
      <c r="O814" s="15"/>
      <c r="P814" s="22"/>
    </row>
    <row r="815" spans="1:16" s="5" customFormat="1" ht="15" customHeight="1" x14ac:dyDescent="0.3">
      <c r="A815" s="319"/>
      <c r="B815" s="306"/>
      <c r="C815" s="307"/>
      <c r="D815" s="308"/>
      <c r="E815" s="309"/>
      <c r="F815" s="310"/>
      <c r="G815" s="311"/>
      <c r="H815" s="312"/>
      <c r="I815" s="313"/>
      <c r="J815" s="307"/>
      <c r="K815" s="16"/>
      <c r="L815" s="17"/>
      <c r="M815" s="20"/>
      <c r="N815" s="14"/>
      <c r="O815" s="15"/>
      <c r="P815" s="22"/>
    </row>
    <row r="816" spans="1:16" s="5" customFormat="1" ht="15" customHeight="1" x14ac:dyDescent="0.3">
      <c r="A816" s="319"/>
      <c r="B816" s="306"/>
      <c r="C816" s="307" t="s">
        <v>699</v>
      </c>
      <c r="D816" s="308"/>
      <c r="E816" s="309"/>
      <c r="F816" s="310"/>
      <c r="G816" s="311"/>
      <c r="H816" s="312"/>
      <c r="I816" s="313"/>
      <c r="J816" s="307"/>
      <c r="K816" s="16"/>
      <c r="L816" s="17"/>
      <c r="M816" s="20"/>
      <c r="N816" s="14"/>
      <c r="O816" s="15"/>
      <c r="P816" s="22"/>
    </row>
    <row r="817" spans="1:16" s="5" customFormat="1" ht="15" customHeight="1" x14ac:dyDescent="0.3">
      <c r="A817" s="319" t="s">
        <v>39</v>
      </c>
      <c r="B817" s="306"/>
      <c r="C817" s="307"/>
      <c r="D817" s="308" t="s">
        <v>583</v>
      </c>
      <c r="E817" s="309">
        <f>46+3</f>
        <v>49</v>
      </c>
      <c r="F817" s="310" t="s">
        <v>249</v>
      </c>
      <c r="G817" s="311"/>
      <c r="H817" s="312">
        <f t="shared" ref="H817" si="116">E817*G817</f>
        <v>0</v>
      </c>
      <c r="I817" s="313"/>
      <c r="J817" s="307"/>
      <c r="K817" s="16"/>
      <c r="L817" s="17"/>
      <c r="M817" s="20"/>
      <c r="N817" s="14"/>
      <c r="O817" s="15"/>
      <c r="P817" s="22"/>
    </row>
    <row r="818" spans="1:16" s="5" customFormat="1" ht="15" customHeight="1" x14ac:dyDescent="0.3">
      <c r="A818" s="319"/>
      <c r="B818" s="306"/>
      <c r="C818" s="307"/>
      <c r="D818" s="308"/>
      <c r="E818" s="309"/>
      <c r="F818" s="310"/>
      <c r="G818" s="311"/>
      <c r="H818" s="312"/>
      <c r="I818" s="313"/>
      <c r="J818" s="307"/>
      <c r="K818" s="16"/>
      <c r="L818" s="17"/>
      <c r="M818" s="20"/>
      <c r="N818" s="14"/>
      <c r="O818" s="15"/>
      <c r="P818" s="22"/>
    </row>
    <row r="819" spans="1:16" s="5" customFormat="1" ht="15" customHeight="1" x14ac:dyDescent="0.3">
      <c r="A819" s="319"/>
      <c r="B819" s="306"/>
      <c r="C819" s="307" t="s">
        <v>700</v>
      </c>
      <c r="D819" s="308"/>
      <c r="E819" s="309"/>
      <c r="F819" s="310"/>
      <c r="G819" s="311"/>
      <c r="H819" s="312"/>
      <c r="I819" s="313"/>
      <c r="J819" s="307"/>
      <c r="K819" s="16"/>
      <c r="L819" s="17"/>
      <c r="M819" s="20"/>
      <c r="N819" s="14"/>
      <c r="O819" s="15"/>
      <c r="P819" s="22"/>
    </row>
    <row r="820" spans="1:16" s="5" customFormat="1" ht="15" customHeight="1" x14ac:dyDescent="0.3">
      <c r="A820" s="319" t="s">
        <v>42</v>
      </c>
      <c r="B820" s="306"/>
      <c r="C820" s="307"/>
      <c r="D820" s="308" t="s">
        <v>583</v>
      </c>
      <c r="E820" s="309">
        <v>4</v>
      </c>
      <c r="F820" s="310" t="s">
        <v>249</v>
      </c>
      <c r="G820" s="311"/>
      <c r="H820" s="312">
        <f t="shared" ref="H820:H823" si="117">E820*G820</f>
        <v>0</v>
      </c>
      <c r="I820" s="313"/>
      <c r="J820" s="307"/>
      <c r="K820" s="16"/>
      <c r="L820" s="17"/>
      <c r="M820" s="20"/>
      <c r="N820" s="14"/>
      <c r="O820" s="15"/>
      <c r="P820" s="22"/>
    </row>
    <row r="821" spans="1:16" s="5" customFormat="1" ht="15" customHeight="1" x14ac:dyDescent="0.3">
      <c r="A821" s="319" t="s">
        <v>44</v>
      </c>
      <c r="B821" s="306"/>
      <c r="C821" s="307"/>
      <c r="D821" s="308" t="s">
        <v>584</v>
      </c>
      <c r="E821" s="309">
        <v>2</v>
      </c>
      <c r="F821" s="310" t="s">
        <v>249</v>
      </c>
      <c r="G821" s="311"/>
      <c r="H821" s="312">
        <f t="shared" si="117"/>
        <v>0</v>
      </c>
      <c r="I821" s="313"/>
      <c r="J821" s="307"/>
      <c r="K821" s="16"/>
      <c r="L821" s="17"/>
      <c r="M821" s="20"/>
      <c r="N821" s="14"/>
      <c r="O821" s="15"/>
      <c r="P821" s="22"/>
    </row>
    <row r="822" spans="1:16" s="5" customFormat="1" ht="15" customHeight="1" x14ac:dyDescent="0.3">
      <c r="A822" s="319" t="s">
        <v>46</v>
      </c>
      <c r="B822" s="306"/>
      <c r="C822" s="307"/>
      <c r="D822" s="308" t="s">
        <v>587</v>
      </c>
      <c r="E822" s="309">
        <v>1</v>
      </c>
      <c r="F822" s="310" t="s">
        <v>249</v>
      </c>
      <c r="G822" s="311"/>
      <c r="H822" s="312">
        <f t="shared" si="117"/>
        <v>0</v>
      </c>
      <c r="I822" s="313"/>
      <c r="J822" s="307"/>
      <c r="K822" s="16"/>
      <c r="L822" s="17"/>
      <c r="M822" s="20"/>
      <c r="N822" s="14"/>
      <c r="O822" s="15"/>
      <c r="P822" s="22"/>
    </row>
    <row r="823" spans="1:16" s="5" customFormat="1" ht="15" customHeight="1" x14ac:dyDescent="0.3">
      <c r="A823" s="319" t="s">
        <v>48</v>
      </c>
      <c r="B823" s="306"/>
      <c r="C823" s="307"/>
      <c r="D823" s="308" t="s">
        <v>589</v>
      </c>
      <c r="E823" s="309">
        <v>1</v>
      </c>
      <c r="F823" s="310" t="s">
        <v>249</v>
      </c>
      <c r="G823" s="311"/>
      <c r="H823" s="312">
        <f t="shared" si="117"/>
        <v>0</v>
      </c>
      <c r="I823" s="313"/>
      <c r="J823" s="307"/>
      <c r="K823" s="16"/>
      <c r="L823" s="17"/>
      <c r="M823" s="20"/>
      <c r="N823" s="14"/>
      <c r="O823" s="15"/>
      <c r="P823" s="22"/>
    </row>
    <row r="824" spans="1:16" s="5" customFormat="1" ht="15" customHeight="1" x14ac:dyDescent="0.3">
      <c r="A824" s="319"/>
      <c r="B824" s="306"/>
      <c r="C824" s="307"/>
      <c r="D824" s="308"/>
      <c r="E824" s="309"/>
      <c r="F824" s="310"/>
      <c r="G824" s="311"/>
      <c r="H824" s="312"/>
      <c r="I824" s="313"/>
      <c r="J824" s="307"/>
      <c r="K824" s="16"/>
      <c r="L824" s="17"/>
      <c r="M824" s="20"/>
      <c r="N824" s="14"/>
      <c r="O824" s="15"/>
      <c r="P824" s="22"/>
    </row>
    <row r="825" spans="1:16" s="5" customFormat="1" ht="15" customHeight="1" x14ac:dyDescent="0.3">
      <c r="A825" s="319"/>
      <c r="B825" s="306"/>
      <c r="C825" s="307" t="s">
        <v>701</v>
      </c>
      <c r="D825" s="308"/>
      <c r="E825" s="309"/>
      <c r="F825" s="310"/>
      <c r="G825" s="311"/>
      <c r="H825" s="312"/>
      <c r="I825" s="313"/>
      <c r="J825" s="307"/>
      <c r="K825" s="16"/>
      <c r="L825" s="17"/>
      <c r="M825" s="20"/>
      <c r="N825" s="14"/>
      <c r="O825" s="15"/>
      <c r="P825" s="22"/>
    </row>
    <row r="826" spans="1:16" s="5" customFormat="1" ht="15" customHeight="1" x14ac:dyDescent="0.3">
      <c r="A826" s="319" t="s">
        <v>50</v>
      </c>
      <c r="B826" s="306"/>
      <c r="C826" s="307"/>
      <c r="D826" s="308" t="s">
        <v>702</v>
      </c>
      <c r="E826" s="309">
        <v>69</v>
      </c>
      <c r="F826" s="310" t="s">
        <v>249</v>
      </c>
      <c r="G826" s="311"/>
      <c r="H826" s="312">
        <f t="shared" ref="H826:H827" si="118">E826*G826</f>
        <v>0</v>
      </c>
      <c r="I826" s="313"/>
      <c r="J826" s="307"/>
      <c r="K826" s="16"/>
      <c r="L826" s="17"/>
      <c r="M826" s="20"/>
      <c r="N826" s="14"/>
      <c r="O826" s="15"/>
      <c r="P826" s="22"/>
    </row>
    <row r="827" spans="1:16" s="5" customFormat="1" ht="15" customHeight="1" x14ac:dyDescent="0.3">
      <c r="A827" s="319" t="s">
        <v>52</v>
      </c>
      <c r="B827" s="306"/>
      <c r="C827" s="307"/>
      <c r="D827" s="308" t="s">
        <v>703</v>
      </c>
      <c r="E827" s="309">
        <v>22</v>
      </c>
      <c r="F827" s="310" t="s">
        <v>249</v>
      </c>
      <c r="G827" s="311"/>
      <c r="H827" s="312">
        <f t="shared" si="118"/>
        <v>0</v>
      </c>
      <c r="I827" s="313"/>
      <c r="J827" s="307"/>
      <c r="K827" s="16"/>
      <c r="L827" s="17"/>
      <c r="M827" s="20"/>
      <c r="N827" s="14"/>
      <c r="O827" s="15"/>
      <c r="P827" s="22"/>
    </row>
    <row r="828" spans="1:16" s="5" customFormat="1" ht="15" customHeight="1" x14ac:dyDescent="0.3">
      <c r="A828" s="319"/>
      <c r="B828" s="306"/>
      <c r="C828" s="307"/>
      <c r="D828" s="308"/>
      <c r="E828" s="309"/>
      <c r="F828" s="310"/>
      <c r="G828" s="311"/>
      <c r="H828" s="312"/>
      <c r="I828" s="313"/>
      <c r="J828" s="307"/>
      <c r="K828" s="16"/>
      <c r="L828" s="17"/>
      <c r="M828" s="20"/>
      <c r="N828" s="14"/>
      <c r="O828" s="15"/>
      <c r="P828" s="22"/>
    </row>
    <row r="829" spans="1:16" s="5" customFormat="1" ht="15" customHeight="1" x14ac:dyDescent="0.3">
      <c r="A829" s="319"/>
      <c r="B829" s="306"/>
      <c r="C829" s="307" t="s">
        <v>704</v>
      </c>
      <c r="D829" s="308"/>
      <c r="E829" s="309"/>
      <c r="F829" s="310"/>
      <c r="G829" s="311"/>
      <c r="H829" s="312"/>
      <c r="I829" s="313"/>
      <c r="J829" s="307"/>
      <c r="K829" s="16"/>
      <c r="L829" s="17"/>
      <c r="M829" s="20"/>
      <c r="N829" s="14"/>
      <c r="O829" s="15"/>
      <c r="P829" s="22"/>
    </row>
    <row r="830" spans="1:16" s="5" customFormat="1" ht="15" customHeight="1" x14ac:dyDescent="0.3">
      <c r="A830" s="319" t="s">
        <v>54</v>
      </c>
      <c r="B830" s="306"/>
      <c r="C830" s="307"/>
      <c r="D830" s="308" t="s">
        <v>702</v>
      </c>
      <c r="E830" s="309">
        <v>58</v>
      </c>
      <c r="F830" s="310" t="s">
        <v>249</v>
      </c>
      <c r="G830" s="311"/>
      <c r="H830" s="312">
        <f t="shared" ref="H830:H831" si="119">E830*G830</f>
        <v>0</v>
      </c>
      <c r="I830" s="313"/>
      <c r="J830" s="307"/>
      <c r="K830" s="16"/>
      <c r="L830" s="17"/>
      <c r="M830" s="20"/>
      <c r="N830" s="14"/>
      <c r="O830" s="15"/>
      <c r="P830" s="22"/>
    </row>
    <row r="831" spans="1:16" s="5" customFormat="1" ht="15" customHeight="1" x14ac:dyDescent="0.3">
      <c r="A831" s="319" t="s">
        <v>56</v>
      </c>
      <c r="B831" s="306"/>
      <c r="C831" s="307"/>
      <c r="D831" s="308" t="s">
        <v>703</v>
      </c>
      <c r="E831" s="309">
        <v>21</v>
      </c>
      <c r="F831" s="310" t="s">
        <v>249</v>
      </c>
      <c r="G831" s="311"/>
      <c r="H831" s="312">
        <f t="shared" si="119"/>
        <v>0</v>
      </c>
      <c r="I831" s="313"/>
      <c r="J831" s="307"/>
      <c r="K831" s="16"/>
      <c r="L831" s="17"/>
      <c r="M831" s="20"/>
      <c r="N831" s="14"/>
      <c r="O831" s="15"/>
      <c r="P831" s="22"/>
    </row>
    <row r="832" spans="1:16" s="5" customFormat="1" ht="15" customHeight="1" x14ac:dyDescent="0.3">
      <c r="A832" s="430"/>
      <c r="B832" s="402"/>
      <c r="C832" s="431"/>
      <c r="D832" s="404"/>
      <c r="E832" s="432"/>
      <c r="F832" s="433"/>
      <c r="G832" s="407"/>
      <c r="H832" s="408"/>
      <c r="I832" s="409"/>
      <c r="J832" s="307"/>
      <c r="K832" s="16"/>
      <c r="L832" s="17"/>
      <c r="M832" s="20"/>
      <c r="N832" s="14"/>
      <c r="O832" s="15"/>
      <c r="P832" s="22"/>
    </row>
    <row r="833" spans="1:16" s="5" customFormat="1" ht="15" customHeight="1" x14ac:dyDescent="0.3">
      <c r="A833" s="319"/>
      <c r="B833" s="306"/>
      <c r="C833" s="307" t="s">
        <v>705</v>
      </c>
      <c r="D833" s="308"/>
      <c r="E833" s="309"/>
      <c r="F833" s="310"/>
      <c r="G833" s="311"/>
      <c r="H833" s="312"/>
      <c r="I833" s="313"/>
      <c r="J833" s="307"/>
      <c r="K833" s="16"/>
      <c r="L833" s="17"/>
      <c r="M833" s="20"/>
      <c r="N833" s="14"/>
      <c r="O833" s="15"/>
      <c r="P833" s="22"/>
    </row>
    <row r="834" spans="1:16" s="5" customFormat="1" ht="15" customHeight="1" x14ac:dyDescent="0.3">
      <c r="A834" s="319" t="s">
        <v>58</v>
      </c>
      <c r="B834" s="306"/>
      <c r="C834" s="307"/>
      <c r="D834" s="308" t="s">
        <v>706</v>
      </c>
      <c r="E834" s="309">
        <v>1</v>
      </c>
      <c r="F834" s="310" t="s">
        <v>249</v>
      </c>
      <c r="G834" s="311"/>
      <c r="H834" s="312">
        <f t="shared" ref="H834" si="120">E834*G834</f>
        <v>0</v>
      </c>
      <c r="I834" s="313"/>
      <c r="J834" s="307"/>
      <c r="K834" s="16"/>
      <c r="L834" s="17"/>
      <c r="M834" s="20"/>
      <c r="N834" s="14"/>
      <c r="O834" s="15"/>
      <c r="P834" s="22"/>
    </row>
    <row r="835" spans="1:16" s="5" customFormat="1" ht="15" customHeight="1" x14ac:dyDescent="0.3">
      <c r="A835" s="319"/>
      <c r="B835" s="306"/>
      <c r="C835" s="307"/>
      <c r="D835" s="308"/>
      <c r="E835" s="309"/>
      <c r="F835" s="310"/>
      <c r="G835" s="311"/>
      <c r="H835" s="312"/>
      <c r="I835" s="313"/>
      <c r="J835" s="307"/>
      <c r="K835" s="16"/>
      <c r="L835" s="17"/>
      <c r="M835" s="20"/>
      <c r="N835" s="14"/>
      <c r="O835" s="15"/>
      <c r="P835" s="22"/>
    </row>
    <row r="836" spans="1:16" s="5" customFormat="1" ht="15" customHeight="1" x14ac:dyDescent="0.3">
      <c r="A836" s="319"/>
      <c r="B836" s="306"/>
      <c r="C836" s="307" t="s">
        <v>707</v>
      </c>
      <c r="D836" s="308"/>
      <c r="E836" s="309"/>
      <c r="F836" s="310"/>
      <c r="G836" s="311"/>
      <c r="H836" s="312"/>
      <c r="I836" s="313"/>
      <c r="J836" s="307"/>
      <c r="K836" s="16"/>
      <c r="L836" s="17"/>
      <c r="M836" s="20"/>
      <c r="N836" s="14"/>
      <c r="O836" s="15"/>
      <c r="P836" s="22"/>
    </row>
    <row r="837" spans="1:16" s="5" customFormat="1" ht="15" customHeight="1" x14ac:dyDescent="0.3">
      <c r="A837" s="319" t="s">
        <v>60</v>
      </c>
      <c r="B837" s="306"/>
      <c r="C837" s="307"/>
      <c r="D837" s="308" t="s">
        <v>698</v>
      </c>
      <c r="E837" s="309">
        <v>1</v>
      </c>
      <c r="F837" s="310" t="s">
        <v>249</v>
      </c>
      <c r="G837" s="311"/>
      <c r="H837" s="312">
        <f t="shared" ref="H837" si="121">E837*G837</f>
        <v>0</v>
      </c>
      <c r="I837" s="313"/>
      <c r="J837" s="307"/>
      <c r="K837" s="16"/>
      <c r="L837" s="17"/>
      <c r="M837" s="20"/>
      <c r="N837" s="14"/>
      <c r="O837" s="15"/>
      <c r="P837" s="22"/>
    </row>
    <row r="838" spans="1:16" s="5" customFormat="1" ht="15" customHeight="1" x14ac:dyDescent="0.3">
      <c r="A838" s="319"/>
      <c r="B838" s="306"/>
      <c r="C838" s="307"/>
      <c r="D838" s="308"/>
      <c r="E838" s="309"/>
      <c r="F838" s="310"/>
      <c r="G838" s="311"/>
      <c r="H838" s="312"/>
      <c r="I838" s="313"/>
      <c r="J838" s="307"/>
      <c r="K838" s="16"/>
      <c r="L838" s="17"/>
      <c r="M838" s="20"/>
      <c r="N838" s="14"/>
      <c r="O838" s="15"/>
      <c r="P838" s="22"/>
    </row>
    <row r="839" spans="1:16" s="5" customFormat="1" ht="15" customHeight="1" x14ac:dyDescent="0.3">
      <c r="A839" s="319"/>
      <c r="B839" s="306"/>
      <c r="C839" s="307" t="s">
        <v>708</v>
      </c>
      <c r="D839" s="308"/>
      <c r="E839" s="309"/>
      <c r="F839" s="310"/>
      <c r="G839" s="311"/>
      <c r="H839" s="312"/>
      <c r="I839" s="313"/>
      <c r="J839" s="307"/>
      <c r="K839" s="16"/>
      <c r="L839" s="17"/>
      <c r="M839" s="20"/>
      <c r="N839" s="14"/>
      <c r="O839" s="15"/>
      <c r="P839" s="22"/>
    </row>
    <row r="840" spans="1:16" s="5" customFormat="1" ht="15" customHeight="1" x14ac:dyDescent="0.3">
      <c r="A840" s="319" t="s">
        <v>62</v>
      </c>
      <c r="B840" s="306"/>
      <c r="C840" s="307"/>
      <c r="D840" s="308" t="s">
        <v>698</v>
      </c>
      <c r="E840" s="309">
        <v>1</v>
      </c>
      <c r="F840" s="310" t="s">
        <v>249</v>
      </c>
      <c r="G840" s="311"/>
      <c r="H840" s="312">
        <f t="shared" ref="H840" si="122">E840*G840</f>
        <v>0</v>
      </c>
      <c r="I840" s="313"/>
      <c r="J840" s="307"/>
      <c r="K840" s="16"/>
      <c r="L840" s="17"/>
      <c r="M840" s="20"/>
      <c r="N840" s="14"/>
      <c r="O840" s="15"/>
      <c r="P840" s="22"/>
    </row>
    <row r="841" spans="1:16" s="5" customFormat="1" ht="15" customHeight="1" x14ac:dyDescent="0.3">
      <c r="A841" s="319"/>
      <c r="B841" s="306"/>
      <c r="C841" s="307"/>
      <c r="D841" s="308"/>
      <c r="E841" s="309"/>
      <c r="F841" s="310"/>
      <c r="G841" s="311"/>
      <c r="H841" s="312"/>
      <c r="I841" s="313"/>
      <c r="J841" s="307"/>
      <c r="K841" s="16"/>
      <c r="L841" s="17"/>
      <c r="M841" s="20"/>
      <c r="N841" s="14"/>
      <c r="O841" s="15"/>
      <c r="P841" s="22"/>
    </row>
    <row r="842" spans="1:16" s="5" customFormat="1" ht="45.15" customHeight="1" x14ac:dyDescent="0.3">
      <c r="A842" s="305"/>
      <c r="B842" s="306"/>
      <c r="C842" s="394" t="s">
        <v>709</v>
      </c>
      <c r="D842" s="395"/>
      <c r="E842" s="309"/>
      <c r="F842" s="310"/>
      <c r="G842" s="311"/>
      <c r="H842" s="312"/>
      <c r="I842" s="313"/>
      <c r="J842" s="307"/>
      <c r="K842" s="16"/>
      <c r="L842" s="17"/>
      <c r="M842" s="20"/>
      <c r="N842" s="14"/>
      <c r="O842" s="15"/>
      <c r="P842" s="22"/>
    </row>
    <row r="843" spans="1:16" s="5" customFormat="1" ht="15" customHeight="1" x14ac:dyDescent="0.3">
      <c r="A843" s="319" t="s">
        <v>64</v>
      </c>
      <c r="B843" s="306"/>
      <c r="C843" s="307"/>
      <c r="D843" s="308" t="s">
        <v>507</v>
      </c>
      <c r="E843" s="309">
        <v>1</v>
      </c>
      <c r="F843" s="310" t="s">
        <v>100</v>
      </c>
      <c r="G843" s="311"/>
      <c r="H843" s="312"/>
      <c r="I843" s="313"/>
      <c r="J843" s="307"/>
      <c r="K843" s="16"/>
      <c r="L843" s="17"/>
      <c r="M843" s="20"/>
      <c r="N843" s="14"/>
      <c r="O843" s="15"/>
      <c r="P843" s="22"/>
    </row>
    <row r="844" spans="1:16" s="5" customFormat="1" ht="15" customHeight="1" x14ac:dyDescent="0.3">
      <c r="A844" s="319"/>
      <c r="B844" s="306"/>
      <c r="C844" s="307"/>
      <c r="D844" s="308"/>
      <c r="E844" s="309"/>
      <c r="F844" s="310"/>
      <c r="G844" s="311"/>
      <c r="H844" s="312"/>
      <c r="I844" s="313"/>
      <c r="J844" s="307"/>
      <c r="K844" s="16"/>
      <c r="L844" s="17"/>
      <c r="M844" s="20"/>
      <c r="N844" s="14"/>
      <c r="O844" s="15"/>
      <c r="P844" s="22"/>
    </row>
    <row r="845" spans="1:16" s="5" customFormat="1" ht="60" customHeight="1" x14ac:dyDescent="0.3">
      <c r="A845" s="305"/>
      <c r="B845" s="306"/>
      <c r="C845" s="394" t="s">
        <v>710</v>
      </c>
      <c r="D845" s="395"/>
      <c r="E845" s="309"/>
      <c r="F845" s="310"/>
      <c r="G845" s="311"/>
      <c r="H845" s="312"/>
      <c r="I845" s="313"/>
      <c r="J845" s="307"/>
      <c r="K845" s="16"/>
      <c r="L845" s="17"/>
      <c r="M845" s="20"/>
      <c r="N845" s="14"/>
      <c r="O845" s="15"/>
      <c r="P845" s="22"/>
    </row>
    <row r="846" spans="1:16" s="5" customFormat="1" ht="15" customHeight="1" x14ac:dyDescent="0.3">
      <c r="A846" s="319" t="s">
        <v>68</v>
      </c>
      <c r="B846" s="306"/>
      <c r="C846" s="307"/>
      <c r="D846" s="308" t="s">
        <v>711</v>
      </c>
      <c r="E846" s="309">
        <v>85</v>
      </c>
      <c r="F846" s="310" t="s">
        <v>249</v>
      </c>
      <c r="G846" s="311"/>
      <c r="H846" s="312">
        <f>E846*G846</f>
        <v>0</v>
      </c>
      <c r="I846" s="313"/>
      <c r="J846" s="307"/>
      <c r="K846" s="16"/>
      <c r="L846" s="17"/>
      <c r="M846" s="20"/>
      <c r="N846" s="14"/>
      <c r="O846" s="15"/>
      <c r="P846" s="22"/>
    </row>
    <row r="847" spans="1:16" s="5" customFormat="1" ht="15" customHeight="1" x14ac:dyDescent="0.3">
      <c r="A847" s="319" t="s">
        <v>71</v>
      </c>
      <c r="B847" s="306"/>
      <c r="C847" s="307"/>
      <c r="D847" s="308" t="s">
        <v>712</v>
      </c>
      <c r="E847" s="309">
        <v>113</v>
      </c>
      <c r="F847" s="310" t="s">
        <v>249</v>
      </c>
      <c r="G847" s="311"/>
      <c r="H847" s="312">
        <f>E847*G847</f>
        <v>0</v>
      </c>
      <c r="I847" s="313"/>
      <c r="J847" s="307"/>
      <c r="K847" s="16"/>
      <c r="L847" s="17"/>
      <c r="M847" s="20"/>
      <c r="N847" s="14"/>
      <c r="O847" s="15"/>
      <c r="P847" s="22"/>
    </row>
    <row r="848" spans="1:16" s="5" customFormat="1" ht="15" customHeight="1" x14ac:dyDescent="0.3">
      <c r="A848" s="319" t="s">
        <v>73</v>
      </c>
      <c r="B848" s="306"/>
      <c r="C848" s="307"/>
      <c r="D848" s="308" t="s">
        <v>713</v>
      </c>
      <c r="E848" s="309">
        <v>109</v>
      </c>
      <c r="F848" s="310" t="s">
        <v>249</v>
      </c>
      <c r="G848" s="311"/>
      <c r="H848" s="312">
        <f t="shared" ref="H848:H849" si="123">E848*G848</f>
        <v>0</v>
      </c>
      <c r="I848" s="313"/>
      <c r="J848" s="307"/>
      <c r="K848" s="16"/>
      <c r="L848" s="17"/>
      <c r="M848" s="20"/>
      <c r="N848" s="14"/>
      <c r="O848" s="15"/>
      <c r="P848" s="22"/>
    </row>
    <row r="849" spans="1:16" s="5" customFormat="1" ht="15" customHeight="1" x14ac:dyDescent="0.3">
      <c r="A849" s="319" t="s">
        <v>75</v>
      </c>
      <c r="B849" s="306"/>
      <c r="C849" s="307"/>
      <c r="D849" s="308" t="s">
        <v>714</v>
      </c>
      <c r="E849" s="309">
        <v>114</v>
      </c>
      <c r="F849" s="310" t="s">
        <v>249</v>
      </c>
      <c r="G849" s="311"/>
      <c r="H849" s="312">
        <f t="shared" si="123"/>
        <v>0</v>
      </c>
      <c r="I849" s="313"/>
      <c r="J849" s="307"/>
      <c r="K849" s="16"/>
      <c r="L849" s="17"/>
      <c r="M849" s="20"/>
      <c r="N849" s="14"/>
      <c r="O849" s="15"/>
      <c r="P849" s="22"/>
    </row>
    <row r="850" spans="1:16" s="5" customFormat="1" ht="15" customHeight="1" x14ac:dyDescent="0.3">
      <c r="A850" s="319"/>
      <c r="B850" s="306"/>
      <c r="C850" s="307"/>
      <c r="D850" s="308"/>
      <c r="E850" s="309"/>
      <c r="F850" s="310"/>
      <c r="G850" s="311"/>
      <c r="H850" s="312"/>
      <c r="I850" s="313"/>
      <c r="J850" s="307"/>
      <c r="K850" s="16"/>
      <c r="L850" s="17"/>
      <c r="M850" s="20"/>
      <c r="N850" s="14"/>
      <c r="O850" s="15"/>
      <c r="P850" s="22"/>
    </row>
    <row r="851" spans="1:16" s="5" customFormat="1" ht="60" customHeight="1" x14ac:dyDescent="0.3">
      <c r="A851" s="305"/>
      <c r="B851" s="306"/>
      <c r="C851" s="394" t="s">
        <v>715</v>
      </c>
      <c r="D851" s="395"/>
      <c r="E851" s="309"/>
      <c r="F851" s="310"/>
      <c r="G851" s="311"/>
      <c r="H851" s="312"/>
      <c r="I851" s="313"/>
      <c r="J851" s="307"/>
      <c r="K851" s="16"/>
      <c r="L851" s="17"/>
      <c r="M851" s="20"/>
      <c r="N851" s="14"/>
      <c r="O851" s="15"/>
      <c r="P851" s="22"/>
    </row>
    <row r="852" spans="1:16" s="5" customFormat="1" ht="15" customHeight="1" x14ac:dyDescent="0.3">
      <c r="A852" s="305"/>
      <c r="B852" s="306"/>
      <c r="C852" s="357" t="s">
        <v>716</v>
      </c>
      <c r="D852" s="397"/>
      <c r="E852" s="309"/>
      <c r="F852" s="310"/>
      <c r="G852" s="311"/>
      <c r="H852" s="312"/>
      <c r="I852" s="313"/>
      <c r="J852" s="307"/>
      <c r="K852" s="16"/>
      <c r="L852" s="17"/>
      <c r="M852" s="20"/>
      <c r="N852" s="14"/>
      <c r="O852" s="15"/>
      <c r="P852" s="22"/>
    </row>
    <row r="853" spans="1:16" s="5" customFormat="1" ht="27.6" x14ac:dyDescent="0.3">
      <c r="A853" s="319" t="s">
        <v>77</v>
      </c>
      <c r="B853" s="306"/>
      <c r="C853" s="307"/>
      <c r="D853" s="308" t="s">
        <v>717</v>
      </c>
      <c r="E853" s="309">
        <v>30</v>
      </c>
      <c r="F853" s="310" t="s">
        <v>249</v>
      </c>
      <c r="G853" s="311"/>
      <c r="H853" s="312">
        <f t="shared" ref="H853" si="124">E853*G853</f>
        <v>0</v>
      </c>
      <c r="I853" s="313"/>
      <c r="J853" s="307"/>
      <c r="K853" s="16"/>
      <c r="L853" s="17"/>
      <c r="M853" s="20"/>
      <c r="N853" s="14"/>
      <c r="O853" s="15"/>
      <c r="P853" s="22"/>
    </row>
    <row r="854" spans="1:16" s="5" customFormat="1" ht="15" customHeight="1" x14ac:dyDescent="0.3">
      <c r="A854" s="319"/>
      <c r="B854" s="306"/>
      <c r="C854" s="307"/>
      <c r="D854" s="308"/>
      <c r="E854" s="309"/>
      <c r="F854" s="310"/>
      <c r="G854" s="311"/>
      <c r="H854" s="312"/>
      <c r="I854" s="313"/>
      <c r="J854" s="307"/>
      <c r="K854" s="16"/>
      <c r="L854" s="17"/>
      <c r="M854" s="20"/>
      <c r="N854" s="14"/>
      <c r="O854" s="15"/>
      <c r="P854" s="22"/>
    </row>
    <row r="855" spans="1:16" s="5" customFormat="1" ht="15" customHeight="1" x14ac:dyDescent="0.3">
      <c r="A855" s="305"/>
      <c r="B855" s="306"/>
      <c r="C855" s="357" t="s">
        <v>718</v>
      </c>
      <c r="D855" s="397"/>
      <c r="E855" s="309"/>
      <c r="F855" s="310"/>
      <c r="G855" s="311"/>
      <c r="H855" s="312"/>
      <c r="I855" s="313"/>
      <c r="J855" s="307"/>
      <c r="K855" s="16"/>
      <c r="L855" s="17"/>
      <c r="M855" s="20"/>
      <c r="N855" s="14"/>
      <c r="O855" s="15"/>
      <c r="P855" s="22"/>
    </row>
    <row r="856" spans="1:16" s="5" customFormat="1" ht="27.6" x14ac:dyDescent="0.3">
      <c r="A856" s="319" t="s">
        <v>80</v>
      </c>
      <c r="B856" s="306"/>
      <c r="C856" s="307"/>
      <c r="D856" s="308" t="s">
        <v>719</v>
      </c>
      <c r="E856" s="309">
        <v>30</v>
      </c>
      <c r="F856" s="310" t="s">
        <v>249</v>
      </c>
      <c r="G856" s="311"/>
      <c r="H856" s="312">
        <f t="shared" ref="H856" si="125">E856*G856</f>
        <v>0</v>
      </c>
      <c r="I856" s="313"/>
      <c r="J856" s="307"/>
      <c r="K856" s="16"/>
      <c r="L856" s="17"/>
      <c r="M856" s="20"/>
      <c r="N856" s="14"/>
      <c r="O856" s="15"/>
      <c r="P856" s="22"/>
    </row>
    <row r="857" spans="1:16" s="5" customFormat="1" ht="15" customHeight="1" x14ac:dyDescent="0.3">
      <c r="A857" s="319"/>
      <c r="B857" s="306"/>
      <c r="C857" s="307"/>
      <c r="D857" s="308"/>
      <c r="E857" s="309"/>
      <c r="F857" s="310"/>
      <c r="G857" s="311"/>
      <c r="H857" s="312"/>
      <c r="I857" s="313"/>
      <c r="J857" s="307"/>
      <c r="K857" s="16"/>
      <c r="L857" s="17"/>
      <c r="M857" s="20"/>
      <c r="N857" s="14"/>
      <c r="O857" s="15"/>
      <c r="P857" s="22"/>
    </row>
    <row r="858" spans="1:16" s="5" customFormat="1" ht="15" customHeight="1" x14ac:dyDescent="0.3">
      <c r="A858" s="319"/>
      <c r="B858" s="306"/>
      <c r="C858" s="357" t="s">
        <v>720</v>
      </c>
      <c r="D858" s="308"/>
      <c r="E858" s="309"/>
      <c r="F858" s="310"/>
      <c r="G858" s="311"/>
      <c r="H858" s="312"/>
      <c r="I858" s="313"/>
      <c r="J858" s="307"/>
      <c r="K858" s="16"/>
      <c r="L858" s="17"/>
      <c r="M858" s="20"/>
      <c r="N858" s="14"/>
      <c r="O858" s="15"/>
      <c r="P858" s="22"/>
    </row>
    <row r="859" spans="1:16" s="5" customFormat="1" ht="15" customHeight="1" x14ac:dyDescent="0.3">
      <c r="A859" s="319" t="s">
        <v>81</v>
      </c>
      <c r="B859" s="306"/>
      <c r="C859" s="307"/>
      <c r="D859" s="308" t="s">
        <v>721</v>
      </c>
      <c r="E859" s="309">
        <v>1</v>
      </c>
      <c r="F859" s="310" t="s">
        <v>249</v>
      </c>
      <c r="G859" s="311"/>
      <c r="H859" s="312">
        <f t="shared" ref="H859:H861" si="126">E859*G859</f>
        <v>0</v>
      </c>
      <c r="I859" s="313"/>
      <c r="J859" s="307"/>
      <c r="K859" s="16"/>
      <c r="L859" s="17"/>
      <c r="M859" s="20"/>
      <c r="N859" s="14"/>
      <c r="O859" s="15"/>
      <c r="P859" s="22"/>
    </row>
    <row r="860" spans="1:16" s="5" customFormat="1" ht="15" customHeight="1" x14ac:dyDescent="0.3">
      <c r="A860" s="319" t="s">
        <v>83</v>
      </c>
      <c r="B860" s="306"/>
      <c r="C860" s="307"/>
      <c r="D860" s="308" t="s">
        <v>722</v>
      </c>
      <c r="E860" s="309">
        <v>1</v>
      </c>
      <c r="F860" s="310" t="s">
        <v>249</v>
      </c>
      <c r="G860" s="311"/>
      <c r="H860" s="312">
        <f t="shared" si="126"/>
        <v>0</v>
      </c>
      <c r="I860" s="313"/>
      <c r="J860" s="307"/>
      <c r="K860" s="16"/>
      <c r="L860" s="17"/>
      <c r="M860" s="20"/>
      <c r="N860" s="14"/>
      <c r="O860" s="15"/>
      <c r="P860" s="22"/>
    </row>
    <row r="861" spans="1:16" s="5" customFormat="1" ht="27.6" x14ac:dyDescent="0.3">
      <c r="A861" s="319" t="s">
        <v>85</v>
      </c>
      <c r="B861" s="306"/>
      <c r="C861" s="307"/>
      <c r="D861" s="308" t="s">
        <v>723</v>
      </c>
      <c r="E861" s="309">
        <v>1</v>
      </c>
      <c r="F861" s="310" t="s">
        <v>249</v>
      </c>
      <c r="G861" s="311"/>
      <c r="H861" s="312">
        <f t="shared" si="126"/>
        <v>0</v>
      </c>
      <c r="I861" s="313"/>
      <c r="J861" s="307"/>
      <c r="K861" s="16"/>
      <c r="L861" s="17"/>
      <c r="M861" s="20"/>
      <c r="N861" s="14"/>
      <c r="O861" s="15"/>
      <c r="P861" s="22"/>
    </row>
    <row r="862" spans="1:16" s="5" customFormat="1" ht="15" customHeight="1" x14ac:dyDescent="0.3">
      <c r="A862" s="319"/>
      <c r="B862" s="306"/>
      <c r="C862" s="307"/>
      <c r="D862" s="308"/>
      <c r="E862" s="309"/>
      <c r="F862" s="310"/>
      <c r="G862" s="311"/>
      <c r="H862" s="312"/>
      <c r="I862" s="313"/>
      <c r="J862" s="307"/>
      <c r="K862" s="16"/>
      <c r="L862" s="17"/>
      <c r="M862" s="20"/>
      <c r="N862" s="14"/>
      <c r="O862" s="15"/>
      <c r="P862" s="22"/>
    </row>
    <row r="863" spans="1:16" s="5" customFormat="1" ht="15" customHeight="1" x14ac:dyDescent="0.3">
      <c r="A863" s="319"/>
      <c r="B863" s="306"/>
      <c r="C863" s="357" t="s">
        <v>724</v>
      </c>
      <c r="D863" s="308"/>
      <c r="E863" s="309"/>
      <c r="F863" s="310"/>
      <c r="G863" s="311"/>
      <c r="H863" s="312"/>
      <c r="I863" s="313"/>
      <c r="J863" s="307"/>
      <c r="K863" s="16"/>
      <c r="L863" s="17"/>
      <c r="M863" s="20"/>
      <c r="N863" s="14"/>
      <c r="O863" s="15"/>
      <c r="P863" s="22"/>
    </row>
    <row r="864" spans="1:16" s="5" customFormat="1" ht="15" customHeight="1" x14ac:dyDescent="0.3">
      <c r="A864" s="319" t="s">
        <v>87</v>
      </c>
      <c r="B864" s="306"/>
      <c r="C864" s="307"/>
      <c r="D864" s="308" t="s">
        <v>725</v>
      </c>
      <c r="E864" s="309">
        <v>1</v>
      </c>
      <c r="F864" s="310" t="s">
        <v>249</v>
      </c>
      <c r="G864" s="311"/>
      <c r="H864" s="312">
        <f t="shared" ref="H864:H866" si="127">E864*G864</f>
        <v>0</v>
      </c>
      <c r="I864" s="313"/>
      <c r="J864" s="307"/>
      <c r="K864" s="16"/>
      <c r="L864" s="17"/>
      <c r="M864" s="20"/>
      <c r="N864" s="14"/>
      <c r="O864" s="15"/>
      <c r="P864" s="22"/>
    </row>
    <row r="865" spans="1:16" s="5" customFormat="1" ht="15" customHeight="1" x14ac:dyDescent="0.3">
      <c r="A865" s="319" t="s">
        <v>89</v>
      </c>
      <c r="B865" s="306"/>
      <c r="C865" s="307"/>
      <c r="D865" s="308" t="s">
        <v>726</v>
      </c>
      <c r="E865" s="309">
        <v>1</v>
      </c>
      <c r="F865" s="310" t="s">
        <v>249</v>
      </c>
      <c r="G865" s="311"/>
      <c r="H865" s="312">
        <f t="shared" si="127"/>
        <v>0</v>
      </c>
      <c r="I865" s="313"/>
      <c r="J865" s="307"/>
      <c r="K865" s="16"/>
      <c r="L865" s="17"/>
      <c r="M865" s="20"/>
      <c r="N865" s="14"/>
      <c r="O865" s="15"/>
      <c r="P865" s="22"/>
    </row>
    <row r="866" spans="1:16" s="5" customFormat="1" ht="15" customHeight="1" x14ac:dyDescent="0.3">
      <c r="A866" s="319" t="s">
        <v>91</v>
      </c>
      <c r="B866" s="306"/>
      <c r="C866" s="307"/>
      <c r="D866" s="308" t="s">
        <v>727</v>
      </c>
      <c r="E866" s="309">
        <v>1</v>
      </c>
      <c r="F866" s="310" t="s">
        <v>249</v>
      </c>
      <c r="G866" s="311"/>
      <c r="H866" s="312">
        <f t="shared" si="127"/>
        <v>0</v>
      </c>
      <c r="I866" s="313"/>
      <c r="J866" s="307"/>
      <c r="K866" s="16"/>
      <c r="L866" s="17"/>
      <c r="M866" s="20"/>
      <c r="N866" s="14"/>
      <c r="O866" s="15"/>
      <c r="P866" s="22"/>
    </row>
    <row r="867" spans="1:16" s="5" customFormat="1" ht="15" customHeight="1" x14ac:dyDescent="0.3">
      <c r="A867" s="319"/>
      <c r="B867" s="306"/>
      <c r="C867" s="307"/>
      <c r="D867" s="308"/>
      <c r="E867" s="309"/>
      <c r="F867" s="310"/>
      <c r="G867" s="311"/>
      <c r="H867" s="312"/>
      <c r="I867" s="313"/>
      <c r="J867" s="307"/>
      <c r="K867" s="16"/>
      <c r="L867" s="17"/>
      <c r="M867" s="20"/>
      <c r="N867" s="14"/>
      <c r="O867" s="15"/>
      <c r="P867" s="22"/>
    </row>
    <row r="868" spans="1:16" s="5" customFormat="1" ht="15" customHeight="1" x14ac:dyDescent="0.3">
      <c r="A868" s="305"/>
      <c r="B868" s="306"/>
      <c r="C868" s="390" t="s">
        <v>728</v>
      </c>
      <c r="D868" s="385"/>
      <c r="E868" s="309"/>
      <c r="F868" s="310"/>
      <c r="G868" s="311"/>
      <c r="H868" s="312"/>
      <c r="I868" s="313"/>
      <c r="J868" s="307"/>
      <c r="K868" s="16"/>
      <c r="L868" s="17"/>
      <c r="M868" s="20"/>
      <c r="N868" s="14"/>
      <c r="O868" s="15"/>
      <c r="P868" s="22"/>
    </row>
    <row r="869" spans="1:16" s="5" customFormat="1" ht="30" customHeight="1" x14ac:dyDescent="0.3">
      <c r="A869" s="305"/>
      <c r="B869" s="306"/>
      <c r="C869" s="394" t="s">
        <v>729</v>
      </c>
      <c r="D869" s="395"/>
      <c r="E869" s="309"/>
      <c r="F869" s="310"/>
      <c r="G869" s="311"/>
      <c r="H869" s="312"/>
      <c r="I869" s="313"/>
      <c r="J869" s="307"/>
      <c r="K869" s="16"/>
      <c r="L869" s="17"/>
      <c r="M869" s="20"/>
      <c r="N869" s="14"/>
      <c r="O869" s="15"/>
      <c r="P869" s="22"/>
    </row>
    <row r="870" spans="1:16" s="5" customFormat="1" ht="15" customHeight="1" x14ac:dyDescent="0.3">
      <c r="A870" s="319" t="s">
        <v>92</v>
      </c>
      <c r="B870" s="306"/>
      <c r="C870" s="307"/>
      <c r="D870" s="308" t="s">
        <v>730</v>
      </c>
      <c r="E870" s="309">
        <v>1</v>
      </c>
      <c r="F870" s="310" t="s">
        <v>100</v>
      </c>
      <c r="G870" s="311"/>
      <c r="H870" s="312"/>
      <c r="I870" s="313"/>
      <c r="J870" s="307"/>
      <c r="K870" s="16"/>
      <c r="L870" s="17"/>
      <c r="M870" s="20"/>
      <c r="N870" s="14"/>
      <c r="O870" s="15"/>
      <c r="P870" s="22"/>
    </row>
    <row r="871" spans="1:16" s="5" customFormat="1" ht="15" customHeight="1" x14ac:dyDescent="0.3">
      <c r="A871" s="430"/>
      <c r="B871" s="402"/>
      <c r="C871" s="431"/>
      <c r="D871" s="404"/>
      <c r="E871" s="432"/>
      <c r="F871" s="433"/>
      <c r="G871" s="407"/>
      <c r="H871" s="408"/>
      <c r="I871" s="409"/>
      <c r="J871" s="307"/>
      <c r="K871" s="16"/>
      <c r="L871" s="17"/>
      <c r="M871" s="20"/>
      <c r="N871" s="14"/>
      <c r="O871" s="15"/>
      <c r="P871" s="22"/>
    </row>
    <row r="872" spans="1:16" s="5" customFormat="1" ht="15" customHeight="1" x14ac:dyDescent="0.3">
      <c r="A872" s="305">
        <v>5.08</v>
      </c>
      <c r="B872" s="306"/>
      <c r="C872" s="461" t="s">
        <v>731</v>
      </c>
      <c r="D872" s="385"/>
      <c r="E872" s="309"/>
      <c r="F872" s="310"/>
      <c r="G872" s="311"/>
      <c r="H872" s="312"/>
      <c r="I872" s="313"/>
      <c r="J872" s="307"/>
      <c r="K872" s="16"/>
      <c r="L872" s="17"/>
      <c r="M872" s="20"/>
      <c r="N872" s="14"/>
      <c r="O872" s="15"/>
      <c r="P872" s="22"/>
    </row>
    <row r="873" spans="1:16" s="5" customFormat="1" ht="15" customHeight="1" x14ac:dyDescent="0.3">
      <c r="A873" s="305"/>
      <c r="B873" s="462"/>
      <c r="C873" s="461"/>
      <c r="D873" s="463"/>
      <c r="E873" s="309"/>
      <c r="F873" s="310"/>
      <c r="G873" s="311"/>
      <c r="H873" s="312"/>
      <c r="I873" s="313"/>
      <c r="J873" s="307"/>
      <c r="K873" s="16"/>
      <c r="L873" s="17"/>
      <c r="M873" s="20"/>
      <c r="N873" s="14"/>
      <c r="O873" s="15"/>
      <c r="P873" s="22"/>
    </row>
    <row r="874" spans="1:16" s="5" customFormat="1" ht="15" customHeight="1" x14ac:dyDescent="0.3">
      <c r="A874" s="305"/>
      <c r="B874" s="306"/>
      <c r="C874" s="390" t="s">
        <v>732</v>
      </c>
      <c r="D874" s="385"/>
      <c r="E874" s="309"/>
      <c r="F874" s="310"/>
      <c r="G874" s="311"/>
      <c r="H874" s="312"/>
      <c r="I874" s="313"/>
      <c r="J874" s="307"/>
      <c r="K874" s="16"/>
      <c r="L874" s="17"/>
      <c r="M874" s="20"/>
      <c r="N874" s="14"/>
      <c r="O874" s="15"/>
      <c r="P874" s="22"/>
    </row>
    <row r="875" spans="1:16" s="5" customFormat="1" ht="31.5" customHeight="1" x14ac:dyDescent="0.3">
      <c r="A875" s="305"/>
      <c r="B875" s="306"/>
      <c r="C875" s="394" t="s">
        <v>733</v>
      </c>
      <c r="D875" s="395" t="s">
        <v>734</v>
      </c>
      <c r="E875" s="309"/>
      <c r="F875" s="310"/>
      <c r="G875" s="311"/>
      <c r="H875" s="312"/>
      <c r="I875" s="313"/>
      <c r="J875" s="307"/>
      <c r="K875" s="16"/>
      <c r="L875" s="17"/>
      <c r="M875" s="20"/>
      <c r="N875" s="14"/>
      <c r="O875" s="15"/>
      <c r="P875" s="22"/>
    </row>
    <row r="876" spans="1:16" s="5" customFormat="1" x14ac:dyDescent="0.3">
      <c r="A876" s="305"/>
      <c r="B876" s="306"/>
      <c r="C876" s="464" t="s">
        <v>735</v>
      </c>
      <c r="D876" s="465"/>
      <c r="E876" s="309"/>
      <c r="F876" s="310"/>
      <c r="G876" s="311"/>
      <c r="H876" s="312"/>
      <c r="I876" s="313"/>
      <c r="J876" s="307"/>
      <c r="K876" s="16"/>
      <c r="L876" s="17"/>
      <c r="M876" s="20"/>
      <c r="N876" s="14"/>
      <c r="O876" s="15"/>
      <c r="P876" s="22"/>
    </row>
    <row r="877" spans="1:16" s="5" customFormat="1" ht="27.6" x14ac:dyDescent="0.25">
      <c r="A877" s="305" t="s">
        <v>19</v>
      </c>
      <c r="B877" s="306"/>
      <c r="C877" s="307"/>
      <c r="D877" s="466" t="s">
        <v>736</v>
      </c>
      <c r="E877" s="309">
        <v>1</v>
      </c>
      <c r="F877" s="310" t="s">
        <v>100</v>
      </c>
      <c r="G877" s="311"/>
      <c r="H877" s="312">
        <f t="shared" ref="H877" si="128">E877*G877</f>
        <v>0</v>
      </c>
      <c r="I877" s="313"/>
      <c r="J877" s="307"/>
      <c r="K877" s="16"/>
      <c r="L877" s="17"/>
      <c r="M877" s="20"/>
      <c r="N877" s="14"/>
      <c r="O877" s="15"/>
      <c r="P877" s="22"/>
    </row>
    <row r="878" spans="1:16" s="5" customFormat="1" x14ac:dyDescent="0.3">
      <c r="A878" s="305"/>
      <c r="B878" s="306"/>
      <c r="C878" s="464" t="s">
        <v>737</v>
      </c>
      <c r="D878" s="465"/>
      <c r="E878" s="309"/>
      <c r="F878" s="310"/>
      <c r="G878" s="311"/>
      <c r="H878" s="312"/>
      <c r="I878" s="313"/>
      <c r="J878" s="307"/>
      <c r="K878" s="16"/>
      <c r="L878" s="17"/>
      <c r="M878" s="20"/>
      <c r="N878" s="14"/>
      <c r="O878" s="15"/>
      <c r="P878" s="22"/>
    </row>
    <row r="879" spans="1:16" s="5" customFormat="1" x14ac:dyDescent="0.25">
      <c r="A879" s="305" t="s">
        <v>22</v>
      </c>
      <c r="B879" s="306"/>
      <c r="C879" s="307"/>
      <c r="D879" s="466" t="s">
        <v>535</v>
      </c>
      <c r="E879" s="309">
        <v>25</v>
      </c>
      <c r="F879" s="310" t="s">
        <v>46</v>
      </c>
      <c r="G879" s="311"/>
      <c r="H879" s="312">
        <f t="shared" ref="H879" si="129">E879*G879</f>
        <v>0</v>
      </c>
      <c r="I879" s="313"/>
      <c r="J879" s="307"/>
      <c r="K879" s="16"/>
      <c r="L879" s="17"/>
      <c r="M879" s="20"/>
      <c r="N879" s="14"/>
      <c r="O879" s="15"/>
      <c r="P879" s="22"/>
    </row>
    <row r="880" spans="1:16" s="5" customFormat="1" x14ac:dyDescent="0.25">
      <c r="A880" s="305"/>
      <c r="B880" s="306"/>
      <c r="C880" s="307"/>
      <c r="D880" s="466"/>
      <c r="E880" s="309"/>
      <c r="F880" s="310"/>
      <c r="G880" s="311"/>
      <c r="H880" s="312"/>
      <c r="I880" s="313"/>
      <c r="J880" s="307"/>
      <c r="K880" s="16"/>
      <c r="L880" s="17"/>
      <c r="M880" s="20"/>
      <c r="N880" s="14"/>
      <c r="O880" s="15"/>
      <c r="P880" s="22"/>
    </row>
    <row r="881" spans="1:16" s="5" customFormat="1" ht="15" customHeight="1" x14ac:dyDescent="0.3">
      <c r="A881" s="305" t="s">
        <v>25</v>
      </c>
      <c r="B881" s="462"/>
      <c r="C881" s="461"/>
      <c r="D881" s="385" t="s">
        <v>738</v>
      </c>
      <c r="E881" s="309">
        <v>1</v>
      </c>
      <c r="F881" s="310" t="s">
        <v>100</v>
      </c>
      <c r="G881" s="311"/>
      <c r="H881" s="312">
        <f t="shared" ref="H881" si="130">E881*G881</f>
        <v>0</v>
      </c>
      <c r="I881" s="313"/>
      <c r="J881" s="307"/>
      <c r="K881" s="16"/>
      <c r="L881" s="17"/>
      <c r="M881" s="20"/>
      <c r="N881" s="14"/>
      <c r="O881" s="15"/>
      <c r="P881" s="22"/>
    </row>
    <row r="882" spans="1:16" s="5" customFormat="1" x14ac:dyDescent="0.25">
      <c r="A882" s="305"/>
      <c r="B882" s="306"/>
      <c r="C882" s="307"/>
      <c r="D882" s="466"/>
      <c r="E882" s="309"/>
      <c r="F882" s="310"/>
      <c r="G882" s="311"/>
      <c r="H882" s="312"/>
      <c r="I882" s="313"/>
      <c r="J882" s="307"/>
      <c r="K882" s="16"/>
      <c r="L882" s="17"/>
      <c r="M882" s="20"/>
      <c r="N882" s="14"/>
      <c r="O882" s="15"/>
      <c r="P882" s="22"/>
    </row>
    <row r="883" spans="1:16" s="5" customFormat="1" ht="15" customHeight="1" x14ac:dyDescent="0.3">
      <c r="A883" s="305"/>
      <c r="B883" s="306"/>
      <c r="C883" s="394" t="s">
        <v>739</v>
      </c>
      <c r="D883" s="395"/>
      <c r="E883" s="309"/>
      <c r="F883" s="310"/>
      <c r="G883" s="311"/>
      <c r="H883" s="312"/>
      <c r="I883" s="313"/>
      <c r="J883" s="307"/>
      <c r="K883" s="16"/>
      <c r="L883" s="17"/>
      <c r="M883" s="20"/>
      <c r="N883" s="14"/>
      <c r="O883" s="15"/>
      <c r="P883" s="22"/>
    </row>
    <row r="884" spans="1:16" s="5" customFormat="1" ht="49.5" customHeight="1" x14ac:dyDescent="0.3">
      <c r="A884" s="305"/>
      <c r="B884" s="306"/>
      <c r="C884" s="394" t="s">
        <v>740</v>
      </c>
      <c r="D884" s="395"/>
      <c r="E884" s="309"/>
      <c r="F884" s="310"/>
      <c r="G884" s="311"/>
      <c r="H884" s="312"/>
      <c r="I884" s="313"/>
      <c r="J884" s="307"/>
      <c r="K884" s="16"/>
      <c r="L884" s="17"/>
      <c r="M884" s="20"/>
      <c r="N884" s="14"/>
      <c r="O884" s="15"/>
      <c r="P884" s="22"/>
    </row>
    <row r="885" spans="1:16" s="5" customFormat="1" x14ac:dyDescent="0.3">
      <c r="A885" s="305" t="s">
        <v>28</v>
      </c>
      <c r="B885" s="306"/>
      <c r="C885" s="467"/>
      <c r="D885" s="398" t="s">
        <v>730</v>
      </c>
      <c r="E885" s="309">
        <v>1</v>
      </c>
      <c r="F885" s="310" t="s">
        <v>100</v>
      </c>
      <c r="G885" s="311"/>
      <c r="H885" s="312"/>
      <c r="I885" s="313"/>
      <c r="J885" s="307"/>
      <c r="K885" s="16"/>
      <c r="L885" s="17"/>
      <c r="M885" s="20"/>
      <c r="N885" s="14"/>
      <c r="O885" s="15"/>
      <c r="P885" s="22"/>
    </row>
    <row r="886" spans="1:16" s="5" customFormat="1" x14ac:dyDescent="0.3">
      <c r="A886" s="305"/>
      <c r="B886" s="306"/>
      <c r="C886" s="467"/>
      <c r="D886" s="398"/>
      <c r="E886" s="309"/>
      <c r="F886" s="310"/>
      <c r="G886" s="311"/>
      <c r="H886" s="312"/>
      <c r="I886" s="313"/>
      <c r="J886" s="307"/>
      <c r="K886" s="16"/>
      <c r="L886" s="17"/>
      <c r="M886" s="20"/>
      <c r="N886" s="14"/>
      <c r="O886" s="15"/>
      <c r="P886" s="22"/>
    </row>
    <row r="887" spans="1:16" s="5" customFormat="1" ht="30" customHeight="1" x14ac:dyDescent="0.3">
      <c r="A887" s="305"/>
      <c r="B887" s="306"/>
      <c r="C887" s="394" t="s">
        <v>741</v>
      </c>
      <c r="D887" s="395"/>
      <c r="E887" s="309"/>
      <c r="F887" s="310"/>
      <c r="G887" s="311"/>
      <c r="H887" s="312"/>
      <c r="I887" s="313"/>
      <c r="J887" s="307"/>
      <c r="K887" s="16"/>
      <c r="L887" s="17"/>
      <c r="M887" s="20"/>
      <c r="N887" s="14"/>
      <c r="O887" s="15"/>
      <c r="P887" s="22"/>
    </row>
    <row r="888" spans="1:16" s="5" customFormat="1" x14ac:dyDescent="0.3">
      <c r="A888" s="305" t="s">
        <v>30</v>
      </c>
      <c r="B888" s="306"/>
      <c r="C888" s="390"/>
      <c r="D888" s="385" t="s">
        <v>742</v>
      </c>
      <c r="E888" s="309">
        <v>3</v>
      </c>
      <c r="F888" s="310" t="s">
        <v>249</v>
      </c>
      <c r="G888" s="311"/>
      <c r="H888" s="312">
        <f t="shared" ref="H888" si="131">E888*G888</f>
        <v>0</v>
      </c>
      <c r="I888" s="313"/>
      <c r="J888" s="307"/>
      <c r="K888" s="16"/>
      <c r="L888" s="17"/>
      <c r="M888" s="20"/>
      <c r="N888" s="14"/>
      <c r="O888" s="15"/>
      <c r="P888" s="22"/>
    </row>
    <row r="889" spans="1:16" s="5" customFormat="1" ht="15" customHeight="1" x14ac:dyDescent="0.3">
      <c r="A889" s="305"/>
      <c r="B889" s="306"/>
      <c r="C889" s="390"/>
      <c r="D889" s="385"/>
      <c r="E889" s="309"/>
      <c r="F889" s="310"/>
      <c r="G889" s="311"/>
      <c r="H889" s="312"/>
      <c r="I889" s="313"/>
      <c r="J889" s="307"/>
      <c r="K889" s="16"/>
      <c r="L889" s="17"/>
      <c r="M889" s="20"/>
      <c r="N889" s="14"/>
      <c r="O889" s="15"/>
      <c r="P889" s="22"/>
    </row>
    <row r="890" spans="1:16" s="5" customFormat="1" ht="15" customHeight="1" x14ac:dyDescent="0.3">
      <c r="A890" s="305"/>
      <c r="B890" s="306"/>
      <c r="C890" s="394" t="s">
        <v>743</v>
      </c>
      <c r="D890" s="395"/>
      <c r="E890" s="309"/>
      <c r="F890" s="310"/>
      <c r="G890" s="311"/>
      <c r="H890" s="312"/>
      <c r="I890" s="313"/>
      <c r="J890" s="307"/>
      <c r="K890" s="16"/>
      <c r="L890" s="17"/>
      <c r="M890" s="20"/>
      <c r="N890" s="14"/>
      <c r="O890" s="15"/>
      <c r="P890" s="22"/>
    </row>
    <row r="891" spans="1:16" s="5" customFormat="1" ht="30" customHeight="1" x14ac:dyDescent="0.3">
      <c r="A891" s="305"/>
      <c r="B891" s="306"/>
      <c r="C891" s="394" t="s">
        <v>744</v>
      </c>
      <c r="D891" s="395"/>
      <c r="E891" s="309"/>
      <c r="F891" s="310"/>
      <c r="G891" s="311"/>
      <c r="H891" s="312"/>
      <c r="I891" s="313"/>
      <c r="J891" s="307"/>
      <c r="K891" s="16"/>
      <c r="L891" s="17"/>
      <c r="M891" s="20"/>
      <c r="N891" s="14"/>
      <c r="O891" s="15"/>
      <c r="P891" s="22"/>
    </row>
    <row r="892" spans="1:16" s="5" customFormat="1" x14ac:dyDescent="0.3">
      <c r="A892" s="305" t="s">
        <v>32</v>
      </c>
      <c r="B892" s="306"/>
      <c r="C892" s="390"/>
      <c r="D892" s="308" t="s">
        <v>745</v>
      </c>
      <c r="E892" s="309">
        <v>1</v>
      </c>
      <c r="F892" s="310" t="s">
        <v>100</v>
      </c>
      <c r="G892" s="311"/>
      <c r="H892" s="312"/>
      <c r="I892" s="313"/>
      <c r="J892" s="307"/>
      <c r="K892" s="16"/>
      <c r="L892" s="17"/>
      <c r="M892" s="20"/>
      <c r="N892" s="14"/>
      <c r="O892" s="15"/>
      <c r="P892" s="22"/>
    </row>
    <row r="893" spans="1:16" s="5" customFormat="1" ht="15" customHeight="1" x14ac:dyDescent="0.3">
      <c r="A893" s="305"/>
      <c r="B893" s="306"/>
      <c r="C893" s="390"/>
      <c r="D893" s="385"/>
      <c r="E893" s="309"/>
      <c r="F893" s="310"/>
      <c r="G893" s="311"/>
      <c r="H893" s="312"/>
      <c r="I893" s="313"/>
      <c r="J893" s="307"/>
      <c r="K893" s="16"/>
      <c r="L893" s="17"/>
      <c r="M893" s="20"/>
      <c r="N893" s="14"/>
      <c r="O893" s="15"/>
      <c r="P893" s="22"/>
    </row>
    <row r="894" spans="1:16" s="5" customFormat="1" ht="30" customHeight="1" x14ac:dyDescent="0.3">
      <c r="A894" s="305"/>
      <c r="B894" s="306"/>
      <c r="C894" s="394" t="s">
        <v>746</v>
      </c>
      <c r="D894" s="395"/>
      <c r="E894" s="309"/>
      <c r="F894" s="310"/>
      <c r="G894" s="311"/>
      <c r="H894" s="312"/>
      <c r="I894" s="313"/>
      <c r="J894" s="307"/>
      <c r="K894" s="16"/>
      <c r="L894" s="17"/>
      <c r="M894" s="20"/>
      <c r="N894" s="14"/>
      <c r="O894" s="15"/>
      <c r="P894" s="22"/>
    </row>
    <row r="895" spans="1:16" s="5" customFormat="1" ht="15" customHeight="1" x14ac:dyDescent="0.3">
      <c r="A895" s="305" t="s">
        <v>34</v>
      </c>
      <c r="B895" s="306"/>
      <c r="C895" s="390"/>
      <c r="D895" s="385" t="s">
        <v>747</v>
      </c>
      <c r="E895" s="309">
        <v>2</v>
      </c>
      <c r="F895" s="310" t="s">
        <v>249</v>
      </c>
      <c r="G895" s="311"/>
      <c r="H895" s="312">
        <f t="shared" ref="H895" si="132">E895*G895</f>
        <v>0</v>
      </c>
      <c r="I895" s="313"/>
      <c r="J895" s="307"/>
      <c r="K895" s="16"/>
      <c r="L895" s="17"/>
      <c r="M895" s="20"/>
      <c r="N895" s="14"/>
      <c r="O895" s="15"/>
      <c r="P895" s="22"/>
    </row>
    <row r="896" spans="1:16" s="5" customFormat="1" ht="15" customHeight="1" x14ac:dyDescent="0.3">
      <c r="A896" s="305"/>
      <c r="B896" s="306"/>
      <c r="C896" s="390"/>
      <c r="D896" s="385"/>
      <c r="E896" s="309"/>
      <c r="F896" s="310"/>
      <c r="G896" s="311"/>
      <c r="H896" s="312"/>
      <c r="I896" s="313"/>
      <c r="J896" s="307"/>
      <c r="K896" s="16"/>
      <c r="L896" s="17"/>
      <c r="M896" s="20"/>
      <c r="N896" s="14"/>
      <c r="O896" s="15"/>
      <c r="P896" s="22"/>
    </row>
    <row r="897" spans="1:16" s="5" customFormat="1" ht="15" customHeight="1" x14ac:dyDescent="0.3">
      <c r="A897" s="305"/>
      <c r="B897" s="306"/>
      <c r="C897" s="390" t="s">
        <v>748</v>
      </c>
      <c r="D897" s="385"/>
      <c r="E897" s="309"/>
      <c r="F897" s="310"/>
      <c r="G897" s="311"/>
      <c r="H897" s="312"/>
      <c r="I897" s="313"/>
      <c r="J897" s="307"/>
      <c r="K897" s="16"/>
      <c r="L897" s="17"/>
      <c r="M897" s="20"/>
      <c r="N897" s="14"/>
      <c r="O897" s="15"/>
      <c r="P897" s="22"/>
    </row>
    <row r="898" spans="1:16" s="5" customFormat="1" ht="15" customHeight="1" x14ac:dyDescent="0.3">
      <c r="A898" s="305"/>
      <c r="B898" s="306"/>
      <c r="C898" s="394" t="s">
        <v>739</v>
      </c>
      <c r="D898" s="395"/>
      <c r="E898" s="309"/>
      <c r="F898" s="310"/>
      <c r="G898" s="311"/>
      <c r="H898" s="312"/>
      <c r="I898" s="313"/>
      <c r="J898" s="307"/>
      <c r="K898" s="16"/>
      <c r="L898" s="17"/>
      <c r="M898" s="20"/>
      <c r="N898" s="14"/>
      <c r="O898" s="15"/>
      <c r="P898" s="22"/>
    </row>
    <row r="899" spans="1:16" s="5" customFormat="1" ht="41.4" customHeight="1" x14ac:dyDescent="0.3">
      <c r="A899" s="305"/>
      <c r="B899" s="306"/>
      <c r="C899" s="394" t="s">
        <v>749</v>
      </c>
      <c r="D899" s="395"/>
      <c r="E899" s="309"/>
      <c r="F899" s="310"/>
      <c r="G899" s="311"/>
      <c r="H899" s="312"/>
      <c r="I899" s="313"/>
      <c r="J899" s="307"/>
      <c r="K899" s="16"/>
      <c r="L899" s="17"/>
      <c r="M899" s="20"/>
      <c r="N899" s="14"/>
      <c r="O899" s="15"/>
      <c r="P899" s="22"/>
    </row>
    <row r="900" spans="1:16" s="5" customFormat="1" x14ac:dyDescent="0.3">
      <c r="A900" s="305" t="s">
        <v>36</v>
      </c>
      <c r="B900" s="306"/>
      <c r="C900" s="396"/>
      <c r="D900" s="398" t="s">
        <v>730</v>
      </c>
      <c r="E900" s="309">
        <v>1</v>
      </c>
      <c r="F900" s="310" t="s">
        <v>100</v>
      </c>
      <c r="G900" s="311"/>
      <c r="H900" s="312"/>
      <c r="I900" s="313"/>
      <c r="J900" s="307"/>
      <c r="K900" s="16"/>
      <c r="L900" s="17"/>
      <c r="M900" s="20"/>
      <c r="N900" s="14"/>
      <c r="O900" s="15"/>
      <c r="P900" s="22"/>
    </row>
    <row r="901" spans="1:16" s="5" customFormat="1" x14ac:dyDescent="0.3">
      <c r="A901" s="305"/>
      <c r="B901" s="306"/>
      <c r="C901" s="396"/>
      <c r="D901" s="398"/>
      <c r="E901" s="309"/>
      <c r="F901" s="310"/>
      <c r="G901" s="311"/>
      <c r="H901" s="312"/>
      <c r="I901" s="313"/>
      <c r="J901" s="307"/>
      <c r="K901" s="16"/>
      <c r="L901" s="17"/>
      <c r="M901" s="20"/>
      <c r="N901" s="14"/>
      <c r="O901" s="15"/>
      <c r="P901" s="22"/>
    </row>
    <row r="902" spans="1:16" s="5" customFormat="1" ht="30" customHeight="1" x14ac:dyDescent="0.3">
      <c r="A902" s="305"/>
      <c r="B902" s="306"/>
      <c r="C902" s="394" t="s">
        <v>750</v>
      </c>
      <c r="D902" s="395"/>
      <c r="E902" s="309"/>
      <c r="F902" s="310"/>
      <c r="G902" s="311"/>
      <c r="H902" s="312"/>
      <c r="I902" s="313"/>
      <c r="J902" s="307"/>
      <c r="K902" s="16"/>
      <c r="L902" s="17"/>
      <c r="M902" s="20"/>
      <c r="N902" s="14"/>
      <c r="O902" s="15"/>
      <c r="P902" s="22"/>
    </row>
    <row r="903" spans="1:16" s="5" customFormat="1" ht="15" customHeight="1" x14ac:dyDescent="0.3">
      <c r="A903" s="305" t="s">
        <v>39</v>
      </c>
      <c r="B903" s="306"/>
      <c r="C903" s="390"/>
      <c r="D903" s="385" t="s">
        <v>751</v>
      </c>
      <c r="E903" s="309">
        <v>1</v>
      </c>
      <c r="F903" s="310" t="s">
        <v>249</v>
      </c>
      <c r="G903" s="311"/>
      <c r="H903" s="312">
        <f t="shared" ref="H903" si="133">E903*G903</f>
        <v>0</v>
      </c>
      <c r="I903" s="313"/>
      <c r="J903" s="307"/>
      <c r="K903" s="16"/>
      <c r="L903" s="17"/>
      <c r="M903" s="20"/>
      <c r="N903" s="14"/>
      <c r="O903" s="15"/>
      <c r="P903" s="22"/>
    </row>
    <row r="904" spans="1:16" s="5" customFormat="1" ht="15" customHeight="1" x14ac:dyDescent="0.3">
      <c r="A904" s="305"/>
      <c r="B904" s="306"/>
      <c r="C904" s="390"/>
      <c r="D904" s="385"/>
      <c r="E904" s="309"/>
      <c r="F904" s="310"/>
      <c r="G904" s="311"/>
      <c r="H904" s="312"/>
      <c r="I904" s="313"/>
      <c r="J904" s="307"/>
      <c r="K904" s="16"/>
      <c r="L904" s="17"/>
      <c r="M904" s="20"/>
      <c r="N904" s="14"/>
      <c r="O904" s="15"/>
      <c r="P904" s="22"/>
    </row>
    <row r="905" spans="1:16" s="5" customFormat="1" ht="29.25" customHeight="1" x14ac:dyDescent="0.3">
      <c r="A905" s="305"/>
      <c r="B905" s="306"/>
      <c r="C905" s="394" t="s">
        <v>752</v>
      </c>
      <c r="D905" s="395"/>
      <c r="E905" s="309"/>
      <c r="F905" s="310"/>
      <c r="G905" s="311"/>
      <c r="H905" s="312"/>
      <c r="I905" s="313"/>
      <c r="J905" s="307"/>
      <c r="K905" s="16"/>
      <c r="L905" s="17"/>
      <c r="M905" s="20"/>
      <c r="N905" s="14"/>
      <c r="O905" s="15"/>
      <c r="P905" s="22"/>
    </row>
    <row r="906" spans="1:16" s="5" customFormat="1" ht="15" customHeight="1" x14ac:dyDescent="0.3">
      <c r="A906" s="305" t="s">
        <v>42</v>
      </c>
      <c r="B906" s="306"/>
      <c r="C906" s="390"/>
      <c r="D906" s="385" t="s">
        <v>753</v>
      </c>
      <c r="E906" s="309">
        <v>2</v>
      </c>
      <c r="F906" s="310" t="s">
        <v>249</v>
      </c>
      <c r="G906" s="311"/>
      <c r="H906" s="312">
        <f t="shared" ref="H906" si="134">E906*G906</f>
        <v>0</v>
      </c>
      <c r="I906" s="313"/>
      <c r="J906" s="307"/>
      <c r="K906" s="16"/>
      <c r="L906" s="17"/>
      <c r="M906" s="20"/>
      <c r="N906" s="14"/>
      <c r="O906" s="15"/>
      <c r="P906" s="22"/>
    </row>
    <row r="907" spans="1:16" s="5" customFormat="1" ht="15" customHeight="1" x14ac:dyDescent="0.3">
      <c r="A907" s="305"/>
      <c r="B907" s="306"/>
      <c r="C907" s="390"/>
      <c r="D907" s="385"/>
      <c r="E907" s="309"/>
      <c r="F907" s="310"/>
      <c r="G907" s="311"/>
      <c r="H907" s="312"/>
      <c r="I907" s="313"/>
      <c r="J907" s="307"/>
      <c r="K907" s="16"/>
      <c r="L907" s="17"/>
      <c r="M907" s="20"/>
      <c r="N907" s="14"/>
      <c r="O907" s="15"/>
      <c r="P907" s="22"/>
    </row>
    <row r="908" spans="1:16" s="5" customFormat="1" ht="30" customHeight="1" x14ac:dyDescent="0.3">
      <c r="A908" s="305"/>
      <c r="B908" s="306"/>
      <c r="C908" s="394" t="s">
        <v>754</v>
      </c>
      <c r="D908" s="395"/>
      <c r="E908" s="309"/>
      <c r="F908" s="310"/>
      <c r="G908" s="311"/>
      <c r="H908" s="312"/>
      <c r="I908" s="313"/>
      <c r="J908" s="307"/>
      <c r="K908" s="16"/>
      <c r="L908" s="17"/>
      <c r="M908" s="20"/>
      <c r="N908" s="14"/>
      <c r="O908" s="15"/>
      <c r="P908" s="22"/>
    </row>
    <row r="909" spans="1:16" s="5" customFormat="1" x14ac:dyDescent="0.3">
      <c r="A909" s="305" t="s">
        <v>44</v>
      </c>
      <c r="B909" s="306"/>
      <c r="C909" s="390"/>
      <c r="D909" s="385" t="s">
        <v>755</v>
      </c>
      <c r="E909" s="309">
        <v>2</v>
      </c>
      <c r="F909" s="310" t="s">
        <v>249</v>
      </c>
      <c r="G909" s="311"/>
      <c r="H909" s="312">
        <f t="shared" ref="H909" si="135">E909*G909</f>
        <v>0</v>
      </c>
      <c r="I909" s="313"/>
      <c r="J909" s="307"/>
      <c r="K909" s="16"/>
      <c r="L909" s="17"/>
      <c r="M909" s="20"/>
      <c r="N909" s="14"/>
      <c r="O909" s="15"/>
      <c r="P909" s="22"/>
    </row>
    <row r="910" spans="1:16" s="5" customFormat="1" ht="15" customHeight="1" x14ac:dyDescent="0.3">
      <c r="A910" s="305"/>
      <c r="B910" s="306"/>
      <c r="C910" s="390"/>
      <c r="D910" s="385"/>
      <c r="E910" s="309"/>
      <c r="F910" s="310"/>
      <c r="G910" s="311"/>
      <c r="H910" s="312"/>
      <c r="I910" s="313"/>
      <c r="J910" s="307"/>
      <c r="K910" s="16"/>
      <c r="L910" s="17"/>
      <c r="M910" s="20"/>
      <c r="N910" s="14"/>
      <c r="O910" s="15"/>
      <c r="P910" s="22"/>
    </row>
    <row r="911" spans="1:16" s="5" customFormat="1" ht="15" customHeight="1" x14ac:dyDescent="0.3">
      <c r="A911" s="305"/>
      <c r="B911" s="306"/>
      <c r="C911" s="390" t="s">
        <v>756</v>
      </c>
      <c r="D911" s="385"/>
      <c r="E911" s="309"/>
      <c r="F911" s="310"/>
      <c r="G911" s="311"/>
      <c r="H911" s="312"/>
      <c r="I911" s="313"/>
      <c r="J911" s="307"/>
      <c r="K911" s="16"/>
      <c r="L911" s="17"/>
      <c r="M911" s="20"/>
      <c r="N911" s="14"/>
      <c r="O911" s="15"/>
      <c r="P911" s="22"/>
    </row>
    <row r="912" spans="1:16" s="5" customFormat="1" ht="15" customHeight="1" x14ac:dyDescent="0.3">
      <c r="A912" s="305"/>
      <c r="B912" s="306"/>
      <c r="C912" s="394" t="s">
        <v>739</v>
      </c>
      <c r="D912" s="395"/>
      <c r="E912" s="309"/>
      <c r="F912" s="310"/>
      <c r="G912" s="311"/>
      <c r="H912" s="312"/>
      <c r="I912" s="313"/>
      <c r="J912" s="307"/>
      <c r="K912" s="16"/>
      <c r="L912" s="17"/>
      <c r="M912" s="20"/>
      <c r="N912" s="14"/>
      <c r="O912" s="15"/>
      <c r="P912" s="22"/>
    </row>
    <row r="913" spans="1:16" s="5" customFormat="1" ht="41.4" customHeight="1" x14ac:dyDescent="0.3">
      <c r="A913" s="305"/>
      <c r="B913" s="306"/>
      <c r="C913" s="394" t="s">
        <v>757</v>
      </c>
      <c r="D913" s="395"/>
      <c r="E913" s="309"/>
      <c r="F913" s="310"/>
      <c r="G913" s="311"/>
      <c r="H913" s="312"/>
      <c r="I913" s="313"/>
      <c r="J913" s="307"/>
      <c r="K913" s="16"/>
      <c r="L913" s="17"/>
      <c r="M913" s="20"/>
      <c r="N913" s="14"/>
      <c r="O913" s="15"/>
      <c r="P913" s="22"/>
    </row>
    <row r="914" spans="1:16" s="5" customFormat="1" x14ac:dyDescent="0.3">
      <c r="A914" s="305" t="s">
        <v>46</v>
      </c>
      <c r="B914" s="306"/>
      <c r="C914" s="467"/>
      <c r="D914" s="398" t="s">
        <v>730</v>
      </c>
      <c r="E914" s="309">
        <v>1</v>
      </c>
      <c r="F914" s="310" t="s">
        <v>100</v>
      </c>
      <c r="G914" s="311"/>
      <c r="H914" s="312"/>
      <c r="I914" s="313"/>
      <c r="J914" s="307"/>
      <c r="K914" s="16"/>
      <c r="L914" s="17"/>
      <c r="M914" s="20"/>
      <c r="N914" s="14"/>
      <c r="O914" s="15"/>
      <c r="P914" s="22"/>
    </row>
    <row r="915" spans="1:16" s="5" customFormat="1" x14ac:dyDescent="0.3">
      <c r="A915" s="305"/>
      <c r="B915" s="306"/>
      <c r="C915" s="467"/>
      <c r="D915" s="398"/>
      <c r="E915" s="309"/>
      <c r="F915" s="310"/>
      <c r="G915" s="311"/>
      <c r="H915" s="312"/>
      <c r="I915" s="313"/>
      <c r="J915" s="307"/>
      <c r="K915" s="16"/>
      <c r="L915" s="17"/>
      <c r="M915" s="20"/>
      <c r="N915" s="14"/>
      <c r="O915" s="15"/>
      <c r="P915" s="22"/>
    </row>
    <row r="916" spans="1:16" s="5" customFormat="1" ht="15" customHeight="1" x14ac:dyDescent="0.3">
      <c r="A916" s="305"/>
      <c r="B916" s="306"/>
      <c r="C916" s="394" t="s">
        <v>758</v>
      </c>
      <c r="D916" s="395" t="s">
        <v>734</v>
      </c>
      <c r="E916" s="309"/>
      <c r="F916" s="310"/>
      <c r="G916" s="311"/>
      <c r="H916" s="312"/>
      <c r="I916" s="313"/>
      <c r="J916" s="307"/>
      <c r="K916" s="16"/>
      <c r="L916" s="17"/>
      <c r="M916" s="20"/>
      <c r="N916" s="14"/>
      <c r="O916" s="15"/>
      <c r="P916" s="22"/>
    </row>
    <row r="917" spans="1:16" s="5" customFormat="1" ht="30" customHeight="1" x14ac:dyDescent="0.3">
      <c r="A917" s="305"/>
      <c r="B917" s="306"/>
      <c r="C917" s="394" t="s">
        <v>759</v>
      </c>
      <c r="D917" s="395"/>
      <c r="E917" s="309"/>
      <c r="F917" s="310"/>
      <c r="G917" s="311"/>
      <c r="H917" s="312"/>
      <c r="I917" s="313"/>
      <c r="J917" s="307"/>
      <c r="K917" s="16"/>
      <c r="L917" s="17"/>
      <c r="M917" s="20"/>
      <c r="N917" s="14"/>
      <c r="O917" s="15"/>
      <c r="P917" s="22"/>
    </row>
    <row r="918" spans="1:16" s="5" customFormat="1" ht="15" customHeight="1" x14ac:dyDescent="0.3">
      <c r="A918" s="305"/>
      <c r="B918" s="306"/>
      <c r="C918" s="390" t="s">
        <v>760</v>
      </c>
      <c r="D918" s="398"/>
      <c r="E918" s="309"/>
      <c r="F918" s="310"/>
      <c r="G918" s="311"/>
      <c r="H918" s="312"/>
      <c r="I918" s="313"/>
      <c r="J918" s="307"/>
      <c r="K918" s="16"/>
      <c r="L918" s="17"/>
      <c r="M918" s="20"/>
      <c r="N918" s="14"/>
      <c r="O918" s="15"/>
      <c r="P918" s="22"/>
    </row>
    <row r="919" spans="1:16" s="5" customFormat="1" ht="15" customHeight="1" x14ac:dyDescent="0.3">
      <c r="A919" s="305" t="s">
        <v>48</v>
      </c>
      <c r="B919" s="306"/>
      <c r="C919" s="390"/>
      <c r="D919" s="398" t="s">
        <v>761</v>
      </c>
      <c r="E919" s="309">
        <v>176</v>
      </c>
      <c r="F919" s="310" t="s">
        <v>46</v>
      </c>
      <c r="G919" s="311"/>
      <c r="H919" s="312">
        <f t="shared" ref="H919:H927" si="136">E919*G919</f>
        <v>0</v>
      </c>
      <c r="I919" s="313"/>
      <c r="J919" s="307"/>
      <c r="K919" s="16"/>
      <c r="L919" s="17"/>
      <c r="M919" s="20"/>
      <c r="N919" s="14"/>
      <c r="O919" s="15"/>
      <c r="P919" s="22"/>
    </row>
    <row r="920" spans="1:16" s="5" customFormat="1" ht="15" customHeight="1" x14ac:dyDescent="0.3">
      <c r="A920" s="305" t="s">
        <v>50</v>
      </c>
      <c r="B920" s="306"/>
      <c r="C920" s="390"/>
      <c r="D920" s="398" t="s">
        <v>762</v>
      </c>
      <c r="E920" s="309">
        <v>475</v>
      </c>
      <c r="F920" s="310" t="s">
        <v>46</v>
      </c>
      <c r="G920" s="311"/>
      <c r="H920" s="312">
        <f t="shared" si="136"/>
        <v>0</v>
      </c>
      <c r="I920" s="313"/>
      <c r="J920" s="307"/>
      <c r="K920" s="16"/>
      <c r="L920" s="17"/>
      <c r="M920" s="20"/>
      <c r="N920" s="14"/>
      <c r="O920" s="15"/>
      <c r="P920" s="22"/>
    </row>
    <row r="921" spans="1:16" s="5" customFormat="1" ht="15" customHeight="1" x14ac:dyDescent="0.3">
      <c r="A921" s="305" t="s">
        <v>52</v>
      </c>
      <c r="B921" s="306"/>
      <c r="C921" s="390"/>
      <c r="D921" s="398" t="s">
        <v>763</v>
      </c>
      <c r="E921" s="309">
        <f>465+3985</f>
        <v>4450</v>
      </c>
      <c r="F921" s="310" t="s">
        <v>46</v>
      </c>
      <c r="G921" s="311"/>
      <c r="H921" s="312">
        <f t="shared" si="136"/>
        <v>0</v>
      </c>
      <c r="I921" s="313"/>
      <c r="J921" s="307"/>
      <c r="K921" s="16"/>
      <c r="L921" s="17"/>
      <c r="M921" s="20"/>
      <c r="N921" s="14"/>
      <c r="O921" s="15"/>
      <c r="P921" s="22"/>
    </row>
    <row r="922" spans="1:16" s="5" customFormat="1" ht="15" customHeight="1" x14ac:dyDescent="0.3">
      <c r="A922" s="305" t="s">
        <v>54</v>
      </c>
      <c r="B922" s="306"/>
      <c r="C922" s="390"/>
      <c r="D922" s="398" t="s">
        <v>764</v>
      </c>
      <c r="E922" s="309">
        <v>113</v>
      </c>
      <c r="F922" s="310" t="s">
        <v>46</v>
      </c>
      <c r="G922" s="311"/>
      <c r="H922" s="312">
        <f t="shared" si="136"/>
        <v>0</v>
      </c>
      <c r="I922" s="313"/>
      <c r="J922" s="307"/>
      <c r="K922" s="16"/>
      <c r="L922" s="17"/>
      <c r="M922" s="20"/>
      <c r="N922" s="14"/>
      <c r="O922" s="15"/>
      <c r="P922" s="22"/>
    </row>
    <row r="923" spans="1:16" s="5" customFormat="1" ht="15" customHeight="1" x14ac:dyDescent="0.3">
      <c r="A923" s="305" t="s">
        <v>56</v>
      </c>
      <c r="B923" s="306"/>
      <c r="C923" s="390"/>
      <c r="D923" s="398" t="s">
        <v>765</v>
      </c>
      <c r="E923" s="309">
        <f>306+266</f>
        <v>572</v>
      </c>
      <c r="F923" s="310" t="s">
        <v>46</v>
      </c>
      <c r="G923" s="311"/>
      <c r="H923" s="312">
        <f t="shared" si="136"/>
        <v>0</v>
      </c>
      <c r="I923" s="313"/>
      <c r="J923" s="307"/>
      <c r="K923" s="16"/>
      <c r="L923" s="17"/>
      <c r="M923" s="20"/>
      <c r="N923" s="14"/>
      <c r="O923" s="15"/>
      <c r="P923" s="22"/>
    </row>
    <row r="924" spans="1:16" s="5" customFormat="1" ht="15" customHeight="1" x14ac:dyDescent="0.3">
      <c r="A924" s="305" t="s">
        <v>58</v>
      </c>
      <c r="B924" s="306"/>
      <c r="C924" s="390"/>
      <c r="D924" s="398" t="s">
        <v>766</v>
      </c>
      <c r="E924" s="309">
        <f>532+281</f>
        <v>813</v>
      </c>
      <c r="F924" s="310" t="s">
        <v>46</v>
      </c>
      <c r="G924" s="311"/>
      <c r="H924" s="312">
        <f t="shared" si="136"/>
        <v>0</v>
      </c>
      <c r="I924" s="313"/>
      <c r="J924" s="307"/>
      <c r="K924" s="16"/>
      <c r="L924" s="17"/>
      <c r="M924" s="20"/>
      <c r="N924" s="14"/>
      <c r="O924" s="15"/>
      <c r="P924" s="22"/>
    </row>
    <row r="925" spans="1:16" s="5" customFormat="1" ht="15" customHeight="1" x14ac:dyDescent="0.3">
      <c r="A925" s="305" t="s">
        <v>60</v>
      </c>
      <c r="B925" s="306"/>
      <c r="C925" s="390"/>
      <c r="D925" s="398" t="s">
        <v>767</v>
      </c>
      <c r="E925" s="309">
        <f>161+329</f>
        <v>490</v>
      </c>
      <c r="F925" s="310" t="s">
        <v>46</v>
      </c>
      <c r="G925" s="311"/>
      <c r="H925" s="312">
        <f t="shared" si="136"/>
        <v>0</v>
      </c>
      <c r="I925" s="313"/>
      <c r="J925" s="307"/>
      <c r="K925" s="16"/>
      <c r="L925" s="17"/>
      <c r="M925" s="20"/>
      <c r="N925" s="14"/>
      <c r="O925" s="15"/>
      <c r="P925" s="22"/>
    </row>
    <row r="926" spans="1:16" s="5" customFormat="1" ht="15" customHeight="1" x14ac:dyDescent="0.3">
      <c r="A926" s="305" t="s">
        <v>62</v>
      </c>
      <c r="B926" s="306"/>
      <c r="C926" s="390"/>
      <c r="D926" s="398" t="s">
        <v>768</v>
      </c>
      <c r="E926" s="309">
        <f>7+13</f>
        <v>20</v>
      </c>
      <c r="F926" s="310" t="s">
        <v>46</v>
      </c>
      <c r="G926" s="311"/>
      <c r="H926" s="312">
        <f t="shared" si="136"/>
        <v>0</v>
      </c>
      <c r="I926" s="313"/>
      <c r="J926" s="307"/>
      <c r="K926" s="16"/>
      <c r="L926" s="17"/>
      <c r="M926" s="20"/>
      <c r="N926" s="14"/>
      <c r="O926" s="15"/>
      <c r="P926" s="22"/>
    </row>
    <row r="927" spans="1:16" s="5" customFormat="1" ht="15" customHeight="1" x14ac:dyDescent="0.3">
      <c r="A927" s="305" t="s">
        <v>64</v>
      </c>
      <c r="B927" s="306"/>
      <c r="C927" s="390"/>
      <c r="D927" s="398" t="s">
        <v>769</v>
      </c>
      <c r="E927" s="309">
        <f>547+4</f>
        <v>551</v>
      </c>
      <c r="F927" s="310" t="s">
        <v>46</v>
      </c>
      <c r="G927" s="311"/>
      <c r="H927" s="312">
        <f t="shared" si="136"/>
        <v>0</v>
      </c>
      <c r="I927" s="313"/>
      <c r="J927" s="307"/>
      <c r="K927" s="16"/>
      <c r="L927" s="17"/>
      <c r="M927" s="20"/>
      <c r="N927" s="14"/>
      <c r="O927" s="15"/>
      <c r="P927" s="22"/>
    </row>
    <row r="928" spans="1:16" s="5" customFormat="1" ht="15" customHeight="1" x14ac:dyDescent="0.3">
      <c r="A928" s="401"/>
      <c r="B928" s="402"/>
      <c r="C928" s="403"/>
      <c r="D928" s="413"/>
      <c r="E928" s="432"/>
      <c r="F928" s="433"/>
      <c r="G928" s="407"/>
      <c r="H928" s="408"/>
      <c r="I928" s="409"/>
      <c r="J928" s="307"/>
      <c r="K928" s="16"/>
      <c r="L928" s="17"/>
      <c r="M928" s="20"/>
      <c r="N928" s="14"/>
      <c r="O928" s="15"/>
      <c r="P928" s="22"/>
    </row>
    <row r="929" spans="1:16" s="5" customFormat="1" ht="15" customHeight="1" x14ac:dyDescent="0.3">
      <c r="A929" s="305"/>
      <c r="B929" s="306"/>
      <c r="C929" s="390" t="s">
        <v>770</v>
      </c>
      <c r="D929" s="398"/>
      <c r="E929" s="309"/>
      <c r="F929" s="310"/>
      <c r="G929" s="311"/>
      <c r="H929" s="312"/>
      <c r="I929" s="313"/>
      <c r="J929" s="307"/>
      <c r="K929" s="16"/>
      <c r="L929" s="17"/>
      <c r="M929" s="20"/>
      <c r="N929" s="14"/>
      <c r="O929" s="15"/>
      <c r="P929" s="22"/>
    </row>
    <row r="930" spans="1:16" s="5" customFormat="1" ht="15" customHeight="1" x14ac:dyDescent="0.3">
      <c r="A930" s="305" t="s">
        <v>66</v>
      </c>
      <c r="B930" s="306"/>
      <c r="C930" s="390"/>
      <c r="D930" s="398" t="s">
        <v>762</v>
      </c>
      <c r="E930" s="309">
        <v>689</v>
      </c>
      <c r="F930" s="310" t="s">
        <v>46</v>
      </c>
      <c r="G930" s="311"/>
      <c r="H930" s="312">
        <f t="shared" ref="H930:H934" si="137">E930*G930</f>
        <v>0</v>
      </c>
      <c r="I930" s="313"/>
      <c r="J930" s="307"/>
      <c r="K930" s="16"/>
      <c r="L930" s="17"/>
      <c r="M930" s="20"/>
      <c r="N930" s="14"/>
      <c r="O930" s="15"/>
      <c r="P930" s="22"/>
    </row>
    <row r="931" spans="1:16" s="5" customFormat="1" ht="15" customHeight="1" x14ac:dyDescent="0.3">
      <c r="A931" s="305" t="s">
        <v>68</v>
      </c>
      <c r="B931" s="306"/>
      <c r="C931" s="390"/>
      <c r="D931" s="398" t="s">
        <v>763</v>
      </c>
      <c r="E931" s="309">
        <v>335</v>
      </c>
      <c r="F931" s="310" t="s">
        <v>46</v>
      </c>
      <c r="G931" s="311"/>
      <c r="H931" s="312">
        <f t="shared" si="137"/>
        <v>0</v>
      </c>
      <c r="I931" s="313"/>
      <c r="J931" s="307"/>
      <c r="K931" s="16"/>
      <c r="L931" s="17"/>
      <c r="M931" s="20"/>
      <c r="N931" s="14"/>
      <c r="O931" s="15"/>
      <c r="P931" s="22"/>
    </row>
    <row r="932" spans="1:16" s="5" customFormat="1" ht="15" customHeight="1" x14ac:dyDescent="0.3">
      <c r="A932" s="305" t="s">
        <v>71</v>
      </c>
      <c r="B932" s="306"/>
      <c r="C932" s="390"/>
      <c r="D932" s="398" t="s">
        <v>765</v>
      </c>
      <c r="E932" s="309">
        <v>153</v>
      </c>
      <c r="F932" s="310" t="s">
        <v>46</v>
      </c>
      <c r="G932" s="311"/>
      <c r="H932" s="312">
        <f t="shared" si="137"/>
        <v>0</v>
      </c>
      <c r="I932" s="313"/>
      <c r="J932" s="307"/>
      <c r="K932" s="16"/>
      <c r="L932" s="17"/>
      <c r="M932" s="20"/>
      <c r="N932" s="14"/>
      <c r="O932" s="15"/>
      <c r="P932" s="22"/>
    </row>
    <row r="933" spans="1:16" s="5" customFormat="1" ht="15" customHeight="1" x14ac:dyDescent="0.3">
      <c r="A933" s="305" t="s">
        <v>73</v>
      </c>
      <c r="B933" s="306"/>
      <c r="C933" s="390"/>
      <c r="D933" s="398" t="s">
        <v>767</v>
      </c>
      <c r="E933" s="309">
        <v>469</v>
      </c>
      <c r="F933" s="310" t="s">
        <v>46</v>
      </c>
      <c r="G933" s="311"/>
      <c r="H933" s="312">
        <f t="shared" si="137"/>
        <v>0</v>
      </c>
      <c r="I933" s="313"/>
      <c r="J933" s="307"/>
      <c r="K933" s="16"/>
      <c r="L933" s="17"/>
      <c r="M933" s="20"/>
      <c r="N933" s="14"/>
      <c r="O933" s="15"/>
      <c r="P933" s="22"/>
    </row>
    <row r="934" spans="1:16" s="5" customFormat="1" ht="15" customHeight="1" x14ac:dyDescent="0.3">
      <c r="A934" s="305" t="s">
        <v>75</v>
      </c>
      <c r="B934" s="306"/>
      <c r="C934" s="390"/>
      <c r="D934" s="398" t="s">
        <v>769</v>
      </c>
      <c r="E934" s="309">
        <v>667</v>
      </c>
      <c r="F934" s="310" t="s">
        <v>46</v>
      </c>
      <c r="G934" s="311"/>
      <c r="H934" s="312">
        <f t="shared" si="137"/>
        <v>0</v>
      </c>
      <c r="I934" s="313"/>
      <c r="J934" s="307"/>
      <c r="K934" s="16"/>
      <c r="L934" s="17"/>
      <c r="M934" s="20"/>
      <c r="N934" s="14"/>
      <c r="O934" s="15"/>
      <c r="P934" s="22"/>
    </row>
    <row r="935" spans="1:16" s="5" customFormat="1" ht="15" customHeight="1" x14ac:dyDescent="0.3">
      <c r="A935" s="305"/>
      <c r="B935" s="306"/>
      <c r="C935" s="390"/>
      <c r="D935" s="398"/>
      <c r="E935" s="309"/>
      <c r="F935" s="310"/>
      <c r="G935" s="311"/>
      <c r="H935" s="312"/>
      <c r="I935" s="313"/>
      <c r="J935" s="307"/>
      <c r="K935" s="16"/>
      <c r="L935" s="17"/>
      <c r="M935" s="20"/>
      <c r="N935" s="14"/>
      <c r="O935" s="15"/>
      <c r="P935" s="22"/>
    </row>
    <row r="936" spans="1:16" s="5" customFormat="1" ht="45.15" customHeight="1" x14ac:dyDescent="0.3">
      <c r="A936" s="305"/>
      <c r="B936" s="306"/>
      <c r="C936" s="394" t="s">
        <v>771</v>
      </c>
      <c r="D936" s="395"/>
      <c r="E936" s="309"/>
      <c r="F936" s="310"/>
      <c r="G936" s="311"/>
      <c r="H936" s="312"/>
      <c r="I936" s="313"/>
      <c r="J936" s="307"/>
      <c r="K936" s="16"/>
      <c r="L936" s="17"/>
      <c r="M936" s="20"/>
      <c r="N936" s="14"/>
      <c r="O936" s="15"/>
      <c r="P936" s="22"/>
    </row>
    <row r="937" spans="1:16" s="5" customFormat="1" ht="15" customHeight="1" x14ac:dyDescent="0.3">
      <c r="A937" s="305" t="s">
        <v>77</v>
      </c>
      <c r="B937" s="306"/>
      <c r="C937" s="390"/>
      <c r="D937" s="385" t="s">
        <v>772</v>
      </c>
      <c r="E937" s="309">
        <v>1</v>
      </c>
      <c r="F937" s="310" t="s">
        <v>249</v>
      </c>
      <c r="G937" s="311"/>
      <c r="H937" s="312">
        <f t="shared" ref="H937:H939" si="138">E937*G937</f>
        <v>0</v>
      </c>
      <c r="I937" s="313"/>
      <c r="J937" s="307"/>
      <c r="K937" s="16"/>
      <c r="L937" s="17"/>
      <c r="M937" s="20"/>
      <c r="N937" s="14"/>
      <c r="O937" s="15"/>
      <c r="P937" s="22"/>
    </row>
    <row r="938" spans="1:16" s="5" customFormat="1" ht="15" customHeight="1" x14ac:dyDescent="0.3">
      <c r="A938" s="305" t="s">
        <v>80</v>
      </c>
      <c r="B938" s="306"/>
      <c r="C938" s="390"/>
      <c r="D938" s="385" t="s">
        <v>773</v>
      </c>
      <c r="E938" s="309">
        <v>1</v>
      </c>
      <c r="F938" s="310" t="s">
        <v>249</v>
      </c>
      <c r="G938" s="311"/>
      <c r="H938" s="312">
        <f t="shared" si="138"/>
        <v>0</v>
      </c>
      <c r="I938" s="313"/>
      <c r="J938" s="307"/>
      <c r="K938" s="16"/>
      <c r="L938" s="17"/>
      <c r="M938" s="20"/>
      <c r="N938" s="14"/>
      <c r="O938" s="15"/>
      <c r="P938" s="22"/>
    </row>
    <row r="939" spans="1:16" s="5" customFormat="1" ht="15" customHeight="1" x14ac:dyDescent="0.3">
      <c r="A939" s="305" t="s">
        <v>81</v>
      </c>
      <c r="B939" s="306"/>
      <c r="C939" s="390"/>
      <c r="D939" s="385" t="s">
        <v>774</v>
      </c>
      <c r="E939" s="309">
        <v>1</v>
      </c>
      <c r="F939" s="310" t="s">
        <v>249</v>
      </c>
      <c r="G939" s="311"/>
      <c r="H939" s="312">
        <f t="shared" si="138"/>
        <v>0</v>
      </c>
      <c r="I939" s="313"/>
      <c r="J939" s="307"/>
      <c r="K939" s="16"/>
      <c r="L939" s="17"/>
      <c r="M939" s="20"/>
      <c r="N939" s="14"/>
      <c r="O939" s="15"/>
      <c r="P939" s="22"/>
    </row>
    <row r="940" spans="1:16" s="5" customFormat="1" ht="15" customHeight="1" x14ac:dyDescent="0.3">
      <c r="A940" s="305"/>
      <c r="B940" s="306"/>
      <c r="C940" s="390"/>
      <c r="D940" s="385"/>
      <c r="E940" s="309"/>
      <c r="F940" s="310"/>
      <c r="G940" s="311"/>
      <c r="H940" s="312"/>
      <c r="I940" s="313"/>
      <c r="J940" s="307"/>
      <c r="K940" s="16"/>
      <c r="L940" s="17"/>
      <c r="M940" s="20"/>
      <c r="N940" s="14"/>
      <c r="O940" s="15"/>
      <c r="P940" s="22"/>
    </row>
    <row r="941" spans="1:16" s="5" customFormat="1" ht="45.15" customHeight="1" x14ac:dyDescent="0.3">
      <c r="A941" s="305"/>
      <c r="B941" s="306"/>
      <c r="C941" s="394" t="s">
        <v>775</v>
      </c>
      <c r="D941" s="395"/>
      <c r="E941" s="309"/>
      <c r="F941" s="310"/>
      <c r="G941" s="311"/>
      <c r="H941" s="312"/>
      <c r="I941" s="313"/>
      <c r="J941" s="307"/>
      <c r="K941" s="16"/>
      <c r="L941" s="17"/>
      <c r="M941" s="20"/>
      <c r="N941" s="14"/>
      <c r="O941" s="15"/>
      <c r="P941" s="22"/>
    </row>
    <row r="942" spans="1:16" s="5" customFormat="1" ht="15" customHeight="1" x14ac:dyDescent="0.3">
      <c r="A942" s="305" t="s">
        <v>83</v>
      </c>
      <c r="B942" s="306"/>
      <c r="C942" s="390"/>
      <c r="D942" s="385" t="s">
        <v>776</v>
      </c>
      <c r="E942" s="309">
        <v>1</v>
      </c>
      <c r="F942" s="310" t="s">
        <v>249</v>
      </c>
      <c r="G942" s="311"/>
      <c r="H942" s="312">
        <f t="shared" ref="H942:H949" si="139">E942*G942</f>
        <v>0</v>
      </c>
      <c r="I942" s="313"/>
      <c r="J942" s="307"/>
      <c r="K942" s="16"/>
      <c r="L942" s="17"/>
      <c r="M942" s="20"/>
      <c r="N942" s="14"/>
      <c r="O942" s="15"/>
      <c r="P942" s="22"/>
    </row>
    <row r="943" spans="1:16" s="5" customFormat="1" ht="15" customHeight="1" x14ac:dyDescent="0.3">
      <c r="A943" s="305" t="s">
        <v>85</v>
      </c>
      <c r="B943" s="306"/>
      <c r="C943" s="390"/>
      <c r="D943" s="385" t="s">
        <v>777</v>
      </c>
      <c r="E943" s="309">
        <v>1</v>
      </c>
      <c r="F943" s="310" t="s">
        <v>249</v>
      </c>
      <c r="G943" s="311"/>
      <c r="H943" s="312">
        <f t="shared" si="139"/>
        <v>0</v>
      </c>
      <c r="I943" s="313"/>
      <c r="J943" s="307"/>
      <c r="K943" s="16"/>
      <c r="L943" s="17"/>
      <c r="M943" s="20"/>
      <c r="N943" s="14"/>
      <c r="O943" s="15"/>
      <c r="P943" s="22"/>
    </row>
    <row r="944" spans="1:16" s="5" customFormat="1" ht="15" customHeight="1" x14ac:dyDescent="0.3">
      <c r="A944" s="305" t="s">
        <v>87</v>
      </c>
      <c r="B944" s="306"/>
      <c r="C944" s="390"/>
      <c r="D944" s="385" t="s">
        <v>778</v>
      </c>
      <c r="E944" s="309">
        <v>1</v>
      </c>
      <c r="F944" s="310" t="s">
        <v>249</v>
      </c>
      <c r="G944" s="311"/>
      <c r="H944" s="312">
        <f t="shared" si="139"/>
        <v>0</v>
      </c>
      <c r="I944" s="313"/>
      <c r="J944" s="307"/>
      <c r="K944" s="16"/>
      <c r="L944" s="17"/>
      <c r="M944" s="20"/>
      <c r="N944" s="14"/>
      <c r="O944" s="15"/>
      <c r="P944" s="22"/>
    </row>
    <row r="945" spans="1:16" s="5" customFormat="1" ht="15" customHeight="1" x14ac:dyDescent="0.3">
      <c r="A945" s="305" t="s">
        <v>89</v>
      </c>
      <c r="B945" s="306"/>
      <c r="C945" s="390"/>
      <c r="D945" s="385" t="s">
        <v>779</v>
      </c>
      <c r="E945" s="309">
        <v>1</v>
      </c>
      <c r="F945" s="310" t="s">
        <v>249</v>
      </c>
      <c r="G945" s="311"/>
      <c r="H945" s="312">
        <f t="shared" si="139"/>
        <v>0</v>
      </c>
      <c r="I945" s="313"/>
      <c r="J945" s="307"/>
      <c r="K945" s="16"/>
      <c r="L945" s="17"/>
      <c r="M945" s="20"/>
      <c r="N945" s="14"/>
      <c r="O945" s="15"/>
      <c r="P945" s="22"/>
    </row>
    <row r="946" spans="1:16" s="5" customFormat="1" ht="15" customHeight="1" x14ac:dyDescent="0.3">
      <c r="A946" s="305" t="s">
        <v>91</v>
      </c>
      <c r="B946" s="306"/>
      <c r="C946" s="390"/>
      <c r="D946" s="385" t="s">
        <v>780</v>
      </c>
      <c r="E946" s="309">
        <v>1</v>
      </c>
      <c r="F946" s="310" t="s">
        <v>249</v>
      </c>
      <c r="G946" s="311"/>
      <c r="H946" s="312">
        <f t="shared" si="139"/>
        <v>0</v>
      </c>
      <c r="I946" s="313"/>
      <c r="J946" s="307"/>
      <c r="K946" s="16"/>
      <c r="L946" s="17"/>
      <c r="M946" s="20"/>
      <c r="N946" s="14"/>
      <c r="O946" s="15"/>
      <c r="P946" s="22"/>
    </row>
    <row r="947" spans="1:16" s="5" customFormat="1" ht="15" customHeight="1" x14ac:dyDescent="0.3">
      <c r="A947" s="305" t="s">
        <v>92</v>
      </c>
      <c r="B947" s="306"/>
      <c r="C947" s="390"/>
      <c r="D947" s="385" t="s">
        <v>781</v>
      </c>
      <c r="E947" s="309">
        <v>1</v>
      </c>
      <c r="F947" s="310" t="s">
        <v>249</v>
      </c>
      <c r="G947" s="311"/>
      <c r="H947" s="312">
        <f t="shared" si="139"/>
        <v>0</v>
      </c>
      <c r="I947" s="313"/>
      <c r="J947" s="307"/>
      <c r="K947" s="16"/>
      <c r="L947" s="17"/>
      <c r="M947" s="20"/>
      <c r="N947" s="14"/>
      <c r="O947" s="15"/>
      <c r="P947" s="22"/>
    </row>
    <row r="948" spans="1:16" s="5" customFormat="1" ht="15" customHeight="1" x14ac:dyDescent="0.3">
      <c r="A948" s="305" t="s">
        <v>94</v>
      </c>
      <c r="B948" s="306"/>
      <c r="C948" s="390"/>
      <c r="D948" s="385" t="s">
        <v>782</v>
      </c>
      <c r="E948" s="309">
        <v>1</v>
      </c>
      <c r="F948" s="310" t="s">
        <v>249</v>
      </c>
      <c r="G948" s="311"/>
      <c r="H948" s="312">
        <f t="shared" si="139"/>
        <v>0</v>
      </c>
      <c r="I948" s="313"/>
      <c r="J948" s="307"/>
      <c r="K948" s="16"/>
      <c r="L948" s="17"/>
      <c r="M948" s="20"/>
      <c r="N948" s="14"/>
      <c r="O948" s="15"/>
      <c r="P948" s="22"/>
    </row>
    <row r="949" spans="1:16" s="5" customFormat="1" ht="15" customHeight="1" x14ac:dyDescent="0.3">
      <c r="A949" s="305" t="s">
        <v>95</v>
      </c>
      <c r="B949" s="306"/>
      <c r="C949" s="390"/>
      <c r="D949" s="385" t="s">
        <v>783</v>
      </c>
      <c r="E949" s="309">
        <v>1</v>
      </c>
      <c r="F949" s="310" t="s">
        <v>249</v>
      </c>
      <c r="G949" s="311"/>
      <c r="H949" s="312">
        <f t="shared" si="139"/>
        <v>0</v>
      </c>
      <c r="I949" s="313"/>
      <c r="J949" s="307"/>
      <c r="K949" s="16"/>
      <c r="L949" s="17"/>
      <c r="M949" s="20"/>
      <c r="N949" s="14"/>
      <c r="O949" s="15"/>
      <c r="P949" s="22"/>
    </row>
    <row r="950" spans="1:16" s="5" customFormat="1" ht="15" customHeight="1" x14ac:dyDescent="0.3">
      <c r="A950" s="305"/>
      <c r="B950" s="306"/>
      <c r="C950" s="390"/>
      <c r="D950" s="385"/>
      <c r="E950" s="309"/>
      <c r="F950" s="310"/>
      <c r="G950" s="311"/>
      <c r="H950" s="312"/>
      <c r="I950" s="313"/>
      <c r="J950" s="307"/>
      <c r="K950" s="16"/>
      <c r="L950" s="17"/>
      <c r="M950" s="20"/>
      <c r="N950" s="14"/>
      <c r="O950" s="15"/>
      <c r="P950" s="22"/>
    </row>
    <row r="951" spans="1:16" s="5" customFormat="1" ht="45.15" customHeight="1" x14ac:dyDescent="0.3">
      <c r="A951" s="305"/>
      <c r="B951" s="306"/>
      <c r="C951" s="394" t="s">
        <v>784</v>
      </c>
      <c r="D951" s="395"/>
      <c r="E951" s="309"/>
      <c r="F951" s="310"/>
      <c r="G951" s="311"/>
      <c r="H951" s="312"/>
      <c r="I951" s="313"/>
      <c r="J951" s="307"/>
      <c r="K951" s="16"/>
      <c r="L951" s="17"/>
      <c r="M951" s="20"/>
      <c r="N951" s="14"/>
      <c r="O951" s="15"/>
      <c r="P951" s="22"/>
    </row>
    <row r="952" spans="1:16" s="5" customFormat="1" ht="15" customHeight="1" x14ac:dyDescent="0.3">
      <c r="A952" s="305" t="s">
        <v>98</v>
      </c>
      <c r="B952" s="306"/>
      <c r="C952" s="390"/>
      <c r="D952" s="385" t="s">
        <v>785</v>
      </c>
      <c r="E952" s="309">
        <v>1</v>
      </c>
      <c r="F952" s="310" t="s">
        <v>249</v>
      </c>
      <c r="G952" s="311"/>
      <c r="H952" s="312">
        <f t="shared" ref="H952:H959" si="140">E952*G952</f>
        <v>0</v>
      </c>
      <c r="I952" s="313"/>
      <c r="J952" s="307"/>
      <c r="K952" s="16"/>
      <c r="L952" s="17"/>
      <c r="M952" s="20"/>
      <c r="N952" s="14"/>
      <c r="O952" s="15"/>
      <c r="P952" s="22"/>
    </row>
    <row r="953" spans="1:16" s="5" customFormat="1" ht="15" customHeight="1" x14ac:dyDescent="0.3">
      <c r="A953" s="305" t="s">
        <v>101</v>
      </c>
      <c r="B953" s="306"/>
      <c r="C953" s="390"/>
      <c r="D953" s="385" t="s">
        <v>786</v>
      </c>
      <c r="E953" s="309">
        <v>1</v>
      </c>
      <c r="F953" s="310" t="s">
        <v>249</v>
      </c>
      <c r="G953" s="311"/>
      <c r="H953" s="312">
        <f t="shared" si="140"/>
        <v>0</v>
      </c>
      <c r="I953" s="313"/>
      <c r="J953" s="307"/>
      <c r="K953" s="16"/>
      <c r="L953" s="17"/>
      <c r="M953" s="20"/>
      <c r="N953" s="14"/>
      <c r="O953" s="15"/>
      <c r="P953" s="22"/>
    </row>
    <row r="954" spans="1:16" s="5" customFormat="1" ht="15" customHeight="1" x14ac:dyDescent="0.3">
      <c r="A954" s="305" t="s">
        <v>104</v>
      </c>
      <c r="B954" s="306"/>
      <c r="C954" s="390"/>
      <c r="D954" s="385" t="s">
        <v>787</v>
      </c>
      <c r="E954" s="309">
        <v>1</v>
      </c>
      <c r="F954" s="310" t="s">
        <v>249</v>
      </c>
      <c r="G954" s="311"/>
      <c r="H954" s="312">
        <f t="shared" si="140"/>
        <v>0</v>
      </c>
      <c r="I954" s="313"/>
      <c r="J954" s="307"/>
      <c r="K954" s="16"/>
      <c r="L954" s="17"/>
      <c r="M954" s="20"/>
      <c r="N954" s="14"/>
      <c r="O954" s="15"/>
      <c r="P954" s="22"/>
    </row>
    <row r="955" spans="1:16" s="5" customFormat="1" ht="15" customHeight="1" x14ac:dyDescent="0.3">
      <c r="A955" s="305" t="s">
        <v>106</v>
      </c>
      <c r="B955" s="306"/>
      <c r="C955" s="390"/>
      <c r="D955" s="385" t="s">
        <v>788</v>
      </c>
      <c r="E955" s="309">
        <v>1</v>
      </c>
      <c r="F955" s="310" t="s">
        <v>249</v>
      </c>
      <c r="G955" s="311"/>
      <c r="H955" s="312">
        <f t="shared" si="140"/>
        <v>0</v>
      </c>
      <c r="I955" s="313"/>
      <c r="J955" s="307"/>
      <c r="K955" s="16"/>
      <c r="L955" s="17"/>
      <c r="M955" s="20"/>
      <c r="N955" s="14"/>
      <c r="O955" s="15"/>
      <c r="P955" s="22"/>
    </row>
    <row r="956" spans="1:16" s="5" customFormat="1" ht="15" customHeight="1" x14ac:dyDescent="0.3">
      <c r="A956" s="305" t="s">
        <v>108</v>
      </c>
      <c r="B956" s="306"/>
      <c r="C956" s="390"/>
      <c r="D956" s="385" t="s">
        <v>789</v>
      </c>
      <c r="E956" s="309">
        <v>1</v>
      </c>
      <c r="F956" s="310" t="s">
        <v>249</v>
      </c>
      <c r="G956" s="311"/>
      <c r="H956" s="312">
        <f t="shared" si="140"/>
        <v>0</v>
      </c>
      <c r="I956" s="313"/>
      <c r="J956" s="307"/>
      <c r="K956" s="16"/>
      <c r="L956" s="17"/>
      <c r="M956" s="20"/>
      <c r="N956" s="14"/>
      <c r="O956" s="15"/>
      <c r="P956" s="22"/>
    </row>
    <row r="957" spans="1:16" s="5" customFormat="1" ht="15" customHeight="1" x14ac:dyDescent="0.3">
      <c r="A957" s="305" t="s">
        <v>110</v>
      </c>
      <c r="B957" s="306"/>
      <c r="C957" s="390"/>
      <c r="D957" s="385" t="s">
        <v>790</v>
      </c>
      <c r="E957" s="309">
        <v>1</v>
      </c>
      <c r="F957" s="310" t="s">
        <v>249</v>
      </c>
      <c r="G957" s="311"/>
      <c r="H957" s="312">
        <f t="shared" si="140"/>
        <v>0</v>
      </c>
      <c r="I957" s="313"/>
      <c r="J957" s="307"/>
      <c r="K957" s="16"/>
      <c r="L957" s="17"/>
      <c r="M957" s="20"/>
      <c r="N957" s="14"/>
      <c r="O957" s="15"/>
      <c r="P957" s="22"/>
    </row>
    <row r="958" spans="1:16" s="5" customFormat="1" ht="15" customHeight="1" x14ac:dyDescent="0.3">
      <c r="A958" s="305" t="s">
        <v>112</v>
      </c>
      <c r="B958" s="306"/>
      <c r="C958" s="390"/>
      <c r="D958" s="385" t="s">
        <v>791</v>
      </c>
      <c r="E958" s="309">
        <v>1</v>
      </c>
      <c r="F958" s="310" t="s">
        <v>249</v>
      </c>
      <c r="G958" s="311"/>
      <c r="H958" s="312">
        <f t="shared" si="140"/>
        <v>0</v>
      </c>
      <c r="I958" s="313"/>
      <c r="J958" s="307"/>
      <c r="K958" s="16"/>
      <c r="L958" s="17"/>
      <c r="M958" s="20"/>
      <c r="N958" s="14"/>
      <c r="O958" s="15"/>
      <c r="P958" s="22"/>
    </row>
    <row r="959" spans="1:16" s="5" customFormat="1" ht="15" customHeight="1" x14ac:dyDescent="0.3">
      <c r="A959" s="305" t="s">
        <v>115</v>
      </c>
      <c r="B959" s="306"/>
      <c r="C959" s="390"/>
      <c r="D959" s="385" t="s">
        <v>792</v>
      </c>
      <c r="E959" s="309">
        <v>1</v>
      </c>
      <c r="F959" s="310" t="s">
        <v>249</v>
      </c>
      <c r="G959" s="311"/>
      <c r="H959" s="312">
        <f t="shared" si="140"/>
        <v>0</v>
      </c>
      <c r="I959" s="313"/>
      <c r="J959" s="307"/>
      <c r="K959" s="16"/>
      <c r="L959" s="17"/>
      <c r="M959" s="20"/>
      <c r="N959" s="14"/>
      <c r="O959" s="15"/>
      <c r="P959" s="22"/>
    </row>
    <row r="960" spans="1:16" s="5" customFormat="1" ht="15" customHeight="1" x14ac:dyDescent="0.3">
      <c r="A960" s="305"/>
      <c r="B960" s="306"/>
      <c r="C960" s="390"/>
      <c r="D960" s="385"/>
      <c r="E960" s="309"/>
      <c r="F960" s="310"/>
      <c r="G960" s="311"/>
      <c r="H960" s="312"/>
      <c r="I960" s="313"/>
      <c r="J960" s="307"/>
      <c r="K960" s="16"/>
      <c r="L960" s="17"/>
      <c r="M960" s="20"/>
      <c r="N960" s="14"/>
      <c r="O960" s="15"/>
      <c r="P960" s="22"/>
    </row>
    <row r="961" spans="1:16" s="5" customFormat="1" ht="45.15" customHeight="1" x14ac:dyDescent="0.3">
      <c r="A961" s="305"/>
      <c r="B961" s="306"/>
      <c r="C961" s="394" t="s">
        <v>793</v>
      </c>
      <c r="D961" s="395"/>
      <c r="E961" s="309"/>
      <c r="F961" s="310"/>
      <c r="G961" s="311"/>
      <c r="H961" s="312"/>
      <c r="I961" s="313"/>
      <c r="J961" s="307"/>
      <c r="K961" s="16"/>
      <c r="L961" s="17"/>
      <c r="M961" s="20"/>
      <c r="N961" s="14"/>
      <c r="O961" s="15"/>
      <c r="P961" s="22"/>
    </row>
    <row r="962" spans="1:16" s="5" customFormat="1" ht="15" customHeight="1" x14ac:dyDescent="0.3">
      <c r="A962" s="305" t="s">
        <v>619</v>
      </c>
      <c r="B962" s="306"/>
      <c r="C962" s="390"/>
      <c r="D962" s="385" t="s">
        <v>794</v>
      </c>
      <c r="E962" s="309">
        <v>1</v>
      </c>
      <c r="F962" s="310" t="s">
        <v>249</v>
      </c>
      <c r="G962" s="311"/>
      <c r="H962" s="312">
        <f t="shared" ref="H962:H977" si="141">E962*G962</f>
        <v>0</v>
      </c>
      <c r="I962" s="313"/>
      <c r="J962" s="307"/>
      <c r="K962" s="16"/>
      <c r="L962" s="17"/>
      <c r="M962" s="20"/>
      <c r="N962" s="14"/>
      <c r="O962" s="15"/>
      <c r="P962" s="22"/>
    </row>
    <row r="963" spans="1:16" s="5" customFormat="1" ht="15" customHeight="1" x14ac:dyDescent="0.3">
      <c r="A963" s="305" t="s">
        <v>622</v>
      </c>
      <c r="B963" s="306"/>
      <c r="C963" s="390"/>
      <c r="D963" s="385" t="s">
        <v>795</v>
      </c>
      <c r="E963" s="309">
        <v>1</v>
      </c>
      <c r="F963" s="310" t="s">
        <v>249</v>
      </c>
      <c r="G963" s="311"/>
      <c r="H963" s="312">
        <f t="shared" si="141"/>
        <v>0</v>
      </c>
      <c r="I963" s="313"/>
      <c r="J963" s="307"/>
      <c r="K963" s="16"/>
      <c r="L963" s="17"/>
      <c r="M963" s="20"/>
      <c r="N963" s="14"/>
      <c r="O963" s="15"/>
      <c r="P963" s="22"/>
    </row>
    <row r="964" spans="1:16" s="5" customFormat="1" ht="15" customHeight="1" x14ac:dyDescent="0.3">
      <c r="A964" s="305" t="s">
        <v>624</v>
      </c>
      <c r="B964" s="306"/>
      <c r="C964" s="390"/>
      <c r="D964" s="385" t="s">
        <v>796</v>
      </c>
      <c r="E964" s="309">
        <v>1</v>
      </c>
      <c r="F964" s="310" t="s">
        <v>249</v>
      </c>
      <c r="G964" s="311"/>
      <c r="H964" s="312">
        <f t="shared" si="141"/>
        <v>0</v>
      </c>
      <c r="I964" s="313"/>
      <c r="J964" s="307"/>
      <c r="K964" s="16"/>
      <c r="L964" s="17"/>
      <c r="M964" s="20"/>
      <c r="N964" s="14"/>
      <c r="O964" s="15"/>
      <c r="P964" s="22"/>
    </row>
    <row r="965" spans="1:16" s="5" customFormat="1" ht="15" customHeight="1" x14ac:dyDescent="0.3">
      <c r="A965" s="305" t="s">
        <v>626</v>
      </c>
      <c r="B965" s="306"/>
      <c r="C965" s="390"/>
      <c r="D965" s="385" t="s">
        <v>797</v>
      </c>
      <c r="E965" s="309">
        <v>1</v>
      </c>
      <c r="F965" s="310" t="s">
        <v>249</v>
      </c>
      <c r="G965" s="311"/>
      <c r="H965" s="312">
        <f t="shared" si="141"/>
        <v>0</v>
      </c>
      <c r="I965" s="313"/>
      <c r="J965" s="307"/>
      <c r="K965" s="16"/>
      <c r="L965" s="17"/>
      <c r="M965" s="20"/>
      <c r="N965" s="14"/>
      <c r="O965" s="15"/>
      <c r="P965" s="22"/>
    </row>
    <row r="966" spans="1:16" s="5" customFormat="1" ht="15" customHeight="1" x14ac:dyDescent="0.3">
      <c r="A966" s="305" t="s">
        <v>628</v>
      </c>
      <c r="B966" s="306"/>
      <c r="C966" s="390"/>
      <c r="D966" s="385" t="s">
        <v>798</v>
      </c>
      <c r="E966" s="309">
        <v>1</v>
      </c>
      <c r="F966" s="310" t="s">
        <v>249</v>
      </c>
      <c r="G966" s="311"/>
      <c r="H966" s="312">
        <f t="shared" si="141"/>
        <v>0</v>
      </c>
      <c r="I966" s="313"/>
      <c r="J966" s="307"/>
      <c r="K966" s="16"/>
      <c r="L966" s="17"/>
      <c r="M966" s="20"/>
      <c r="N966" s="14"/>
      <c r="O966" s="15"/>
      <c r="P966" s="22"/>
    </row>
    <row r="967" spans="1:16" s="5" customFormat="1" ht="15" customHeight="1" x14ac:dyDescent="0.3">
      <c r="A967" s="305" t="s">
        <v>629</v>
      </c>
      <c r="B967" s="306"/>
      <c r="C967" s="390"/>
      <c r="D967" s="385" t="s">
        <v>799</v>
      </c>
      <c r="E967" s="309">
        <v>1</v>
      </c>
      <c r="F967" s="310" t="s">
        <v>249</v>
      </c>
      <c r="G967" s="311"/>
      <c r="H967" s="312">
        <f t="shared" si="141"/>
        <v>0</v>
      </c>
      <c r="I967" s="313"/>
      <c r="J967" s="307"/>
      <c r="K967" s="16"/>
      <c r="L967" s="17"/>
      <c r="M967" s="20"/>
      <c r="N967" s="14"/>
      <c r="O967" s="15"/>
      <c r="P967" s="22"/>
    </row>
    <row r="968" spans="1:16" s="5" customFormat="1" ht="15" customHeight="1" x14ac:dyDescent="0.3">
      <c r="A968" s="305" t="s">
        <v>630</v>
      </c>
      <c r="B968" s="306"/>
      <c r="C968" s="390"/>
      <c r="D968" s="385" t="s">
        <v>800</v>
      </c>
      <c r="E968" s="309">
        <v>1</v>
      </c>
      <c r="F968" s="310" t="s">
        <v>249</v>
      </c>
      <c r="G968" s="311"/>
      <c r="H968" s="312">
        <f t="shared" si="141"/>
        <v>0</v>
      </c>
      <c r="I968" s="313"/>
      <c r="J968" s="307"/>
      <c r="K968" s="16"/>
      <c r="L968" s="17"/>
      <c r="M968" s="20"/>
      <c r="N968" s="14"/>
      <c r="O968" s="15"/>
      <c r="P968" s="22"/>
    </row>
    <row r="969" spans="1:16" s="5" customFormat="1" ht="15" customHeight="1" x14ac:dyDescent="0.3">
      <c r="A969" s="305" t="s">
        <v>631</v>
      </c>
      <c r="B969" s="306"/>
      <c r="C969" s="390"/>
      <c r="D969" s="385" t="s">
        <v>801</v>
      </c>
      <c r="E969" s="309">
        <v>1</v>
      </c>
      <c r="F969" s="310" t="s">
        <v>249</v>
      </c>
      <c r="G969" s="311"/>
      <c r="H969" s="312">
        <f t="shared" si="141"/>
        <v>0</v>
      </c>
      <c r="I969" s="313"/>
      <c r="J969" s="307"/>
      <c r="K969" s="16"/>
      <c r="L969" s="17"/>
      <c r="M969" s="20"/>
      <c r="N969" s="14"/>
      <c r="O969" s="15"/>
      <c r="P969" s="22"/>
    </row>
    <row r="970" spans="1:16" s="5" customFormat="1" ht="15" customHeight="1" x14ac:dyDescent="0.3">
      <c r="A970" s="305" t="s">
        <v>633</v>
      </c>
      <c r="B970" s="306"/>
      <c r="C970" s="390"/>
      <c r="D970" s="385" t="s">
        <v>802</v>
      </c>
      <c r="E970" s="309">
        <v>1</v>
      </c>
      <c r="F970" s="310" t="s">
        <v>249</v>
      </c>
      <c r="G970" s="311"/>
      <c r="H970" s="312">
        <f t="shared" si="141"/>
        <v>0</v>
      </c>
      <c r="I970" s="313"/>
      <c r="J970" s="307"/>
      <c r="K970" s="16"/>
      <c r="L970" s="17"/>
      <c r="M970" s="20"/>
      <c r="N970" s="14"/>
      <c r="O970" s="15"/>
      <c r="P970" s="22"/>
    </row>
    <row r="971" spans="1:16" s="5" customFormat="1" ht="15" customHeight="1" x14ac:dyDescent="0.3">
      <c r="A971" s="305" t="s">
        <v>635</v>
      </c>
      <c r="B971" s="306"/>
      <c r="C971" s="390"/>
      <c r="D971" s="385" t="s">
        <v>803</v>
      </c>
      <c r="E971" s="309">
        <v>1</v>
      </c>
      <c r="F971" s="310" t="s">
        <v>249</v>
      </c>
      <c r="G971" s="311"/>
      <c r="H971" s="312">
        <f t="shared" si="141"/>
        <v>0</v>
      </c>
      <c r="I971" s="313"/>
      <c r="J971" s="307"/>
      <c r="K971" s="16"/>
      <c r="L971" s="17"/>
      <c r="M971" s="20"/>
      <c r="N971" s="14"/>
      <c r="O971" s="15"/>
      <c r="P971" s="22"/>
    </row>
    <row r="972" spans="1:16" s="5" customFormat="1" ht="15" customHeight="1" x14ac:dyDescent="0.3">
      <c r="A972" s="305" t="s">
        <v>637</v>
      </c>
      <c r="B972" s="306"/>
      <c r="C972" s="390"/>
      <c r="D972" s="385" t="s">
        <v>804</v>
      </c>
      <c r="E972" s="309">
        <v>1</v>
      </c>
      <c r="F972" s="310" t="s">
        <v>249</v>
      </c>
      <c r="G972" s="311"/>
      <c r="H972" s="312">
        <f t="shared" si="141"/>
        <v>0</v>
      </c>
      <c r="I972" s="313"/>
      <c r="J972" s="307"/>
      <c r="K972" s="16"/>
      <c r="L972" s="17"/>
      <c r="M972" s="20"/>
      <c r="N972" s="14"/>
      <c r="O972" s="15"/>
      <c r="P972" s="22"/>
    </row>
    <row r="973" spans="1:16" s="5" customFormat="1" ht="15" customHeight="1" x14ac:dyDescent="0.3">
      <c r="A973" s="305" t="s">
        <v>639</v>
      </c>
      <c r="B973" s="306"/>
      <c r="C973" s="390"/>
      <c r="D973" s="385" t="s">
        <v>805</v>
      </c>
      <c r="E973" s="309">
        <v>1</v>
      </c>
      <c r="F973" s="310" t="s">
        <v>249</v>
      </c>
      <c r="G973" s="311"/>
      <c r="H973" s="312">
        <f t="shared" si="141"/>
        <v>0</v>
      </c>
      <c r="I973" s="313"/>
      <c r="J973" s="307"/>
      <c r="K973" s="16"/>
      <c r="L973" s="17"/>
      <c r="M973" s="20"/>
      <c r="N973" s="14"/>
      <c r="O973" s="15"/>
      <c r="P973" s="22"/>
    </row>
    <row r="974" spans="1:16" s="5" customFormat="1" ht="15" customHeight="1" x14ac:dyDescent="0.3">
      <c r="A974" s="305" t="s">
        <v>641</v>
      </c>
      <c r="B974" s="306"/>
      <c r="C974" s="390"/>
      <c r="D974" s="385" t="s">
        <v>806</v>
      </c>
      <c r="E974" s="309">
        <v>1</v>
      </c>
      <c r="F974" s="310" t="s">
        <v>249</v>
      </c>
      <c r="G974" s="311"/>
      <c r="H974" s="312">
        <f t="shared" si="141"/>
        <v>0</v>
      </c>
      <c r="I974" s="313"/>
      <c r="J974" s="307"/>
      <c r="K974" s="16"/>
      <c r="L974" s="17"/>
      <c r="M974" s="20"/>
      <c r="N974" s="14"/>
      <c r="O974" s="15"/>
      <c r="P974" s="22"/>
    </row>
    <row r="975" spans="1:16" s="5" customFormat="1" ht="15" customHeight="1" x14ac:dyDescent="0.3">
      <c r="A975" s="305" t="s">
        <v>643</v>
      </c>
      <c r="B975" s="306"/>
      <c r="C975" s="390"/>
      <c r="D975" s="385" t="s">
        <v>807</v>
      </c>
      <c r="E975" s="309">
        <v>1</v>
      </c>
      <c r="F975" s="310" t="s">
        <v>249</v>
      </c>
      <c r="G975" s="311"/>
      <c r="H975" s="312">
        <f t="shared" si="141"/>
        <v>0</v>
      </c>
      <c r="I975" s="313"/>
      <c r="J975" s="307"/>
      <c r="K975" s="16"/>
      <c r="L975" s="17"/>
      <c r="M975" s="20"/>
      <c r="N975" s="14"/>
      <c r="O975" s="15"/>
      <c r="P975" s="22"/>
    </row>
    <row r="976" spans="1:16" s="5" customFormat="1" ht="15" customHeight="1" x14ac:dyDescent="0.3">
      <c r="A976" s="305" t="s">
        <v>645</v>
      </c>
      <c r="B976" s="306"/>
      <c r="C976" s="390"/>
      <c r="D976" s="385" t="s">
        <v>808</v>
      </c>
      <c r="E976" s="309">
        <v>1</v>
      </c>
      <c r="F976" s="310" t="s">
        <v>249</v>
      </c>
      <c r="G976" s="311"/>
      <c r="H976" s="312">
        <f t="shared" si="141"/>
        <v>0</v>
      </c>
      <c r="I976" s="313"/>
      <c r="J976" s="307"/>
      <c r="K976" s="16"/>
      <c r="L976" s="17"/>
      <c r="M976" s="20"/>
      <c r="N976" s="14"/>
      <c r="O976" s="15"/>
      <c r="P976" s="22"/>
    </row>
    <row r="977" spans="1:16" s="5" customFormat="1" ht="15" customHeight="1" x14ac:dyDescent="0.3">
      <c r="A977" s="305" t="s">
        <v>647</v>
      </c>
      <c r="B977" s="306"/>
      <c r="C977" s="390"/>
      <c r="D977" s="385" t="s">
        <v>809</v>
      </c>
      <c r="E977" s="309">
        <v>1</v>
      </c>
      <c r="F977" s="310" t="s">
        <v>249</v>
      </c>
      <c r="G977" s="311"/>
      <c r="H977" s="312">
        <f t="shared" si="141"/>
        <v>0</v>
      </c>
      <c r="I977" s="313"/>
      <c r="J977" s="307"/>
      <c r="K977" s="16"/>
      <c r="L977" s="17"/>
      <c r="M977" s="20"/>
      <c r="N977" s="14"/>
      <c r="O977" s="15"/>
      <c r="P977" s="22"/>
    </row>
    <row r="978" spans="1:16" s="5" customFormat="1" ht="15" customHeight="1" x14ac:dyDescent="0.3">
      <c r="A978" s="305"/>
      <c r="B978" s="306"/>
      <c r="C978" s="390"/>
      <c r="D978" s="385"/>
      <c r="E978" s="309"/>
      <c r="F978" s="310"/>
      <c r="G978" s="311"/>
      <c r="H978" s="312"/>
      <c r="I978" s="313"/>
      <c r="J978" s="307"/>
      <c r="K978" s="16"/>
      <c r="L978" s="17"/>
      <c r="M978" s="20"/>
      <c r="N978" s="14"/>
      <c r="O978" s="15"/>
      <c r="P978" s="22"/>
    </row>
    <row r="979" spans="1:16" s="5" customFormat="1" ht="45.15" customHeight="1" x14ac:dyDescent="0.3">
      <c r="A979" s="305"/>
      <c r="B979" s="306"/>
      <c r="C979" s="394" t="s">
        <v>810</v>
      </c>
      <c r="D979" s="395"/>
      <c r="E979" s="309"/>
      <c r="F979" s="310"/>
      <c r="G979" s="311"/>
      <c r="H979" s="312"/>
      <c r="I979" s="313"/>
      <c r="J979" s="307"/>
      <c r="K979" s="16"/>
      <c r="L979" s="17"/>
      <c r="M979" s="20"/>
      <c r="N979" s="14"/>
      <c r="O979" s="15"/>
      <c r="P979" s="22"/>
    </row>
    <row r="980" spans="1:16" s="5" customFormat="1" ht="15" customHeight="1" x14ac:dyDescent="0.3">
      <c r="A980" s="305" t="s">
        <v>649</v>
      </c>
      <c r="B980" s="306"/>
      <c r="C980" s="390"/>
      <c r="D980" s="385" t="s">
        <v>811</v>
      </c>
      <c r="E980" s="309">
        <v>1</v>
      </c>
      <c r="F980" s="310" t="s">
        <v>249</v>
      </c>
      <c r="G980" s="311"/>
      <c r="H980" s="312">
        <f t="shared" ref="H980:H982" si="142">E980*G980</f>
        <v>0</v>
      </c>
      <c r="I980" s="313"/>
      <c r="J980" s="307"/>
      <c r="K980" s="16"/>
      <c r="L980" s="17"/>
      <c r="M980" s="20"/>
      <c r="N980" s="14"/>
      <c r="O980" s="15"/>
      <c r="P980" s="22"/>
    </row>
    <row r="981" spans="1:16" s="5" customFormat="1" ht="15" customHeight="1" x14ac:dyDescent="0.3">
      <c r="A981" s="305" t="s">
        <v>651</v>
      </c>
      <c r="B981" s="306"/>
      <c r="C981" s="390"/>
      <c r="D981" s="385" t="s">
        <v>812</v>
      </c>
      <c r="E981" s="309">
        <v>1</v>
      </c>
      <c r="F981" s="310" t="s">
        <v>249</v>
      </c>
      <c r="G981" s="311"/>
      <c r="H981" s="312">
        <f t="shared" si="142"/>
        <v>0</v>
      </c>
      <c r="I981" s="313"/>
      <c r="J981" s="307"/>
      <c r="K981" s="16"/>
      <c r="L981" s="17"/>
      <c r="M981" s="20"/>
      <c r="N981" s="14"/>
      <c r="O981" s="15"/>
      <c r="P981" s="22"/>
    </row>
    <row r="982" spans="1:16" s="5" customFormat="1" ht="15" customHeight="1" x14ac:dyDescent="0.3">
      <c r="A982" s="305" t="s">
        <v>653</v>
      </c>
      <c r="B982" s="306"/>
      <c r="C982" s="390"/>
      <c r="D982" s="385" t="s">
        <v>813</v>
      </c>
      <c r="E982" s="309">
        <v>1</v>
      </c>
      <c r="F982" s="310" t="s">
        <v>249</v>
      </c>
      <c r="G982" s="311"/>
      <c r="H982" s="312">
        <f t="shared" si="142"/>
        <v>0</v>
      </c>
      <c r="I982" s="313"/>
      <c r="J982" s="307"/>
      <c r="K982" s="16"/>
      <c r="L982" s="17"/>
      <c r="M982" s="20"/>
      <c r="N982" s="14"/>
      <c r="O982" s="15"/>
      <c r="P982" s="22"/>
    </row>
    <row r="983" spans="1:16" s="5" customFormat="1" ht="15" customHeight="1" x14ac:dyDescent="0.3">
      <c r="A983" s="305"/>
      <c r="B983" s="306"/>
      <c r="C983" s="390"/>
      <c r="D983" s="385"/>
      <c r="E983" s="309"/>
      <c r="F983" s="310"/>
      <c r="G983" s="311"/>
      <c r="H983" s="312"/>
      <c r="I983" s="313"/>
      <c r="J983" s="307"/>
      <c r="K983" s="16"/>
      <c r="L983" s="17"/>
      <c r="M983" s="20"/>
      <c r="N983" s="14"/>
      <c r="O983" s="15"/>
      <c r="P983" s="22"/>
    </row>
    <row r="984" spans="1:16" s="5" customFormat="1" ht="45.15" customHeight="1" x14ac:dyDescent="0.3">
      <c r="A984" s="417"/>
      <c r="B984" s="418"/>
      <c r="C984" s="457" t="s">
        <v>814</v>
      </c>
      <c r="D984" s="458"/>
      <c r="E984" s="459"/>
      <c r="F984" s="460"/>
      <c r="G984" s="423"/>
      <c r="H984" s="424"/>
      <c r="I984" s="425"/>
      <c r="J984" s="307"/>
      <c r="K984" s="16"/>
      <c r="L984" s="17"/>
      <c r="M984" s="20"/>
      <c r="N984" s="14"/>
      <c r="O984" s="15"/>
      <c r="P984" s="22"/>
    </row>
    <row r="985" spans="1:16" s="5" customFormat="1" ht="15" customHeight="1" x14ac:dyDescent="0.3">
      <c r="A985" s="305" t="s">
        <v>655</v>
      </c>
      <c r="B985" s="306"/>
      <c r="C985" s="390"/>
      <c r="D985" s="385" t="s">
        <v>815</v>
      </c>
      <c r="E985" s="309">
        <v>1</v>
      </c>
      <c r="F985" s="310" t="s">
        <v>249</v>
      </c>
      <c r="G985" s="311"/>
      <c r="H985" s="312">
        <f t="shared" ref="H985:H995" si="143">E985*G985</f>
        <v>0</v>
      </c>
      <c r="I985" s="313"/>
      <c r="J985" s="307"/>
      <c r="K985" s="16"/>
      <c r="L985" s="17"/>
      <c r="M985" s="20"/>
      <c r="N985" s="14"/>
      <c r="O985" s="15"/>
      <c r="P985" s="22"/>
    </row>
    <row r="986" spans="1:16" s="5" customFormat="1" ht="15" customHeight="1" x14ac:dyDescent="0.3">
      <c r="A986" s="305" t="s">
        <v>657</v>
      </c>
      <c r="B986" s="306"/>
      <c r="C986" s="390"/>
      <c r="D986" s="385" t="s">
        <v>816</v>
      </c>
      <c r="E986" s="309">
        <v>1</v>
      </c>
      <c r="F986" s="310" t="s">
        <v>249</v>
      </c>
      <c r="G986" s="311"/>
      <c r="H986" s="312">
        <f t="shared" si="143"/>
        <v>0</v>
      </c>
      <c r="I986" s="313"/>
      <c r="J986" s="307"/>
      <c r="K986" s="16"/>
      <c r="L986" s="17"/>
      <c r="M986" s="20"/>
      <c r="N986" s="14"/>
      <c r="O986" s="15"/>
      <c r="P986" s="22"/>
    </row>
    <row r="987" spans="1:16" s="5" customFormat="1" ht="15" customHeight="1" x14ac:dyDescent="0.3">
      <c r="A987" s="305" t="s">
        <v>659</v>
      </c>
      <c r="B987" s="306"/>
      <c r="C987" s="390"/>
      <c r="D987" s="385" t="s">
        <v>817</v>
      </c>
      <c r="E987" s="309">
        <v>1</v>
      </c>
      <c r="F987" s="310" t="s">
        <v>249</v>
      </c>
      <c r="G987" s="311"/>
      <c r="H987" s="312">
        <f t="shared" si="143"/>
        <v>0</v>
      </c>
      <c r="I987" s="313"/>
      <c r="J987" s="307"/>
      <c r="K987" s="16"/>
      <c r="L987" s="17"/>
      <c r="M987" s="20"/>
      <c r="N987" s="14"/>
      <c r="O987" s="15"/>
      <c r="P987" s="22"/>
    </row>
    <row r="988" spans="1:16" s="5" customFormat="1" ht="15" customHeight="1" x14ac:dyDescent="0.3">
      <c r="A988" s="305" t="s">
        <v>661</v>
      </c>
      <c r="B988" s="306"/>
      <c r="C988" s="390"/>
      <c r="D988" s="385" t="s">
        <v>818</v>
      </c>
      <c r="E988" s="309">
        <v>1</v>
      </c>
      <c r="F988" s="310" t="s">
        <v>249</v>
      </c>
      <c r="G988" s="311"/>
      <c r="H988" s="312">
        <f t="shared" si="143"/>
        <v>0</v>
      </c>
      <c r="I988" s="313"/>
      <c r="J988" s="307"/>
      <c r="K988" s="16"/>
      <c r="L988" s="17"/>
      <c r="M988" s="20"/>
      <c r="N988" s="14"/>
      <c r="O988" s="15"/>
      <c r="P988" s="22"/>
    </row>
    <row r="989" spans="1:16" s="5" customFormat="1" ht="15" customHeight="1" x14ac:dyDescent="0.3">
      <c r="A989" s="305" t="s">
        <v>663</v>
      </c>
      <c r="B989" s="306"/>
      <c r="C989" s="390"/>
      <c r="D989" s="385" t="s">
        <v>819</v>
      </c>
      <c r="E989" s="309">
        <v>1</v>
      </c>
      <c r="F989" s="310" t="s">
        <v>249</v>
      </c>
      <c r="G989" s="311"/>
      <c r="H989" s="312">
        <f t="shared" si="143"/>
        <v>0</v>
      </c>
      <c r="I989" s="313"/>
      <c r="J989" s="307"/>
      <c r="K989" s="16"/>
      <c r="L989" s="17"/>
      <c r="M989" s="20"/>
      <c r="N989" s="14"/>
      <c r="O989" s="15"/>
      <c r="P989" s="22"/>
    </row>
    <row r="990" spans="1:16" s="5" customFormat="1" ht="15" customHeight="1" x14ac:dyDescent="0.3">
      <c r="A990" s="305" t="s">
        <v>664</v>
      </c>
      <c r="B990" s="306"/>
      <c r="C990" s="390"/>
      <c r="D990" s="385" t="s">
        <v>820</v>
      </c>
      <c r="E990" s="309">
        <v>1</v>
      </c>
      <c r="F990" s="310" t="s">
        <v>249</v>
      </c>
      <c r="G990" s="311"/>
      <c r="H990" s="312">
        <f t="shared" si="143"/>
        <v>0</v>
      </c>
      <c r="I990" s="313"/>
      <c r="J990" s="307"/>
      <c r="K990" s="16"/>
      <c r="L990" s="17"/>
      <c r="M990" s="20"/>
      <c r="N990" s="14"/>
      <c r="O990" s="15"/>
      <c r="P990" s="22"/>
    </row>
    <row r="991" spans="1:16" s="5" customFormat="1" ht="15" customHeight="1" x14ac:dyDescent="0.3">
      <c r="A991" s="305" t="s">
        <v>821</v>
      </c>
      <c r="B991" s="306"/>
      <c r="C991" s="390"/>
      <c r="D991" s="385" t="s">
        <v>822</v>
      </c>
      <c r="E991" s="309">
        <v>1</v>
      </c>
      <c r="F991" s="310" t="s">
        <v>249</v>
      </c>
      <c r="G991" s="311"/>
      <c r="H991" s="312">
        <f t="shared" si="143"/>
        <v>0</v>
      </c>
      <c r="I991" s="313"/>
      <c r="J991" s="307"/>
      <c r="K991" s="16"/>
      <c r="L991" s="17"/>
      <c r="M991" s="20"/>
      <c r="N991" s="14"/>
      <c r="O991" s="15"/>
      <c r="P991" s="22"/>
    </row>
    <row r="992" spans="1:16" s="5" customFormat="1" ht="15" customHeight="1" x14ac:dyDescent="0.3">
      <c r="A992" s="305" t="s">
        <v>667</v>
      </c>
      <c r="B992" s="306"/>
      <c r="C992" s="390"/>
      <c r="D992" s="385" t="s">
        <v>823</v>
      </c>
      <c r="E992" s="309">
        <v>1</v>
      </c>
      <c r="F992" s="310" t="s">
        <v>249</v>
      </c>
      <c r="G992" s="311"/>
      <c r="H992" s="312">
        <f t="shared" si="143"/>
        <v>0</v>
      </c>
      <c r="I992" s="313"/>
      <c r="J992" s="307"/>
      <c r="K992" s="16"/>
      <c r="L992" s="17"/>
      <c r="M992" s="20"/>
      <c r="N992" s="14"/>
      <c r="O992" s="15"/>
      <c r="P992" s="22"/>
    </row>
    <row r="993" spans="1:16" s="5" customFormat="1" ht="15" customHeight="1" x14ac:dyDescent="0.3">
      <c r="A993" s="305" t="s">
        <v>670</v>
      </c>
      <c r="B993" s="306"/>
      <c r="C993" s="390"/>
      <c r="D993" s="385" t="s">
        <v>824</v>
      </c>
      <c r="E993" s="309">
        <v>1</v>
      </c>
      <c r="F993" s="310" t="s">
        <v>249</v>
      </c>
      <c r="G993" s="311"/>
      <c r="H993" s="312">
        <f t="shared" si="143"/>
        <v>0</v>
      </c>
      <c r="I993" s="313"/>
      <c r="J993" s="307"/>
      <c r="K993" s="16"/>
      <c r="L993" s="17"/>
      <c r="M993" s="20"/>
      <c r="N993" s="14"/>
      <c r="O993" s="15"/>
      <c r="P993" s="22"/>
    </row>
    <row r="994" spans="1:16" s="5" customFormat="1" ht="15" customHeight="1" x14ac:dyDescent="0.3">
      <c r="A994" s="305" t="s">
        <v>672</v>
      </c>
      <c r="B994" s="306"/>
      <c r="C994" s="390"/>
      <c r="D994" s="385" t="s">
        <v>825</v>
      </c>
      <c r="E994" s="309">
        <v>1</v>
      </c>
      <c r="F994" s="310" t="s">
        <v>249</v>
      </c>
      <c r="G994" s="311"/>
      <c r="H994" s="312">
        <f t="shared" si="143"/>
        <v>0</v>
      </c>
      <c r="I994" s="313"/>
      <c r="J994" s="307"/>
      <c r="K994" s="16"/>
      <c r="L994" s="17"/>
      <c r="M994" s="20"/>
      <c r="N994" s="14"/>
      <c r="O994" s="15"/>
      <c r="P994" s="22"/>
    </row>
    <row r="995" spans="1:16" s="5" customFormat="1" ht="15" customHeight="1" x14ac:dyDescent="0.3">
      <c r="A995" s="305" t="s">
        <v>674</v>
      </c>
      <c r="B995" s="306"/>
      <c r="C995" s="390"/>
      <c r="D995" s="385" t="s">
        <v>826</v>
      </c>
      <c r="E995" s="309">
        <v>1</v>
      </c>
      <c r="F995" s="310" t="s">
        <v>249</v>
      </c>
      <c r="G995" s="311"/>
      <c r="H995" s="312">
        <f t="shared" si="143"/>
        <v>0</v>
      </c>
      <c r="I995" s="313"/>
      <c r="J995" s="307"/>
      <c r="K995" s="16"/>
      <c r="L995" s="17"/>
      <c r="M995" s="20"/>
      <c r="N995" s="14"/>
      <c r="O995" s="15"/>
      <c r="P995" s="22"/>
    </row>
    <row r="996" spans="1:16" s="5" customFormat="1" ht="15" customHeight="1" x14ac:dyDescent="0.3">
      <c r="A996" s="305"/>
      <c r="B996" s="306"/>
      <c r="C996" s="390"/>
      <c r="D996" s="385"/>
      <c r="E996" s="309"/>
      <c r="F996" s="310"/>
      <c r="G996" s="311"/>
      <c r="H996" s="312"/>
      <c r="I996" s="313"/>
      <c r="J996" s="307"/>
      <c r="K996" s="16"/>
      <c r="L996" s="17"/>
      <c r="M996" s="20"/>
      <c r="N996" s="14"/>
      <c r="O996" s="15"/>
      <c r="P996" s="22"/>
    </row>
    <row r="997" spans="1:16" s="5" customFormat="1" ht="30" customHeight="1" x14ac:dyDescent="0.3">
      <c r="A997" s="305"/>
      <c r="B997" s="306"/>
      <c r="C997" s="394" t="s">
        <v>827</v>
      </c>
      <c r="D997" s="395"/>
      <c r="E997" s="309"/>
      <c r="F997" s="310"/>
      <c r="G997" s="311"/>
      <c r="H997" s="312"/>
      <c r="I997" s="313"/>
      <c r="J997" s="307"/>
      <c r="K997" s="16"/>
      <c r="L997" s="17"/>
      <c r="M997" s="20"/>
      <c r="N997" s="14"/>
      <c r="O997" s="15"/>
      <c r="P997" s="22"/>
    </row>
    <row r="998" spans="1:16" s="5" customFormat="1" ht="15" customHeight="1" x14ac:dyDescent="0.3">
      <c r="A998" s="305" t="s">
        <v>676</v>
      </c>
      <c r="B998" s="306"/>
      <c r="C998" s="390"/>
      <c r="D998" s="385" t="s">
        <v>828</v>
      </c>
      <c r="E998" s="309">
        <v>1</v>
      </c>
      <c r="F998" s="310" t="s">
        <v>249</v>
      </c>
      <c r="G998" s="311"/>
      <c r="H998" s="312">
        <f t="shared" ref="H998:H1003" si="144">E998*G998</f>
        <v>0</v>
      </c>
      <c r="I998" s="313"/>
      <c r="J998" s="307"/>
      <c r="K998" s="16"/>
      <c r="L998" s="17"/>
      <c r="M998" s="20"/>
      <c r="N998" s="14"/>
      <c r="O998" s="15"/>
      <c r="P998" s="22"/>
    </row>
    <row r="999" spans="1:16" s="5" customFormat="1" ht="15" customHeight="1" x14ac:dyDescent="0.3">
      <c r="A999" s="305" t="s">
        <v>678</v>
      </c>
      <c r="B999" s="306"/>
      <c r="C999" s="390"/>
      <c r="D999" s="385" t="s">
        <v>829</v>
      </c>
      <c r="E999" s="309">
        <v>2</v>
      </c>
      <c r="F999" s="310" t="s">
        <v>249</v>
      </c>
      <c r="G999" s="311"/>
      <c r="H999" s="312">
        <f t="shared" si="144"/>
        <v>0</v>
      </c>
      <c r="I999" s="313"/>
      <c r="J999" s="307"/>
      <c r="K999" s="16"/>
      <c r="L999" s="17"/>
      <c r="M999" s="20"/>
      <c r="N999" s="14"/>
      <c r="O999" s="15"/>
      <c r="P999" s="22"/>
    </row>
    <row r="1000" spans="1:16" s="5" customFormat="1" ht="15" customHeight="1" x14ac:dyDescent="0.3">
      <c r="A1000" s="305" t="s">
        <v>681</v>
      </c>
      <c r="B1000" s="306"/>
      <c r="C1000" s="390"/>
      <c r="D1000" s="385" t="s">
        <v>830</v>
      </c>
      <c r="E1000" s="309">
        <v>2</v>
      </c>
      <c r="F1000" s="310" t="s">
        <v>249</v>
      </c>
      <c r="G1000" s="311"/>
      <c r="H1000" s="312">
        <f t="shared" si="144"/>
        <v>0</v>
      </c>
      <c r="I1000" s="313"/>
      <c r="J1000" s="307"/>
      <c r="K1000" s="16"/>
      <c r="L1000" s="17"/>
      <c r="M1000" s="20"/>
      <c r="N1000" s="14"/>
      <c r="O1000" s="15"/>
      <c r="P1000" s="22"/>
    </row>
    <row r="1001" spans="1:16" s="5" customFormat="1" ht="15" customHeight="1" x14ac:dyDescent="0.3">
      <c r="A1001" s="305" t="s">
        <v>683</v>
      </c>
      <c r="B1001" s="306"/>
      <c r="C1001" s="390"/>
      <c r="D1001" s="385" t="s">
        <v>831</v>
      </c>
      <c r="E1001" s="309">
        <v>2</v>
      </c>
      <c r="F1001" s="310" t="s">
        <v>249</v>
      </c>
      <c r="G1001" s="311"/>
      <c r="H1001" s="312">
        <f t="shared" si="144"/>
        <v>0</v>
      </c>
      <c r="I1001" s="313"/>
      <c r="J1001" s="307"/>
      <c r="K1001" s="16"/>
      <c r="L1001" s="17"/>
      <c r="M1001" s="20"/>
      <c r="N1001" s="14"/>
      <c r="O1001" s="15"/>
      <c r="P1001" s="22"/>
    </row>
    <row r="1002" spans="1:16" s="5" customFormat="1" ht="15" customHeight="1" x14ac:dyDescent="0.3">
      <c r="A1002" s="305" t="s">
        <v>685</v>
      </c>
      <c r="B1002" s="306"/>
      <c r="C1002" s="390"/>
      <c r="D1002" s="385" t="s">
        <v>832</v>
      </c>
      <c r="E1002" s="309">
        <v>2</v>
      </c>
      <c r="F1002" s="310" t="s">
        <v>249</v>
      </c>
      <c r="G1002" s="311"/>
      <c r="H1002" s="312">
        <f t="shared" si="144"/>
        <v>0</v>
      </c>
      <c r="I1002" s="313"/>
      <c r="J1002" s="307"/>
      <c r="K1002" s="16"/>
      <c r="L1002" s="17"/>
      <c r="M1002" s="20"/>
      <c r="N1002" s="14"/>
      <c r="O1002" s="15"/>
      <c r="P1002" s="22"/>
    </row>
    <row r="1003" spans="1:16" s="5" customFormat="1" ht="15" customHeight="1" x14ac:dyDescent="0.3">
      <c r="A1003" s="305" t="s">
        <v>688</v>
      </c>
      <c r="B1003" s="306"/>
      <c r="C1003" s="390"/>
      <c r="D1003" s="385" t="s">
        <v>833</v>
      </c>
      <c r="E1003" s="309">
        <v>1</v>
      </c>
      <c r="F1003" s="310" t="s">
        <v>249</v>
      </c>
      <c r="G1003" s="311"/>
      <c r="H1003" s="312">
        <f t="shared" si="144"/>
        <v>0</v>
      </c>
      <c r="I1003" s="313"/>
      <c r="J1003" s="307"/>
      <c r="K1003" s="16"/>
      <c r="L1003" s="17"/>
      <c r="M1003" s="20"/>
      <c r="N1003" s="14"/>
      <c r="O1003" s="15"/>
      <c r="P1003" s="22"/>
    </row>
    <row r="1004" spans="1:16" s="5" customFormat="1" ht="15" customHeight="1" x14ac:dyDescent="0.3">
      <c r="A1004" s="305"/>
      <c r="B1004" s="306"/>
      <c r="C1004" s="390"/>
      <c r="D1004" s="385"/>
      <c r="E1004" s="309"/>
      <c r="F1004" s="310"/>
      <c r="G1004" s="311"/>
      <c r="H1004" s="312"/>
      <c r="I1004" s="313"/>
      <c r="J1004" s="307"/>
      <c r="K1004" s="16"/>
      <c r="L1004" s="17"/>
      <c r="M1004" s="20"/>
      <c r="N1004" s="14"/>
      <c r="O1004" s="15"/>
      <c r="P1004" s="22"/>
    </row>
    <row r="1005" spans="1:16" s="5" customFormat="1" ht="45.15" customHeight="1" x14ac:dyDescent="0.3">
      <c r="A1005" s="305"/>
      <c r="B1005" s="306"/>
      <c r="C1005" s="394" t="s">
        <v>834</v>
      </c>
      <c r="D1005" s="395"/>
      <c r="E1005" s="309"/>
      <c r="F1005" s="310"/>
      <c r="G1005" s="311"/>
      <c r="H1005" s="312"/>
      <c r="I1005" s="313"/>
      <c r="J1005" s="307"/>
      <c r="K1005" s="16"/>
      <c r="L1005" s="17"/>
      <c r="M1005" s="20"/>
      <c r="N1005" s="14"/>
      <c r="O1005" s="15"/>
      <c r="P1005" s="22"/>
    </row>
    <row r="1006" spans="1:16" s="5" customFormat="1" ht="15" customHeight="1" x14ac:dyDescent="0.3">
      <c r="A1006" s="305" t="s">
        <v>835</v>
      </c>
      <c r="B1006" s="306"/>
      <c r="C1006" s="390"/>
      <c r="D1006" s="385" t="s">
        <v>836</v>
      </c>
      <c r="E1006" s="309">
        <v>1</v>
      </c>
      <c r="F1006" s="310" t="s">
        <v>249</v>
      </c>
      <c r="G1006" s="311"/>
      <c r="H1006" s="312">
        <f t="shared" ref="H1006:H1015" si="145">E1006*G1006</f>
        <v>0</v>
      </c>
      <c r="I1006" s="313"/>
      <c r="J1006" s="307"/>
      <c r="K1006" s="16"/>
      <c r="L1006" s="17"/>
      <c r="M1006" s="20"/>
      <c r="N1006" s="14"/>
      <c r="O1006" s="15"/>
      <c r="P1006" s="22"/>
    </row>
    <row r="1007" spans="1:16" s="5" customFormat="1" ht="15" customHeight="1" x14ac:dyDescent="0.3">
      <c r="A1007" s="305" t="s">
        <v>837</v>
      </c>
      <c r="B1007" s="306"/>
      <c r="C1007" s="390"/>
      <c r="D1007" s="385" t="s">
        <v>838</v>
      </c>
      <c r="E1007" s="309">
        <v>2</v>
      </c>
      <c r="F1007" s="310" t="s">
        <v>249</v>
      </c>
      <c r="G1007" s="311"/>
      <c r="H1007" s="312">
        <f t="shared" si="145"/>
        <v>0</v>
      </c>
      <c r="I1007" s="313"/>
      <c r="J1007" s="307"/>
      <c r="K1007" s="16"/>
      <c r="L1007" s="17"/>
      <c r="M1007" s="20"/>
      <c r="N1007" s="14"/>
      <c r="O1007" s="15"/>
      <c r="P1007" s="22"/>
    </row>
    <row r="1008" spans="1:16" s="5" customFormat="1" ht="15" customHeight="1" x14ac:dyDescent="0.3">
      <c r="A1008" s="305" t="s">
        <v>839</v>
      </c>
      <c r="B1008" s="306"/>
      <c r="C1008" s="390"/>
      <c r="D1008" s="385" t="s">
        <v>840</v>
      </c>
      <c r="E1008" s="309">
        <v>2</v>
      </c>
      <c r="F1008" s="310" t="s">
        <v>249</v>
      </c>
      <c r="G1008" s="311"/>
      <c r="H1008" s="312">
        <f t="shared" si="145"/>
        <v>0</v>
      </c>
      <c r="I1008" s="313"/>
      <c r="J1008" s="307"/>
      <c r="K1008" s="16"/>
      <c r="L1008" s="17"/>
      <c r="M1008" s="20"/>
      <c r="N1008" s="14"/>
      <c r="O1008" s="15"/>
      <c r="P1008" s="22"/>
    </row>
    <row r="1009" spans="1:16" s="5" customFormat="1" ht="15" customHeight="1" x14ac:dyDescent="0.3">
      <c r="A1009" s="305" t="s">
        <v>841</v>
      </c>
      <c r="B1009" s="306"/>
      <c r="C1009" s="390"/>
      <c r="D1009" s="385" t="s">
        <v>842</v>
      </c>
      <c r="E1009" s="309">
        <v>2</v>
      </c>
      <c r="F1009" s="310" t="s">
        <v>249</v>
      </c>
      <c r="G1009" s="311"/>
      <c r="H1009" s="312">
        <f t="shared" si="145"/>
        <v>0</v>
      </c>
      <c r="I1009" s="313"/>
      <c r="J1009" s="307"/>
      <c r="K1009" s="16"/>
      <c r="L1009" s="17"/>
      <c r="M1009" s="20"/>
      <c r="N1009" s="14"/>
      <c r="O1009" s="15"/>
      <c r="P1009" s="22"/>
    </row>
    <row r="1010" spans="1:16" s="5" customFormat="1" ht="15" customHeight="1" x14ac:dyDescent="0.3">
      <c r="A1010" s="305" t="s">
        <v>843</v>
      </c>
      <c r="B1010" s="306"/>
      <c r="C1010" s="390"/>
      <c r="D1010" s="385" t="s">
        <v>844</v>
      </c>
      <c r="E1010" s="309">
        <v>1</v>
      </c>
      <c r="F1010" s="310" t="s">
        <v>249</v>
      </c>
      <c r="G1010" s="311"/>
      <c r="H1010" s="312">
        <f t="shared" si="145"/>
        <v>0</v>
      </c>
      <c r="I1010" s="313"/>
      <c r="J1010" s="307"/>
      <c r="K1010" s="16"/>
      <c r="L1010" s="17"/>
      <c r="M1010" s="20"/>
      <c r="N1010" s="14"/>
      <c r="O1010" s="15"/>
      <c r="P1010" s="22"/>
    </row>
    <row r="1011" spans="1:16" s="5" customFormat="1" ht="15" customHeight="1" x14ac:dyDescent="0.3">
      <c r="A1011" s="305" t="s">
        <v>845</v>
      </c>
      <c r="B1011" s="306"/>
      <c r="C1011" s="390"/>
      <c r="D1011" s="385" t="s">
        <v>846</v>
      </c>
      <c r="E1011" s="309">
        <v>1</v>
      </c>
      <c r="F1011" s="310" t="s">
        <v>249</v>
      </c>
      <c r="G1011" s="311"/>
      <c r="H1011" s="312">
        <f t="shared" si="145"/>
        <v>0</v>
      </c>
      <c r="I1011" s="313"/>
      <c r="J1011" s="307"/>
      <c r="K1011" s="16"/>
      <c r="L1011" s="17"/>
      <c r="M1011" s="20"/>
      <c r="N1011" s="14"/>
      <c r="O1011" s="15"/>
      <c r="P1011" s="22"/>
    </row>
    <row r="1012" spans="1:16" s="5" customFormat="1" ht="15" customHeight="1" x14ac:dyDescent="0.3">
      <c r="A1012" s="305" t="s">
        <v>847</v>
      </c>
      <c r="B1012" s="306"/>
      <c r="C1012" s="390"/>
      <c r="D1012" s="385" t="s">
        <v>848</v>
      </c>
      <c r="E1012" s="309">
        <v>1</v>
      </c>
      <c r="F1012" s="310" t="s">
        <v>249</v>
      </c>
      <c r="G1012" s="311"/>
      <c r="H1012" s="312">
        <f t="shared" si="145"/>
        <v>0</v>
      </c>
      <c r="I1012" s="313"/>
      <c r="J1012" s="307"/>
      <c r="K1012" s="16"/>
      <c r="L1012" s="17"/>
      <c r="M1012" s="20"/>
      <c r="N1012" s="14"/>
      <c r="O1012" s="15"/>
      <c r="P1012" s="22"/>
    </row>
    <row r="1013" spans="1:16" s="5" customFormat="1" ht="15" customHeight="1" x14ac:dyDescent="0.3">
      <c r="A1013" s="305" t="s">
        <v>849</v>
      </c>
      <c r="B1013" s="306"/>
      <c r="C1013" s="390"/>
      <c r="D1013" s="385" t="s">
        <v>850</v>
      </c>
      <c r="E1013" s="309">
        <v>1</v>
      </c>
      <c r="F1013" s="310" t="s">
        <v>249</v>
      </c>
      <c r="G1013" s="311"/>
      <c r="H1013" s="312">
        <f t="shared" si="145"/>
        <v>0</v>
      </c>
      <c r="I1013" s="313"/>
      <c r="J1013" s="307"/>
      <c r="K1013" s="16"/>
      <c r="L1013" s="17"/>
      <c r="M1013" s="20"/>
      <c r="N1013" s="14"/>
      <c r="O1013" s="15"/>
      <c r="P1013" s="22"/>
    </row>
    <row r="1014" spans="1:16" s="5" customFormat="1" ht="15" customHeight="1" x14ac:dyDescent="0.3">
      <c r="A1014" s="305" t="s">
        <v>851</v>
      </c>
      <c r="B1014" s="306"/>
      <c r="C1014" s="390"/>
      <c r="D1014" s="385" t="s">
        <v>852</v>
      </c>
      <c r="E1014" s="309">
        <v>1</v>
      </c>
      <c r="F1014" s="310" t="s">
        <v>249</v>
      </c>
      <c r="G1014" s="311"/>
      <c r="H1014" s="312">
        <f t="shared" si="145"/>
        <v>0</v>
      </c>
      <c r="I1014" s="313"/>
      <c r="J1014" s="307"/>
      <c r="K1014" s="16"/>
      <c r="L1014" s="17"/>
      <c r="M1014" s="20"/>
      <c r="N1014" s="14"/>
      <c r="O1014" s="15"/>
      <c r="P1014" s="22"/>
    </row>
    <row r="1015" spans="1:16" s="5" customFormat="1" ht="15" customHeight="1" x14ac:dyDescent="0.3">
      <c r="A1015" s="305" t="s">
        <v>853</v>
      </c>
      <c r="B1015" s="306"/>
      <c r="C1015" s="390"/>
      <c r="D1015" s="385" t="s">
        <v>854</v>
      </c>
      <c r="E1015" s="309">
        <v>1</v>
      </c>
      <c r="F1015" s="310" t="s">
        <v>249</v>
      </c>
      <c r="G1015" s="311"/>
      <c r="H1015" s="312">
        <f t="shared" si="145"/>
        <v>0</v>
      </c>
      <c r="I1015" s="313"/>
      <c r="J1015" s="307"/>
      <c r="K1015" s="16"/>
      <c r="L1015" s="17"/>
      <c r="M1015" s="20"/>
      <c r="N1015" s="14"/>
      <c r="O1015" s="15"/>
      <c r="P1015" s="22"/>
    </row>
    <row r="1016" spans="1:16" s="5" customFormat="1" ht="15" customHeight="1" x14ac:dyDescent="0.3">
      <c r="A1016" s="305"/>
      <c r="B1016" s="306"/>
      <c r="C1016" s="390"/>
      <c r="D1016" s="385"/>
      <c r="E1016" s="309"/>
      <c r="F1016" s="310"/>
      <c r="G1016" s="311"/>
      <c r="H1016" s="312"/>
      <c r="I1016" s="313"/>
      <c r="J1016" s="307"/>
      <c r="K1016" s="16"/>
      <c r="L1016" s="17"/>
      <c r="M1016" s="20"/>
      <c r="N1016" s="14"/>
      <c r="O1016" s="15"/>
      <c r="P1016" s="22"/>
    </row>
    <row r="1017" spans="1:16" s="5" customFormat="1" ht="30.75" customHeight="1" x14ac:dyDescent="0.3">
      <c r="A1017" s="305"/>
      <c r="B1017" s="306"/>
      <c r="C1017" s="394" t="s">
        <v>855</v>
      </c>
      <c r="D1017" s="395"/>
      <c r="E1017" s="309"/>
      <c r="F1017" s="310"/>
      <c r="G1017" s="311"/>
      <c r="H1017" s="312"/>
      <c r="I1017" s="313"/>
      <c r="J1017" s="307"/>
      <c r="K1017" s="16"/>
      <c r="L1017" s="17"/>
      <c r="M1017" s="20"/>
      <c r="N1017" s="14"/>
      <c r="O1017" s="15"/>
      <c r="P1017" s="22"/>
    </row>
    <row r="1018" spans="1:16" s="5" customFormat="1" ht="15" customHeight="1" x14ac:dyDescent="0.3">
      <c r="A1018" s="305" t="s">
        <v>856</v>
      </c>
      <c r="B1018" s="306"/>
      <c r="C1018" s="390"/>
      <c r="D1018" s="385" t="s">
        <v>857</v>
      </c>
      <c r="E1018" s="309">
        <v>59</v>
      </c>
      <c r="F1018" s="310" t="s">
        <v>249</v>
      </c>
      <c r="G1018" s="311"/>
      <c r="H1018" s="312">
        <f t="shared" ref="H1018:H1026" si="146">E1018*G1018</f>
        <v>0</v>
      </c>
      <c r="I1018" s="313"/>
      <c r="J1018" s="307"/>
      <c r="K1018" s="16"/>
      <c r="L1018" s="17"/>
      <c r="M1018" s="20"/>
      <c r="N1018" s="14"/>
      <c r="O1018" s="15"/>
      <c r="P1018" s="22"/>
    </row>
    <row r="1019" spans="1:16" s="5" customFormat="1" ht="15" customHeight="1" x14ac:dyDescent="0.3">
      <c r="A1019" s="305" t="s">
        <v>858</v>
      </c>
      <c r="B1019" s="306"/>
      <c r="C1019" s="390"/>
      <c r="D1019" s="385" t="s">
        <v>859</v>
      </c>
      <c r="E1019" s="309">
        <v>4</v>
      </c>
      <c r="F1019" s="310" t="s">
        <v>249</v>
      </c>
      <c r="G1019" s="311"/>
      <c r="H1019" s="312">
        <f t="shared" si="146"/>
        <v>0</v>
      </c>
      <c r="I1019" s="313"/>
      <c r="J1019" s="307"/>
      <c r="K1019" s="16"/>
      <c r="L1019" s="17"/>
      <c r="M1019" s="20"/>
      <c r="N1019" s="14"/>
      <c r="O1019" s="15"/>
      <c r="P1019" s="22"/>
    </row>
    <row r="1020" spans="1:16" s="5" customFormat="1" ht="15" customHeight="1" x14ac:dyDescent="0.3">
      <c r="A1020" s="305" t="s">
        <v>860</v>
      </c>
      <c r="B1020" s="306"/>
      <c r="C1020" s="390"/>
      <c r="D1020" s="385" t="s">
        <v>861</v>
      </c>
      <c r="E1020" s="309">
        <v>1</v>
      </c>
      <c r="F1020" s="310" t="s">
        <v>249</v>
      </c>
      <c r="G1020" s="311"/>
      <c r="H1020" s="312">
        <f t="shared" si="146"/>
        <v>0</v>
      </c>
      <c r="I1020" s="313"/>
      <c r="J1020" s="307"/>
      <c r="K1020" s="16"/>
      <c r="L1020" s="17"/>
      <c r="M1020" s="20"/>
      <c r="N1020" s="14"/>
      <c r="O1020" s="15"/>
      <c r="P1020" s="22"/>
    </row>
    <row r="1021" spans="1:16" s="5" customFormat="1" ht="15" customHeight="1" x14ac:dyDescent="0.3">
      <c r="A1021" s="305" t="s">
        <v>862</v>
      </c>
      <c r="B1021" s="306"/>
      <c r="C1021" s="390"/>
      <c r="D1021" s="385" t="s">
        <v>863</v>
      </c>
      <c r="E1021" s="309">
        <v>4</v>
      </c>
      <c r="F1021" s="310" t="s">
        <v>249</v>
      </c>
      <c r="G1021" s="311"/>
      <c r="H1021" s="312">
        <f t="shared" si="146"/>
        <v>0</v>
      </c>
      <c r="I1021" s="313"/>
      <c r="J1021" s="307"/>
      <c r="K1021" s="16"/>
      <c r="L1021" s="17"/>
      <c r="M1021" s="20"/>
      <c r="N1021" s="14"/>
      <c r="O1021" s="15"/>
      <c r="P1021" s="22"/>
    </row>
    <row r="1022" spans="1:16" s="5" customFormat="1" ht="15" customHeight="1" x14ac:dyDescent="0.3">
      <c r="A1022" s="305" t="s">
        <v>864</v>
      </c>
      <c r="B1022" s="306"/>
      <c r="C1022" s="390"/>
      <c r="D1022" s="385" t="s">
        <v>865</v>
      </c>
      <c r="E1022" s="309">
        <v>37</v>
      </c>
      <c r="F1022" s="310" t="s">
        <v>249</v>
      </c>
      <c r="G1022" s="311"/>
      <c r="H1022" s="312">
        <f t="shared" si="146"/>
        <v>0</v>
      </c>
      <c r="I1022" s="313"/>
      <c r="J1022" s="307"/>
      <c r="K1022" s="16"/>
      <c r="L1022" s="17"/>
      <c r="M1022" s="20"/>
      <c r="N1022" s="14"/>
      <c r="O1022" s="15"/>
      <c r="P1022" s="22"/>
    </row>
    <row r="1023" spans="1:16" s="5" customFormat="1" ht="15" customHeight="1" x14ac:dyDescent="0.3">
      <c r="A1023" s="305" t="s">
        <v>866</v>
      </c>
      <c r="B1023" s="306"/>
      <c r="C1023" s="390"/>
      <c r="D1023" s="385" t="s">
        <v>867</v>
      </c>
      <c r="E1023" s="309">
        <v>66</v>
      </c>
      <c r="F1023" s="310" t="s">
        <v>249</v>
      </c>
      <c r="G1023" s="311"/>
      <c r="H1023" s="312">
        <f t="shared" si="146"/>
        <v>0</v>
      </c>
      <c r="I1023" s="313"/>
      <c r="J1023" s="307"/>
      <c r="K1023" s="16"/>
      <c r="L1023" s="17"/>
      <c r="M1023" s="20"/>
      <c r="N1023" s="14"/>
      <c r="O1023" s="15"/>
      <c r="P1023" s="22"/>
    </row>
    <row r="1024" spans="1:16" s="5" customFormat="1" ht="15" customHeight="1" x14ac:dyDescent="0.3">
      <c r="A1024" s="305" t="s">
        <v>868</v>
      </c>
      <c r="B1024" s="306"/>
      <c r="C1024" s="390"/>
      <c r="D1024" s="385" t="s">
        <v>869</v>
      </c>
      <c r="E1024" s="309">
        <v>1</v>
      </c>
      <c r="F1024" s="310" t="s">
        <v>249</v>
      </c>
      <c r="G1024" s="311"/>
      <c r="H1024" s="312">
        <f t="shared" si="146"/>
        <v>0</v>
      </c>
      <c r="I1024" s="313"/>
      <c r="J1024" s="307"/>
      <c r="K1024" s="16"/>
      <c r="L1024" s="17"/>
      <c r="M1024" s="20"/>
      <c r="N1024" s="14"/>
      <c r="O1024" s="15"/>
      <c r="P1024" s="22"/>
    </row>
    <row r="1025" spans="1:16" s="5" customFormat="1" ht="15" customHeight="1" x14ac:dyDescent="0.3">
      <c r="A1025" s="305" t="s">
        <v>870</v>
      </c>
      <c r="B1025" s="306"/>
      <c r="C1025" s="390"/>
      <c r="D1025" s="385" t="s">
        <v>871</v>
      </c>
      <c r="E1025" s="309">
        <v>425</v>
      </c>
      <c r="F1025" s="310" t="s">
        <v>249</v>
      </c>
      <c r="G1025" s="311"/>
      <c r="H1025" s="312">
        <f t="shared" si="146"/>
        <v>0</v>
      </c>
      <c r="I1025" s="313"/>
      <c r="J1025" s="307"/>
      <c r="K1025" s="16"/>
      <c r="L1025" s="17"/>
      <c r="M1025" s="20"/>
      <c r="N1025" s="14"/>
      <c r="O1025" s="15"/>
      <c r="P1025" s="22"/>
    </row>
    <row r="1026" spans="1:16" s="5" customFormat="1" ht="15" customHeight="1" x14ac:dyDescent="0.3">
      <c r="A1026" s="305" t="s">
        <v>872</v>
      </c>
      <c r="B1026" s="306"/>
      <c r="C1026" s="390"/>
      <c r="D1026" s="385" t="s">
        <v>873</v>
      </c>
      <c r="E1026" s="309">
        <v>4</v>
      </c>
      <c r="F1026" s="310" t="s">
        <v>249</v>
      </c>
      <c r="G1026" s="311"/>
      <c r="H1026" s="312">
        <f t="shared" si="146"/>
        <v>0</v>
      </c>
      <c r="I1026" s="313"/>
      <c r="J1026" s="307"/>
      <c r="K1026" s="16"/>
      <c r="L1026" s="17"/>
      <c r="M1026" s="20"/>
      <c r="N1026" s="14"/>
      <c r="O1026" s="15"/>
      <c r="P1026" s="22"/>
    </row>
    <row r="1027" spans="1:16" s="5" customFormat="1" ht="15" customHeight="1" x14ac:dyDescent="0.3">
      <c r="A1027" s="305"/>
      <c r="B1027" s="306"/>
      <c r="C1027" s="390"/>
      <c r="D1027" s="385"/>
      <c r="E1027" s="309"/>
      <c r="F1027" s="310"/>
      <c r="G1027" s="311"/>
      <c r="H1027" s="312"/>
      <c r="I1027" s="313"/>
      <c r="J1027" s="307"/>
      <c r="K1027" s="16"/>
      <c r="L1027" s="17"/>
      <c r="M1027" s="20"/>
      <c r="N1027" s="14"/>
      <c r="O1027" s="15"/>
      <c r="P1027" s="22"/>
    </row>
    <row r="1028" spans="1:16" s="5" customFormat="1" ht="32.700000000000003" customHeight="1" x14ac:dyDescent="0.3">
      <c r="A1028" s="305"/>
      <c r="B1028" s="306"/>
      <c r="C1028" s="394" t="s">
        <v>874</v>
      </c>
      <c r="D1028" s="395"/>
      <c r="E1028" s="309"/>
      <c r="F1028" s="310"/>
      <c r="G1028" s="311"/>
      <c r="H1028" s="312"/>
      <c r="I1028" s="313"/>
      <c r="J1028" s="307"/>
      <c r="K1028" s="16"/>
      <c r="L1028" s="17"/>
      <c r="M1028" s="20"/>
      <c r="N1028" s="14"/>
      <c r="O1028" s="15"/>
      <c r="P1028" s="22"/>
    </row>
    <row r="1029" spans="1:16" s="5" customFormat="1" ht="15" customHeight="1" x14ac:dyDescent="0.3">
      <c r="A1029" s="305" t="s">
        <v>875</v>
      </c>
      <c r="B1029" s="306"/>
      <c r="C1029" s="390"/>
      <c r="D1029" s="385" t="s">
        <v>857</v>
      </c>
      <c r="E1029" s="309">
        <f>59+2</f>
        <v>61</v>
      </c>
      <c r="F1029" s="310" t="s">
        <v>249</v>
      </c>
      <c r="G1029" s="311"/>
      <c r="H1029" s="312">
        <f t="shared" ref="H1029:H1036" si="147">E1029*G1029</f>
        <v>0</v>
      </c>
      <c r="I1029" s="313"/>
      <c r="J1029" s="307"/>
      <c r="K1029" s="16"/>
      <c r="L1029" s="17"/>
      <c r="M1029" s="20"/>
      <c r="N1029" s="14"/>
      <c r="O1029" s="15"/>
      <c r="P1029" s="22"/>
    </row>
    <row r="1030" spans="1:16" s="5" customFormat="1" ht="15" customHeight="1" x14ac:dyDescent="0.3">
      <c r="A1030" s="305" t="s">
        <v>876</v>
      </c>
      <c r="B1030" s="306"/>
      <c r="C1030" s="390"/>
      <c r="D1030" s="385" t="s">
        <v>859</v>
      </c>
      <c r="E1030" s="309">
        <v>4</v>
      </c>
      <c r="F1030" s="310" t="s">
        <v>249</v>
      </c>
      <c r="G1030" s="311"/>
      <c r="H1030" s="312">
        <f t="shared" si="147"/>
        <v>0</v>
      </c>
      <c r="I1030" s="313"/>
      <c r="J1030" s="307"/>
      <c r="K1030" s="16"/>
      <c r="L1030" s="17"/>
      <c r="M1030" s="20"/>
      <c r="N1030" s="14"/>
      <c r="O1030" s="15"/>
      <c r="P1030" s="22"/>
    </row>
    <row r="1031" spans="1:16" s="5" customFormat="1" ht="15" customHeight="1" x14ac:dyDescent="0.3">
      <c r="A1031" s="305" t="s">
        <v>877</v>
      </c>
      <c r="B1031" s="306"/>
      <c r="C1031" s="390"/>
      <c r="D1031" s="385" t="s">
        <v>861</v>
      </c>
      <c r="E1031" s="309">
        <v>1</v>
      </c>
      <c r="F1031" s="310" t="s">
        <v>249</v>
      </c>
      <c r="G1031" s="311"/>
      <c r="H1031" s="312">
        <f t="shared" si="147"/>
        <v>0</v>
      </c>
      <c r="I1031" s="313"/>
      <c r="J1031" s="307"/>
      <c r="K1031" s="16"/>
      <c r="L1031" s="17"/>
      <c r="M1031" s="20"/>
      <c r="N1031" s="14"/>
      <c r="O1031" s="15"/>
      <c r="P1031" s="22"/>
    </row>
    <row r="1032" spans="1:16" s="5" customFormat="1" ht="15" customHeight="1" x14ac:dyDescent="0.3">
      <c r="A1032" s="305" t="s">
        <v>878</v>
      </c>
      <c r="B1032" s="306"/>
      <c r="C1032" s="390"/>
      <c r="D1032" s="385" t="s">
        <v>865</v>
      </c>
      <c r="E1032" s="309">
        <v>18</v>
      </c>
      <c r="F1032" s="310" t="s">
        <v>249</v>
      </c>
      <c r="G1032" s="311"/>
      <c r="H1032" s="312">
        <f t="shared" si="147"/>
        <v>0</v>
      </c>
      <c r="I1032" s="313"/>
      <c r="J1032" s="307"/>
      <c r="K1032" s="16"/>
      <c r="L1032" s="17"/>
      <c r="M1032" s="20"/>
      <c r="N1032" s="14"/>
      <c r="O1032" s="15"/>
      <c r="P1032" s="22"/>
    </row>
    <row r="1033" spans="1:16" s="5" customFormat="1" ht="15" customHeight="1" x14ac:dyDescent="0.3">
      <c r="A1033" s="305" t="s">
        <v>879</v>
      </c>
      <c r="B1033" s="306"/>
      <c r="C1033" s="390"/>
      <c r="D1033" s="385" t="s">
        <v>867</v>
      </c>
      <c r="E1033" s="309">
        <v>66</v>
      </c>
      <c r="F1033" s="310" t="s">
        <v>249</v>
      </c>
      <c r="G1033" s="311"/>
      <c r="H1033" s="312">
        <f t="shared" si="147"/>
        <v>0</v>
      </c>
      <c r="I1033" s="313"/>
      <c r="J1033" s="307"/>
      <c r="K1033" s="16"/>
      <c r="L1033" s="17"/>
      <c r="M1033" s="20"/>
      <c r="N1033" s="14"/>
      <c r="O1033" s="15"/>
      <c r="P1033" s="22"/>
    </row>
    <row r="1034" spans="1:16" s="5" customFormat="1" ht="15" customHeight="1" x14ac:dyDescent="0.3">
      <c r="A1034" s="305" t="s">
        <v>880</v>
      </c>
      <c r="B1034" s="306"/>
      <c r="C1034" s="390"/>
      <c r="D1034" s="385" t="s">
        <v>869</v>
      </c>
      <c r="E1034" s="309">
        <v>1</v>
      </c>
      <c r="F1034" s="310" t="s">
        <v>249</v>
      </c>
      <c r="G1034" s="311"/>
      <c r="H1034" s="312">
        <f t="shared" si="147"/>
        <v>0</v>
      </c>
      <c r="I1034" s="313"/>
      <c r="J1034" s="307"/>
      <c r="K1034" s="16"/>
      <c r="L1034" s="17"/>
      <c r="M1034" s="20"/>
      <c r="N1034" s="14"/>
      <c r="O1034" s="15"/>
      <c r="P1034" s="22"/>
    </row>
    <row r="1035" spans="1:16" s="5" customFormat="1" ht="15" customHeight="1" x14ac:dyDescent="0.3">
      <c r="A1035" s="305" t="s">
        <v>881</v>
      </c>
      <c r="B1035" s="306"/>
      <c r="C1035" s="390"/>
      <c r="D1035" s="385" t="s">
        <v>882</v>
      </c>
      <c r="E1035" s="309">
        <v>425</v>
      </c>
      <c r="F1035" s="310" t="s">
        <v>249</v>
      </c>
      <c r="G1035" s="311"/>
      <c r="H1035" s="312">
        <f t="shared" si="147"/>
        <v>0</v>
      </c>
      <c r="I1035" s="313"/>
      <c r="J1035" s="307"/>
      <c r="K1035" s="16"/>
      <c r="L1035" s="17"/>
      <c r="M1035" s="20"/>
      <c r="N1035" s="14"/>
      <c r="O1035" s="15"/>
      <c r="P1035" s="22"/>
    </row>
    <row r="1036" spans="1:16" s="5" customFormat="1" ht="15" customHeight="1" x14ac:dyDescent="0.3">
      <c r="A1036" s="305" t="s">
        <v>883</v>
      </c>
      <c r="B1036" s="306"/>
      <c r="C1036" s="390"/>
      <c r="D1036" s="385" t="s">
        <v>873</v>
      </c>
      <c r="E1036" s="309">
        <v>4</v>
      </c>
      <c r="F1036" s="310" t="s">
        <v>249</v>
      </c>
      <c r="G1036" s="311"/>
      <c r="H1036" s="312">
        <f t="shared" si="147"/>
        <v>0</v>
      </c>
      <c r="I1036" s="313"/>
      <c r="J1036" s="307"/>
      <c r="K1036" s="16"/>
      <c r="L1036" s="17"/>
      <c r="M1036" s="20"/>
      <c r="N1036" s="14"/>
      <c r="O1036" s="15"/>
      <c r="P1036" s="22"/>
    </row>
    <row r="1037" spans="1:16" s="5" customFormat="1" ht="15" customHeight="1" x14ac:dyDescent="0.3">
      <c r="A1037" s="305"/>
      <c r="B1037" s="306"/>
      <c r="C1037" s="390"/>
      <c r="D1037" s="385"/>
      <c r="E1037" s="309"/>
      <c r="F1037" s="310"/>
      <c r="G1037" s="311"/>
      <c r="H1037" s="312"/>
      <c r="I1037" s="313"/>
      <c r="J1037" s="307"/>
      <c r="K1037" s="16"/>
      <c r="L1037" s="17"/>
      <c r="M1037" s="20"/>
      <c r="N1037" s="14"/>
      <c r="O1037" s="15"/>
      <c r="P1037" s="22"/>
    </row>
    <row r="1038" spans="1:16" s="5" customFormat="1" ht="44.25" customHeight="1" x14ac:dyDescent="0.3">
      <c r="A1038" s="305"/>
      <c r="B1038" s="306"/>
      <c r="C1038" s="394" t="s">
        <v>884</v>
      </c>
      <c r="D1038" s="395"/>
      <c r="E1038" s="309"/>
      <c r="F1038" s="310"/>
      <c r="G1038" s="311"/>
      <c r="H1038" s="312"/>
      <c r="I1038" s="313"/>
      <c r="J1038" s="307"/>
      <c r="K1038" s="16"/>
      <c r="L1038" s="17"/>
      <c r="M1038" s="20"/>
      <c r="N1038" s="14"/>
      <c r="O1038" s="15"/>
      <c r="P1038" s="22"/>
    </row>
    <row r="1039" spans="1:16" s="5" customFormat="1" x14ac:dyDescent="0.3">
      <c r="A1039" s="305" t="s">
        <v>885</v>
      </c>
      <c r="B1039" s="306"/>
      <c r="C1039" s="390"/>
      <c r="D1039" s="308" t="s">
        <v>886</v>
      </c>
      <c r="E1039" s="309">
        <v>3</v>
      </c>
      <c r="F1039" s="310" t="s">
        <v>249</v>
      </c>
      <c r="G1039" s="311"/>
      <c r="H1039" s="312">
        <f t="shared" ref="H1039" si="148">E1039*G1039</f>
        <v>0</v>
      </c>
      <c r="I1039" s="313"/>
      <c r="J1039" s="307"/>
      <c r="K1039" s="16"/>
      <c r="L1039" s="17"/>
      <c r="M1039" s="20"/>
      <c r="N1039" s="14"/>
      <c r="O1039" s="15"/>
      <c r="P1039" s="22"/>
    </row>
    <row r="1040" spans="1:16" s="5" customFormat="1" ht="15" customHeight="1" x14ac:dyDescent="0.3">
      <c r="A1040" s="305"/>
      <c r="B1040" s="306"/>
      <c r="C1040" s="390"/>
      <c r="D1040" s="385"/>
      <c r="E1040" s="309"/>
      <c r="F1040" s="310"/>
      <c r="G1040" s="311"/>
      <c r="H1040" s="312"/>
      <c r="I1040" s="313"/>
      <c r="J1040" s="307"/>
      <c r="K1040" s="16"/>
      <c r="L1040" s="17"/>
      <c r="M1040" s="20"/>
      <c r="N1040" s="14"/>
      <c r="O1040" s="15"/>
      <c r="P1040" s="22"/>
    </row>
    <row r="1041" spans="1:16" s="5" customFormat="1" ht="34.5" customHeight="1" x14ac:dyDescent="0.3">
      <c r="A1041" s="305"/>
      <c r="B1041" s="306"/>
      <c r="C1041" s="394" t="s">
        <v>887</v>
      </c>
      <c r="D1041" s="395"/>
      <c r="E1041" s="309"/>
      <c r="F1041" s="310"/>
      <c r="G1041" s="311"/>
      <c r="H1041" s="312"/>
      <c r="I1041" s="313"/>
      <c r="J1041" s="307"/>
      <c r="K1041" s="16"/>
      <c r="L1041" s="17"/>
      <c r="M1041" s="20"/>
      <c r="N1041" s="14"/>
      <c r="O1041" s="15"/>
      <c r="P1041" s="22"/>
    </row>
    <row r="1042" spans="1:16" s="5" customFormat="1" x14ac:dyDescent="0.3">
      <c r="A1042" s="305" t="s">
        <v>888</v>
      </c>
      <c r="B1042" s="306"/>
      <c r="C1042" s="390"/>
      <c r="D1042" s="308" t="s">
        <v>889</v>
      </c>
      <c r="E1042" s="309">
        <v>2</v>
      </c>
      <c r="F1042" s="310" t="s">
        <v>249</v>
      </c>
      <c r="G1042" s="311"/>
      <c r="H1042" s="312">
        <f t="shared" ref="H1042" si="149">E1042*G1042</f>
        <v>0</v>
      </c>
      <c r="I1042" s="313"/>
      <c r="J1042" s="307"/>
      <c r="K1042" s="16"/>
      <c r="L1042" s="17"/>
      <c r="M1042" s="20"/>
      <c r="N1042" s="14"/>
      <c r="O1042" s="15"/>
      <c r="P1042" s="22"/>
    </row>
    <row r="1043" spans="1:16" s="5" customFormat="1" ht="15" customHeight="1" x14ac:dyDescent="0.3">
      <c r="A1043" s="401"/>
      <c r="B1043" s="402"/>
      <c r="C1043" s="403"/>
      <c r="D1043" s="468"/>
      <c r="E1043" s="432"/>
      <c r="F1043" s="433"/>
      <c r="G1043" s="407"/>
      <c r="H1043" s="408"/>
      <c r="I1043" s="409"/>
      <c r="J1043" s="307"/>
      <c r="K1043" s="16"/>
      <c r="L1043" s="17"/>
      <c r="M1043" s="20"/>
      <c r="N1043" s="14"/>
      <c r="O1043" s="15"/>
      <c r="P1043" s="22"/>
    </row>
    <row r="1044" spans="1:16" s="5" customFormat="1" ht="33.75" customHeight="1" x14ac:dyDescent="0.3">
      <c r="A1044" s="305"/>
      <c r="B1044" s="306"/>
      <c r="C1044" s="394" t="s">
        <v>890</v>
      </c>
      <c r="D1044" s="395"/>
      <c r="E1044" s="309"/>
      <c r="F1044" s="310"/>
      <c r="G1044" s="311"/>
      <c r="H1044" s="312"/>
      <c r="I1044" s="313"/>
      <c r="J1044" s="307"/>
      <c r="K1044" s="16"/>
      <c r="L1044" s="17"/>
      <c r="M1044" s="20"/>
      <c r="N1044" s="14"/>
      <c r="O1044" s="15"/>
      <c r="P1044" s="22"/>
    </row>
    <row r="1045" spans="1:16" s="5" customFormat="1" ht="15" customHeight="1" x14ac:dyDescent="0.3">
      <c r="A1045" s="305" t="s">
        <v>891</v>
      </c>
      <c r="B1045" s="306"/>
      <c r="C1045" s="390"/>
      <c r="D1045" s="308" t="s">
        <v>892</v>
      </c>
      <c r="E1045" s="309">
        <v>2</v>
      </c>
      <c r="F1045" s="310" t="s">
        <v>249</v>
      </c>
      <c r="G1045" s="311"/>
      <c r="H1045" s="312">
        <f t="shared" ref="H1045:H1046" si="150">E1045*G1045</f>
        <v>0</v>
      </c>
      <c r="I1045" s="313"/>
      <c r="J1045" s="307"/>
      <c r="K1045" s="16"/>
      <c r="L1045" s="17"/>
      <c r="M1045" s="20"/>
      <c r="N1045" s="14"/>
      <c r="O1045" s="15"/>
      <c r="P1045" s="22"/>
    </row>
    <row r="1046" spans="1:16" s="5" customFormat="1" ht="15" customHeight="1" x14ac:dyDescent="0.3">
      <c r="A1046" s="305" t="s">
        <v>893</v>
      </c>
      <c r="B1046" s="306"/>
      <c r="C1046" s="390"/>
      <c r="D1046" s="308" t="s">
        <v>894</v>
      </c>
      <c r="E1046" s="309">
        <v>11</v>
      </c>
      <c r="F1046" s="310" t="s">
        <v>249</v>
      </c>
      <c r="G1046" s="311"/>
      <c r="H1046" s="312">
        <f t="shared" si="150"/>
        <v>0</v>
      </c>
      <c r="I1046" s="313"/>
      <c r="J1046" s="307"/>
      <c r="K1046" s="16"/>
      <c r="L1046" s="17"/>
      <c r="M1046" s="20"/>
      <c r="N1046" s="14"/>
      <c r="O1046" s="15"/>
      <c r="P1046" s="22"/>
    </row>
    <row r="1047" spans="1:16" s="5" customFormat="1" ht="15" customHeight="1" x14ac:dyDescent="0.3">
      <c r="A1047" s="305"/>
      <c r="B1047" s="306"/>
      <c r="C1047" s="390"/>
      <c r="D1047" s="385"/>
      <c r="E1047" s="309"/>
      <c r="F1047" s="310"/>
      <c r="G1047" s="311"/>
      <c r="H1047" s="312"/>
      <c r="I1047" s="313"/>
      <c r="J1047" s="307"/>
      <c r="K1047" s="16"/>
      <c r="L1047" s="17"/>
      <c r="M1047" s="20"/>
      <c r="N1047" s="14"/>
      <c r="O1047" s="15"/>
      <c r="P1047" s="22"/>
    </row>
    <row r="1048" spans="1:16" s="5" customFormat="1" ht="34.5" customHeight="1" x14ac:dyDescent="0.3">
      <c r="A1048" s="305"/>
      <c r="B1048" s="306"/>
      <c r="C1048" s="394" t="s">
        <v>895</v>
      </c>
      <c r="D1048" s="395"/>
      <c r="E1048" s="309"/>
      <c r="F1048" s="310"/>
      <c r="G1048" s="311"/>
      <c r="H1048" s="312"/>
      <c r="I1048" s="313"/>
      <c r="J1048" s="307"/>
      <c r="K1048" s="16"/>
      <c r="L1048" s="17"/>
      <c r="M1048" s="20"/>
      <c r="N1048" s="14"/>
      <c r="O1048" s="15"/>
      <c r="P1048" s="22"/>
    </row>
    <row r="1049" spans="1:16" s="5" customFormat="1" ht="15" customHeight="1" x14ac:dyDescent="0.3">
      <c r="A1049" s="305" t="s">
        <v>896</v>
      </c>
      <c r="B1049" s="306"/>
      <c r="C1049" s="390"/>
      <c r="D1049" s="308" t="s">
        <v>897</v>
      </c>
      <c r="E1049" s="309">
        <v>1</v>
      </c>
      <c r="F1049" s="310" t="s">
        <v>249</v>
      </c>
      <c r="G1049" s="311"/>
      <c r="H1049" s="312">
        <f t="shared" ref="H1049" si="151">E1049*G1049</f>
        <v>0</v>
      </c>
      <c r="I1049" s="313"/>
      <c r="J1049" s="307"/>
      <c r="K1049" s="16"/>
      <c r="L1049" s="17"/>
      <c r="M1049" s="20"/>
      <c r="N1049" s="14"/>
      <c r="O1049" s="15"/>
      <c r="P1049" s="22"/>
    </row>
    <row r="1050" spans="1:16" s="5" customFormat="1" ht="15" customHeight="1" x14ac:dyDescent="0.3">
      <c r="A1050" s="305"/>
      <c r="B1050" s="306"/>
      <c r="C1050" s="390"/>
      <c r="D1050" s="308"/>
      <c r="E1050" s="309"/>
      <c r="F1050" s="310"/>
      <c r="G1050" s="311"/>
      <c r="H1050" s="312"/>
      <c r="I1050" s="313"/>
      <c r="J1050" s="307"/>
      <c r="K1050" s="16"/>
      <c r="L1050" s="17"/>
      <c r="M1050" s="20"/>
      <c r="N1050" s="14"/>
      <c r="O1050" s="15"/>
      <c r="P1050" s="22"/>
    </row>
    <row r="1051" spans="1:16" s="34" customFormat="1" ht="15" customHeight="1" x14ac:dyDescent="0.3">
      <c r="A1051" s="469"/>
      <c r="B1051" s="462"/>
      <c r="C1051" s="390" t="s">
        <v>898</v>
      </c>
      <c r="D1051" s="463"/>
      <c r="E1051" s="470"/>
      <c r="F1051" s="471"/>
      <c r="G1051" s="311"/>
      <c r="H1051" s="312"/>
      <c r="I1051" s="313"/>
      <c r="J1051" s="472"/>
      <c r="K1051" s="57"/>
      <c r="L1051" s="56"/>
      <c r="M1051" s="20"/>
      <c r="N1051" s="14"/>
      <c r="O1051" s="15"/>
      <c r="P1051" s="33"/>
    </row>
    <row r="1052" spans="1:16" s="5" customFormat="1" ht="30" customHeight="1" x14ac:dyDescent="0.3">
      <c r="A1052" s="305"/>
      <c r="B1052" s="306"/>
      <c r="C1052" s="394" t="s">
        <v>899</v>
      </c>
      <c r="D1052" s="395"/>
      <c r="E1052" s="309"/>
      <c r="F1052" s="310"/>
      <c r="G1052" s="311"/>
      <c r="H1052" s="312"/>
      <c r="I1052" s="313"/>
      <c r="J1052" s="307"/>
      <c r="K1052" s="16"/>
      <c r="L1052" s="17"/>
      <c r="M1052" s="20"/>
      <c r="N1052" s="14"/>
      <c r="O1052" s="15"/>
      <c r="P1052" s="22"/>
    </row>
    <row r="1053" spans="1:16" s="5" customFormat="1" ht="15" customHeight="1" x14ac:dyDescent="0.3">
      <c r="A1053" s="305" t="s">
        <v>900</v>
      </c>
      <c r="B1053" s="306"/>
      <c r="C1053" s="390"/>
      <c r="D1053" s="308" t="s">
        <v>901</v>
      </c>
      <c r="E1053" s="309">
        <f>66+3</f>
        <v>69</v>
      </c>
      <c r="F1053" s="310" t="s">
        <v>249</v>
      </c>
      <c r="G1053" s="311"/>
      <c r="H1053" s="312">
        <f t="shared" ref="H1053:H1063" si="152">E1053*G1053</f>
        <v>0</v>
      </c>
      <c r="I1053" s="313"/>
      <c r="J1053" s="307"/>
      <c r="K1053" s="16"/>
      <c r="L1053" s="17"/>
      <c r="M1053" s="20"/>
      <c r="N1053" s="14"/>
      <c r="O1053" s="15"/>
      <c r="P1053" s="22"/>
    </row>
    <row r="1054" spans="1:16" s="5" customFormat="1" ht="15" customHeight="1" x14ac:dyDescent="0.3">
      <c r="A1054" s="305" t="s">
        <v>902</v>
      </c>
      <c r="B1054" s="306"/>
      <c r="C1054" s="390"/>
      <c r="D1054" s="308" t="s">
        <v>903</v>
      </c>
      <c r="E1054" s="309">
        <f>149+5</f>
        <v>154</v>
      </c>
      <c r="F1054" s="310" t="s">
        <v>249</v>
      </c>
      <c r="G1054" s="311"/>
      <c r="H1054" s="312">
        <f t="shared" si="152"/>
        <v>0</v>
      </c>
      <c r="I1054" s="313"/>
      <c r="J1054" s="307"/>
      <c r="K1054" s="16"/>
      <c r="L1054" s="17"/>
      <c r="M1054" s="20"/>
      <c r="N1054" s="14"/>
      <c r="O1054" s="15"/>
      <c r="P1054" s="22"/>
    </row>
    <row r="1055" spans="1:16" s="5" customFormat="1" ht="15" customHeight="1" x14ac:dyDescent="0.3">
      <c r="A1055" s="305" t="s">
        <v>904</v>
      </c>
      <c r="B1055" s="306"/>
      <c r="C1055" s="390"/>
      <c r="D1055" s="308" t="s">
        <v>905</v>
      </c>
      <c r="E1055" s="309">
        <f>186-1+4+3</f>
        <v>192</v>
      </c>
      <c r="F1055" s="310" t="s">
        <v>249</v>
      </c>
      <c r="G1055" s="311"/>
      <c r="H1055" s="312">
        <f t="shared" si="152"/>
        <v>0</v>
      </c>
      <c r="I1055" s="313"/>
      <c r="J1055" s="307"/>
      <c r="K1055" s="16"/>
      <c r="L1055" s="17"/>
      <c r="M1055" s="20"/>
      <c r="N1055" s="14"/>
      <c r="O1055" s="15"/>
      <c r="P1055" s="22"/>
    </row>
    <row r="1056" spans="1:16" s="5" customFormat="1" ht="15" customHeight="1" x14ac:dyDescent="0.3">
      <c r="A1056" s="305" t="s">
        <v>906</v>
      </c>
      <c r="B1056" s="306"/>
      <c r="C1056" s="390"/>
      <c r="D1056" s="308" t="s">
        <v>907</v>
      </c>
      <c r="E1056" s="309">
        <v>9</v>
      </c>
      <c r="F1056" s="310" t="s">
        <v>249</v>
      </c>
      <c r="G1056" s="311"/>
      <c r="H1056" s="312">
        <f t="shared" si="152"/>
        <v>0</v>
      </c>
      <c r="I1056" s="313"/>
      <c r="J1056" s="307"/>
      <c r="K1056" s="16"/>
      <c r="L1056" s="17"/>
      <c r="M1056" s="20"/>
      <c r="N1056" s="14"/>
      <c r="O1056" s="15"/>
      <c r="P1056" s="22"/>
    </row>
    <row r="1057" spans="1:16" s="5" customFormat="1" ht="15" customHeight="1" x14ac:dyDescent="0.3">
      <c r="A1057" s="305" t="s">
        <v>908</v>
      </c>
      <c r="B1057" s="306"/>
      <c r="C1057" s="390"/>
      <c r="D1057" s="308" t="s">
        <v>909</v>
      </c>
      <c r="E1057" s="309">
        <v>102</v>
      </c>
      <c r="F1057" s="310" t="s">
        <v>249</v>
      </c>
      <c r="G1057" s="311"/>
      <c r="H1057" s="312">
        <f t="shared" si="152"/>
        <v>0</v>
      </c>
      <c r="I1057" s="313"/>
      <c r="J1057" s="307"/>
      <c r="K1057" s="16"/>
      <c r="L1057" s="17"/>
      <c r="M1057" s="20"/>
      <c r="N1057" s="14"/>
      <c r="O1057" s="15"/>
      <c r="P1057" s="22"/>
    </row>
    <row r="1058" spans="1:16" s="5" customFormat="1" ht="15" customHeight="1" x14ac:dyDescent="0.3">
      <c r="A1058" s="305" t="s">
        <v>910</v>
      </c>
      <c r="B1058" s="306"/>
      <c r="C1058" s="390"/>
      <c r="D1058" s="308" t="s">
        <v>911</v>
      </c>
      <c r="E1058" s="309">
        <v>4</v>
      </c>
      <c r="F1058" s="310" t="s">
        <v>249</v>
      </c>
      <c r="G1058" s="311"/>
      <c r="H1058" s="312">
        <f t="shared" si="152"/>
        <v>0</v>
      </c>
      <c r="I1058" s="313"/>
      <c r="J1058" s="307"/>
      <c r="K1058" s="16"/>
      <c r="L1058" s="17"/>
      <c r="M1058" s="20"/>
      <c r="N1058" s="14"/>
      <c r="O1058" s="15"/>
      <c r="P1058" s="22"/>
    </row>
    <row r="1059" spans="1:16" s="5" customFormat="1" ht="15" customHeight="1" x14ac:dyDescent="0.3">
      <c r="A1059" s="305" t="s">
        <v>912</v>
      </c>
      <c r="B1059" s="306"/>
      <c r="C1059" s="390"/>
      <c r="D1059" s="308" t="s">
        <v>913</v>
      </c>
      <c r="E1059" s="309">
        <v>4</v>
      </c>
      <c r="F1059" s="310" t="s">
        <v>249</v>
      </c>
      <c r="G1059" s="311"/>
      <c r="H1059" s="312">
        <f t="shared" si="152"/>
        <v>0</v>
      </c>
      <c r="I1059" s="313"/>
      <c r="J1059" s="307"/>
      <c r="K1059" s="16"/>
      <c r="L1059" s="17"/>
      <c r="M1059" s="20"/>
      <c r="N1059" s="14"/>
      <c r="O1059" s="15"/>
      <c r="P1059" s="22"/>
    </row>
    <row r="1060" spans="1:16" s="5" customFormat="1" ht="15" customHeight="1" x14ac:dyDescent="0.3">
      <c r="A1060" s="305" t="s">
        <v>914</v>
      </c>
      <c r="B1060" s="306"/>
      <c r="C1060" s="390"/>
      <c r="D1060" s="308" t="s">
        <v>915</v>
      </c>
      <c r="E1060" s="309">
        <f>9+7+7</f>
        <v>23</v>
      </c>
      <c r="F1060" s="310" t="s">
        <v>249</v>
      </c>
      <c r="G1060" s="311"/>
      <c r="H1060" s="312">
        <f t="shared" si="152"/>
        <v>0</v>
      </c>
      <c r="I1060" s="313"/>
      <c r="J1060" s="307"/>
      <c r="K1060" s="16"/>
      <c r="L1060" s="17"/>
      <c r="M1060" s="20"/>
      <c r="N1060" s="14"/>
      <c r="O1060" s="15"/>
      <c r="P1060" s="22"/>
    </row>
    <row r="1061" spans="1:16" s="5" customFormat="1" ht="15" customHeight="1" x14ac:dyDescent="0.3">
      <c r="A1061" s="305" t="s">
        <v>916</v>
      </c>
      <c r="B1061" s="306"/>
      <c r="C1061" s="390"/>
      <c r="D1061" s="308" t="s">
        <v>917</v>
      </c>
      <c r="E1061" s="309">
        <v>3</v>
      </c>
      <c r="F1061" s="310" t="s">
        <v>249</v>
      </c>
      <c r="G1061" s="311"/>
      <c r="H1061" s="312">
        <f t="shared" si="152"/>
        <v>0</v>
      </c>
      <c r="I1061" s="313"/>
      <c r="J1061" s="307"/>
      <c r="K1061" s="16"/>
      <c r="L1061" s="17"/>
      <c r="M1061" s="20"/>
      <c r="N1061" s="14"/>
      <c r="O1061" s="15"/>
      <c r="P1061" s="22"/>
    </row>
    <row r="1062" spans="1:16" s="5" customFormat="1" ht="15" customHeight="1" x14ac:dyDescent="0.3">
      <c r="A1062" s="305" t="s">
        <v>918</v>
      </c>
      <c r="B1062" s="306"/>
      <c r="C1062" s="390"/>
      <c r="D1062" s="308" t="s">
        <v>919</v>
      </c>
      <c r="E1062" s="309">
        <f>7+4+4+3</f>
        <v>18</v>
      </c>
      <c r="F1062" s="310" t="s">
        <v>249</v>
      </c>
      <c r="G1062" s="311"/>
      <c r="H1062" s="312">
        <f t="shared" si="152"/>
        <v>0</v>
      </c>
      <c r="I1062" s="313"/>
      <c r="J1062" s="307"/>
      <c r="K1062" s="16"/>
      <c r="L1062" s="17"/>
      <c r="M1062" s="20"/>
      <c r="N1062" s="14"/>
      <c r="O1062" s="15"/>
      <c r="P1062" s="22"/>
    </row>
    <row r="1063" spans="1:16" s="5" customFormat="1" ht="15" customHeight="1" x14ac:dyDescent="0.3">
      <c r="A1063" s="305" t="s">
        <v>920</v>
      </c>
      <c r="B1063" s="306"/>
      <c r="C1063" s="390"/>
      <c r="D1063" s="308" t="s">
        <v>921</v>
      </c>
      <c r="E1063" s="309">
        <f>120+1+1+1</f>
        <v>123</v>
      </c>
      <c r="F1063" s="310" t="s">
        <v>249</v>
      </c>
      <c r="G1063" s="311"/>
      <c r="H1063" s="312">
        <f t="shared" si="152"/>
        <v>0</v>
      </c>
      <c r="I1063" s="313"/>
      <c r="J1063" s="307"/>
      <c r="K1063" s="16"/>
      <c r="L1063" s="17"/>
      <c r="M1063" s="20"/>
      <c r="N1063" s="14"/>
      <c r="O1063" s="15"/>
      <c r="P1063" s="22"/>
    </row>
    <row r="1064" spans="1:16" s="5" customFormat="1" ht="15" customHeight="1" x14ac:dyDescent="0.3">
      <c r="A1064" s="305"/>
      <c r="B1064" s="306"/>
      <c r="C1064" s="390"/>
      <c r="D1064" s="385"/>
      <c r="E1064" s="309"/>
      <c r="F1064" s="310"/>
      <c r="G1064" s="311"/>
      <c r="H1064" s="312"/>
      <c r="I1064" s="313"/>
      <c r="J1064" s="307"/>
      <c r="K1064" s="16"/>
      <c r="L1064" s="17"/>
      <c r="M1064" s="20"/>
      <c r="N1064" s="14"/>
      <c r="O1064" s="15"/>
      <c r="P1064" s="22"/>
    </row>
    <row r="1065" spans="1:16" s="5" customFormat="1" ht="30" customHeight="1" x14ac:dyDescent="0.3">
      <c r="A1065" s="305"/>
      <c r="B1065" s="306"/>
      <c r="C1065" s="394" t="s">
        <v>922</v>
      </c>
      <c r="D1065" s="395" t="s">
        <v>922</v>
      </c>
      <c r="E1065" s="309"/>
      <c r="F1065" s="310"/>
      <c r="G1065" s="311"/>
      <c r="H1065" s="312"/>
      <c r="I1065" s="313"/>
      <c r="J1065" s="307"/>
      <c r="K1065" s="16"/>
      <c r="L1065" s="17"/>
      <c r="M1065" s="20"/>
      <c r="N1065" s="14"/>
      <c r="O1065" s="15"/>
      <c r="P1065" s="22"/>
    </row>
    <row r="1066" spans="1:16" s="5" customFormat="1" ht="15" customHeight="1" x14ac:dyDescent="0.3">
      <c r="A1066" s="305" t="s">
        <v>923</v>
      </c>
      <c r="B1066" s="306"/>
      <c r="C1066" s="390"/>
      <c r="D1066" s="308" t="s">
        <v>901</v>
      </c>
      <c r="E1066" s="309">
        <f>66+3</f>
        <v>69</v>
      </c>
      <c r="F1066" s="310" t="s">
        <v>249</v>
      </c>
      <c r="G1066" s="311"/>
      <c r="H1066" s="312">
        <f t="shared" ref="H1066:H1076" si="153">E1066*G1066</f>
        <v>0</v>
      </c>
      <c r="I1066" s="313"/>
      <c r="J1066" s="307"/>
      <c r="K1066" s="16"/>
      <c r="L1066" s="17"/>
      <c r="M1066" s="20"/>
      <c r="N1066" s="14"/>
      <c r="O1066" s="15"/>
      <c r="P1066" s="22"/>
    </row>
    <row r="1067" spans="1:16" s="5" customFormat="1" ht="15" customHeight="1" x14ac:dyDescent="0.3">
      <c r="A1067" s="305" t="s">
        <v>924</v>
      </c>
      <c r="B1067" s="306"/>
      <c r="C1067" s="390"/>
      <c r="D1067" s="308" t="s">
        <v>903</v>
      </c>
      <c r="E1067" s="309">
        <f>149+5</f>
        <v>154</v>
      </c>
      <c r="F1067" s="310" t="s">
        <v>249</v>
      </c>
      <c r="G1067" s="311"/>
      <c r="H1067" s="312">
        <f t="shared" si="153"/>
        <v>0</v>
      </c>
      <c r="I1067" s="313"/>
      <c r="J1067" s="307"/>
      <c r="K1067" s="16"/>
      <c r="L1067" s="17"/>
      <c r="M1067" s="20"/>
      <c r="N1067" s="14"/>
      <c r="O1067" s="15"/>
      <c r="P1067" s="22"/>
    </row>
    <row r="1068" spans="1:16" s="5" customFormat="1" ht="15" customHeight="1" x14ac:dyDescent="0.3">
      <c r="A1068" s="305" t="s">
        <v>925</v>
      </c>
      <c r="B1068" s="306"/>
      <c r="C1068" s="390"/>
      <c r="D1068" s="308" t="s">
        <v>905</v>
      </c>
      <c r="E1068" s="309">
        <f>186-1+4+3</f>
        <v>192</v>
      </c>
      <c r="F1068" s="310" t="s">
        <v>249</v>
      </c>
      <c r="G1068" s="311"/>
      <c r="H1068" s="312">
        <f t="shared" si="153"/>
        <v>0</v>
      </c>
      <c r="I1068" s="313"/>
      <c r="J1068" s="307"/>
      <c r="K1068" s="16"/>
      <c r="L1068" s="17"/>
      <c r="M1068" s="20"/>
      <c r="N1068" s="14"/>
      <c r="O1068" s="15"/>
      <c r="P1068" s="22"/>
    </row>
    <row r="1069" spans="1:16" s="5" customFormat="1" ht="15" customHeight="1" x14ac:dyDescent="0.3">
      <c r="A1069" s="305" t="s">
        <v>926</v>
      </c>
      <c r="B1069" s="306"/>
      <c r="C1069" s="390"/>
      <c r="D1069" s="308" t="s">
        <v>907</v>
      </c>
      <c r="E1069" s="309">
        <v>9</v>
      </c>
      <c r="F1069" s="310" t="s">
        <v>249</v>
      </c>
      <c r="G1069" s="311"/>
      <c r="H1069" s="312">
        <f t="shared" si="153"/>
        <v>0</v>
      </c>
      <c r="I1069" s="313"/>
      <c r="J1069" s="307"/>
      <c r="K1069" s="16"/>
      <c r="L1069" s="17"/>
      <c r="M1069" s="20"/>
      <c r="N1069" s="14"/>
      <c r="O1069" s="15"/>
      <c r="P1069" s="22"/>
    </row>
    <row r="1070" spans="1:16" s="5" customFormat="1" ht="15" customHeight="1" x14ac:dyDescent="0.3">
      <c r="A1070" s="305" t="s">
        <v>927</v>
      </c>
      <c r="B1070" s="306"/>
      <c r="C1070" s="390"/>
      <c r="D1070" s="308" t="s">
        <v>909</v>
      </c>
      <c r="E1070" s="309">
        <v>102</v>
      </c>
      <c r="F1070" s="310" t="s">
        <v>249</v>
      </c>
      <c r="G1070" s="311"/>
      <c r="H1070" s="312">
        <f t="shared" si="153"/>
        <v>0</v>
      </c>
      <c r="I1070" s="313"/>
      <c r="J1070" s="307"/>
      <c r="K1070" s="16"/>
      <c r="L1070" s="17"/>
      <c r="M1070" s="20"/>
      <c r="N1070" s="14"/>
      <c r="O1070" s="15"/>
      <c r="P1070" s="22"/>
    </row>
    <row r="1071" spans="1:16" s="5" customFormat="1" ht="15" customHeight="1" x14ac:dyDescent="0.3">
      <c r="A1071" s="305" t="s">
        <v>928</v>
      </c>
      <c r="B1071" s="306"/>
      <c r="C1071" s="390"/>
      <c r="D1071" s="308" t="s">
        <v>911</v>
      </c>
      <c r="E1071" s="309">
        <v>4</v>
      </c>
      <c r="F1071" s="310" t="s">
        <v>249</v>
      </c>
      <c r="G1071" s="311"/>
      <c r="H1071" s="312">
        <f t="shared" si="153"/>
        <v>0</v>
      </c>
      <c r="I1071" s="313"/>
      <c r="J1071" s="307"/>
      <c r="K1071" s="16"/>
      <c r="L1071" s="17"/>
      <c r="M1071" s="20"/>
      <c r="N1071" s="14"/>
      <c r="O1071" s="15"/>
      <c r="P1071" s="22"/>
    </row>
    <row r="1072" spans="1:16" s="5" customFormat="1" ht="15" customHeight="1" x14ac:dyDescent="0.3">
      <c r="A1072" s="305" t="s">
        <v>929</v>
      </c>
      <c r="B1072" s="306"/>
      <c r="C1072" s="390"/>
      <c r="D1072" s="308" t="s">
        <v>913</v>
      </c>
      <c r="E1072" s="309">
        <v>4</v>
      </c>
      <c r="F1072" s="310" t="s">
        <v>249</v>
      </c>
      <c r="G1072" s="311"/>
      <c r="H1072" s="312">
        <f t="shared" si="153"/>
        <v>0</v>
      </c>
      <c r="I1072" s="313"/>
      <c r="J1072" s="307"/>
      <c r="K1072" s="16"/>
      <c r="L1072" s="17"/>
      <c r="M1072" s="20"/>
      <c r="N1072" s="14"/>
      <c r="O1072" s="15"/>
      <c r="P1072" s="22"/>
    </row>
    <row r="1073" spans="1:16" s="5" customFormat="1" ht="15" customHeight="1" x14ac:dyDescent="0.3">
      <c r="A1073" s="305" t="s">
        <v>930</v>
      </c>
      <c r="B1073" s="306"/>
      <c r="C1073" s="390"/>
      <c r="D1073" s="308" t="s">
        <v>915</v>
      </c>
      <c r="E1073" s="309">
        <f>9+7+7</f>
        <v>23</v>
      </c>
      <c r="F1073" s="310" t="s">
        <v>249</v>
      </c>
      <c r="G1073" s="311"/>
      <c r="H1073" s="312">
        <f t="shared" si="153"/>
        <v>0</v>
      </c>
      <c r="I1073" s="313"/>
      <c r="J1073" s="307"/>
      <c r="K1073" s="16"/>
      <c r="L1073" s="17"/>
      <c r="M1073" s="20"/>
      <c r="N1073" s="14"/>
      <c r="O1073" s="15"/>
      <c r="P1073" s="22"/>
    </row>
    <row r="1074" spans="1:16" s="5" customFormat="1" ht="15" customHeight="1" x14ac:dyDescent="0.3">
      <c r="A1074" s="305" t="s">
        <v>931</v>
      </c>
      <c r="B1074" s="306"/>
      <c r="C1074" s="390"/>
      <c r="D1074" s="308" t="s">
        <v>917</v>
      </c>
      <c r="E1074" s="309">
        <v>3</v>
      </c>
      <c r="F1074" s="310" t="s">
        <v>249</v>
      </c>
      <c r="G1074" s="311"/>
      <c r="H1074" s="312">
        <f t="shared" si="153"/>
        <v>0</v>
      </c>
      <c r="I1074" s="313"/>
      <c r="J1074" s="307"/>
      <c r="K1074" s="16"/>
      <c r="L1074" s="17"/>
      <c r="M1074" s="20"/>
      <c r="N1074" s="14"/>
      <c r="O1074" s="15"/>
      <c r="P1074" s="22"/>
    </row>
    <row r="1075" spans="1:16" s="5" customFormat="1" ht="15" customHeight="1" x14ac:dyDescent="0.3">
      <c r="A1075" s="305" t="s">
        <v>932</v>
      </c>
      <c r="B1075" s="306"/>
      <c r="C1075" s="390"/>
      <c r="D1075" s="308" t="s">
        <v>919</v>
      </c>
      <c r="E1075" s="309">
        <f>7+4+4+3</f>
        <v>18</v>
      </c>
      <c r="F1075" s="310" t="s">
        <v>249</v>
      </c>
      <c r="G1075" s="311"/>
      <c r="H1075" s="312">
        <f t="shared" si="153"/>
        <v>0</v>
      </c>
      <c r="I1075" s="313"/>
      <c r="J1075" s="307"/>
      <c r="K1075" s="16"/>
      <c r="L1075" s="17"/>
      <c r="M1075" s="20"/>
      <c r="N1075" s="14"/>
      <c r="O1075" s="15"/>
      <c r="P1075" s="22"/>
    </row>
    <row r="1076" spans="1:16" s="5" customFormat="1" ht="15" customHeight="1" x14ac:dyDescent="0.3">
      <c r="A1076" s="305" t="s">
        <v>933</v>
      </c>
      <c r="B1076" s="306"/>
      <c r="C1076" s="390"/>
      <c r="D1076" s="308" t="s">
        <v>921</v>
      </c>
      <c r="E1076" s="309">
        <f>120+1+1+1</f>
        <v>123</v>
      </c>
      <c r="F1076" s="310" t="s">
        <v>249</v>
      </c>
      <c r="G1076" s="311"/>
      <c r="H1076" s="312">
        <f t="shared" si="153"/>
        <v>0</v>
      </c>
      <c r="I1076" s="313"/>
      <c r="J1076" s="307"/>
      <c r="K1076" s="16"/>
      <c r="L1076" s="17"/>
      <c r="M1076" s="20"/>
      <c r="N1076" s="14"/>
      <c r="O1076" s="15"/>
      <c r="P1076" s="22"/>
    </row>
    <row r="1077" spans="1:16" s="5" customFormat="1" ht="15" customHeight="1" x14ac:dyDescent="0.3">
      <c r="A1077" s="305"/>
      <c r="B1077" s="306"/>
      <c r="C1077" s="390"/>
      <c r="D1077" s="385"/>
      <c r="E1077" s="309"/>
      <c r="F1077" s="310"/>
      <c r="G1077" s="311"/>
      <c r="H1077" s="312"/>
      <c r="I1077" s="313"/>
      <c r="J1077" s="307"/>
      <c r="K1077" s="16"/>
      <c r="L1077" s="17"/>
      <c r="M1077" s="20"/>
      <c r="N1077" s="14"/>
      <c r="O1077" s="15"/>
      <c r="P1077" s="22"/>
    </row>
    <row r="1078" spans="1:16" s="34" customFormat="1" ht="15" customHeight="1" x14ac:dyDescent="0.3">
      <c r="A1078" s="469"/>
      <c r="B1078" s="462"/>
      <c r="C1078" s="390" t="s">
        <v>934</v>
      </c>
      <c r="D1078" s="463"/>
      <c r="E1078" s="470"/>
      <c r="F1078" s="471"/>
      <c r="G1078" s="311"/>
      <c r="H1078" s="312"/>
      <c r="I1078" s="313"/>
      <c r="J1078" s="472"/>
      <c r="K1078" s="57"/>
      <c r="L1078" s="56"/>
      <c r="M1078" s="20"/>
      <c r="N1078" s="14"/>
      <c r="O1078" s="15"/>
      <c r="P1078" s="33"/>
    </row>
    <row r="1079" spans="1:16" s="5" customFormat="1" ht="30" customHeight="1" x14ac:dyDescent="0.3">
      <c r="A1079" s="305"/>
      <c r="B1079" s="306"/>
      <c r="C1079" s="394" t="s">
        <v>899</v>
      </c>
      <c r="D1079" s="395"/>
      <c r="E1079" s="309"/>
      <c r="F1079" s="310"/>
      <c r="G1079" s="311"/>
      <c r="H1079" s="312"/>
      <c r="I1079" s="313"/>
      <c r="J1079" s="307"/>
      <c r="K1079" s="16"/>
      <c r="L1079" s="17"/>
      <c r="M1079" s="20"/>
      <c r="N1079" s="14"/>
      <c r="O1079" s="15"/>
      <c r="P1079" s="22"/>
    </row>
    <row r="1080" spans="1:16" s="5" customFormat="1" ht="15" customHeight="1" x14ac:dyDescent="0.3">
      <c r="A1080" s="305" t="s">
        <v>935</v>
      </c>
      <c r="B1080" s="306"/>
      <c r="C1080" s="390"/>
      <c r="D1080" s="308" t="s">
        <v>936</v>
      </c>
      <c r="E1080" s="309">
        <f>4443+4+1+5-6+7+9</f>
        <v>4463</v>
      </c>
      <c r="F1080" s="310" t="s">
        <v>249</v>
      </c>
      <c r="G1080" s="311"/>
      <c r="H1080" s="312">
        <f t="shared" ref="H1080" si="154">E1080*G1080</f>
        <v>0</v>
      </c>
      <c r="I1080" s="313"/>
      <c r="J1080" s="307"/>
      <c r="K1080" s="16"/>
      <c r="L1080" s="17"/>
      <c r="M1080" s="20"/>
      <c r="N1080" s="14"/>
      <c r="O1080" s="15"/>
      <c r="P1080" s="22"/>
    </row>
    <row r="1081" spans="1:16" s="5" customFormat="1" ht="15" customHeight="1" x14ac:dyDescent="0.3">
      <c r="A1081" s="305"/>
      <c r="B1081" s="306"/>
      <c r="C1081" s="390"/>
      <c r="D1081" s="385"/>
      <c r="E1081" s="309"/>
      <c r="F1081" s="310"/>
      <c r="G1081" s="311"/>
      <c r="H1081" s="312"/>
      <c r="I1081" s="313"/>
      <c r="J1081" s="307"/>
      <c r="K1081" s="16"/>
      <c r="L1081" s="17"/>
      <c r="M1081" s="20"/>
      <c r="N1081" s="14"/>
      <c r="O1081" s="15"/>
      <c r="P1081" s="22"/>
    </row>
    <row r="1082" spans="1:16" s="5" customFormat="1" ht="30" customHeight="1" x14ac:dyDescent="0.3">
      <c r="A1082" s="305"/>
      <c r="B1082" s="306"/>
      <c r="C1082" s="394" t="s">
        <v>937</v>
      </c>
      <c r="D1082" s="395" t="s">
        <v>922</v>
      </c>
      <c r="E1082" s="309"/>
      <c r="F1082" s="310"/>
      <c r="G1082" s="311"/>
      <c r="H1082" s="312"/>
      <c r="I1082" s="313"/>
      <c r="J1082" s="307"/>
      <c r="K1082" s="16"/>
      <c r="L1082" s="17"/>
      <c r="M1082" s="20"/>
      <c r="N1082" s="14"/>
      <c r="O1082" s="15"/>
      <c r="P1082" s="22"/>
    </row>
    <row r="1083" spans="1:16" s="5" customFormat="1" x14ac:dyDescent="0.3">
      <c r="A1083" s="305" t="s">
        <v>938</v>
      </c>
      <c r="B1083" s="306"/>
      <c r="C1083" s="390"/>
      <c r="D1083" s="308" t="s">
        <v>939</v>
      </c>
      <c r="E1083" s="309">
        <f>4339+1-6</f>
        <v>4334</v>
      </c>
      <c r="F1083" s="310" t="s">
        <v>249</v>
      </c>
      <c r="G1083" s="311"/>
      <c r="H1083" s="312">
        <f t="shared" ref="H1083:H1088" si="155">E1083*G1083</f>
        <v>0</v>
      </c>
      <c r="I1083" s="313"/>
      <c r="J1083" s="307"/>
      <c r="K1083" s="16"/>
      <c r="L1083" s="17"/>
      <c r="M1083" s="20"/>
      <c r="N1083" s="14"/>
      <c r="O1083" s="15"/>
      <c r="P1083" s="22"/>
    </row>
    <row r="1084" spans="1:16" s="5" customFormat="1" x14ac:dyDescent="0.3">
      <c r="A1084" s="305" t="s">
        <v>940</v>
      </c>
      <c r="B1084" s="306"/>
      <c r="C1084" s="390"/>
      <c r="D1084" s="308" t="s">
        <v>941</v>
      </c>
      <c r="E1084" s="309">
        <f>18+4+5+9</f>
        <v>36</v>
      </c>
      <c r="F1084" s="310" t="s">
        <v>249</v>
      </c>
      <c r="G1084" s="311"/>
      <c r="H1084" s="312">
        <f t="shared" si="155"/>
        <v>0</v>
      </c>
      <c r="I1084" s="313"/>
      <c r="J1084" s="307"/>
      <c r="K1084" s="16"/>
      <c r="L1084" s="17"/>
      <c r="M1084" s="20"/>
      <c r="N1084" s="14"/>
      <c r="O1084" s="15"/>
      <c r="P1084" s="22"/>
    </row>
    <row r="1085" spans="1:16" s="5" customFormat="1" x14ac:dyDescent="0.3">
      <c r="A1085" s="305" t="s">
        <v>942</v>
      </c>
      <c r="B1085" s="306"/>
      <c r="C1085" s="390"/>
      <c r="D1085" s="308" t="s">
        <v>943</v>
      </c>
      <c r="E1085" s="309">
        <f>35+7</f>
        <v>42</v>
      </c>
      <c r="F1085" s="310" t="s">
        <v>249</v>
      </c>
      <c r="G1085" s="311"/>
      <c r="H1085" s="312">
        <f t="shared" si="155"/>
        <v>0</v>
      </c>
      <c r="I1085" s="313"/>
      <c r="J1085" s="307"/>
      <c r="K1085" s="16"/>
      <c r="L1085" s="17"/>
      <c r="M1085" s="20"/>
      <c r="N1085" s="14"/>
      <c r="O1085" s="15"/>
      <c r="P1085" s="22"/>
    </row>
    <row r="1086" spans="1:16" s="5" customFormat="1" x14ac:dyDescent="0.3">
      <c r="A1086" s="305" t="s">
        <v>944</v>
      </c>
      <c r="B1086" s="306"/>
      <c r="C1086" s="390"/>
      <c r="D1086" s="308" t="s">
        <v>945</v>
      </c>
      <c r="E1086" s="309">
        <v>23</v>
      </c>
      <c r="F1086" s="310" t="s">
        <v>249</v>
      </c>
      <c r="G1086" s="311"/>
      <c r="H1086" s="312">
        <f t="shared" si="155"/>
        <v>0</v>
      </c>
      <c r="I1086" s="313"/>
      <c r="J1086" s="307"/>
      <c r="K1086" s="16"/>
      <c r="L1086" s="17"/>
      <c r="M1086" s="20"/>
      <c r="N1086" s="14"/>
      <c r="O1086" s="15"/>
      <c r="P1086" s="22"/>
    </row>
    <row r="1087" spans="1:16" s="5" customFormat="1" x14ac:dyDescent="0.3">
      <c r="A1087" s="305" t="s">
        <v>946</v>
      </c>
      <c r="B1087" s="306"/>
      <c r="C1087" s="390"/>
      <c r="D1087" s="308" t="s">
        <v>947</v>
      </c>
      <c r="E1087" s="309">
        <v>6</v>
      </c>
      <c r="F1087" s="310" t="s">
        <v>249</v>
      </c>
      <c r="G1087" s="311"/>
      <c r="H1087" s="312">
        <f t="shared" si="155"/>
        <v>0</v>
      </c>
      <c r="I1087" s="313"/>
      <c r="J1087" s="307"/>
      <c r="K1087" s="16"/>
      <c r="L1087" s="17"/>
      <c r="M1087" s="20"/>
      <c r="N1087" s="14"/>
      <c r="O1087" s="15"/>
      <c r="P1087" s="22"/>
    </row>
    <row r="1088" spans="1:16" s="5" customFormat="1" x14ac:dyDescent="0.3">
      <c r="A1088" s="305" t="s">
        <v>948</v>
      </c>
      <c r="B1088" s="306"/>
      <c r="C1088" s="390"/>
      <c r="D1088" s="308" t="s">
        <v>949</v>
      </c>
      <c r="E1088" s="309">
        <v>22</v>
      </c>
      <c r="F1088" s="310" t="s">
        <v>249</v>
      </c>
      <c r="G1088" s="311"/>
      <c r="H1088" s="312">
        <f t="shared" si="155"/>
        <v>0</v>
      </c>
      <c r="I1088" s="313"/>
      <c r="J1088" s="307"/>
      <c r="K1088" s="16"/>
      <c r="L1088" s="17"/>
      <c r="M1088" s="20"/>
      <c r="N1088" s="14"/>
      <c r="O1088" s="15"/>
      <c r="P1088" s="22"/>
    </row>
    <row r="1089" spans="1:16" s="5" customFormat="1" ht="15" customHeight="1" x14ac:dyDescent="0.3">
      <c r="A1089" s="305"/>
      <c r="B1089" s="306"/>
      <c r="C1089" s="390"/>
      <c r="D1089" s="385"/>
      <c r="E1089" s="309"/>
      <c r="F1089" s="310"/>
      <c r="G1089" s="311"/>
      <c r="H1089" s="312"/>
      <c r="I1089" s="313"/>
      <c r="J1089" s="307"/>
      <c r="K1089" s="16"/>
      <c r="L1089" s="17"/>
      <c r="M1089" s="20"/>
      <c r="N1089" s="14"/>
      <c r="O1089" s="15"/>
      <c r="P1089" s="22"/>
    </row>
    <row r="1090" spans="1:16" s="34" customFormat="1" ht="15" customHeight="1" x14ac:dyDescent="0.3">
      <c r="A1090" s="469"/>
      <c r="B1090" s="462"/>
      <c r="C1090" s="390" t="s">
        <v>950</v>
      </c>
      <c r="D1090" s="463"/>
      <c r="E1090" s="470"/>
      <c r="F1090" s="471"/>
      <c r="G1090" s="311"/>
      <c r="H1090" s="312"/>
      <c r="I1090" s="313"/>
      <c r="J1090" s="472"/>
      <c r="K1090" s="57"/>
      <c r="L1090" s="56"/>
      <c r="M1090" s="20"/>
      <c r="N1090" s="14"/>
      <c r="O1090" s="15"/>
      <c r="P1090" s="33"/>
    </row>
    <row r="1091" spans="1:16" s="5" customFormat="1" ht="30" customHeight="1" x14ac:dyDescent="0.3">
      <c r="A1091" s="305"/>
      <c r="B1091" s="306"/>
      <c r="C1091" s="394" t="s">
        <v>899</v>
      </c>
      <c r="D1091" s="395"/>
      <c r="E1091" s="309"/>
      <c r="F1091" s="310"/>
      <c r="G1091" s="311"/>
      <c r="H1091" s="312"/>
      <c r="I1091" s="313"/>
      <c r="J1091" s="307"/>
      <c r="K1091" s="16"/>
      <c r="L1091" s="17"/>
      <c r="M1091" s="20"/>
      <c r="N1091" s="14"/>
      <c r="O1091" s="15"/>
      <c r="P1091" s="22"/>
    </row>
    <row r="1092" spans="1:16" s="5" customFormat="1" ht="15" customHeight="1" x14ac:dyDescent="0.25">
      <c r="A1092" s="305" t="s">
        <v>951</v>
      </c>
      <c r="B1092" s="306"/>
      <c r="C1092" s="390"/>
      <c r="D1092" s="473" t="s">
        <v>952</v>
      </c>
      <c r="E1092" s="309">
        <f>82+1</f>
        <v>83</v>
      </c>
      <c r="F1092" s="310" t="s">
        <v>249</v>
      </c>
      <c r="G1092" s="311"/>
      <c r="H1092" s="312">
        <f t="shared" ref="H1092:H1096" si="156">E1092*G1092</f>
        <v>0</v>
      </c>
      <c r="I1092" s="313"/>
      <c r="J1092" s="307"/>
      <c r="K1092" s="16"/>
      <c r="L1092" s="17"/>
      <c r="M1092" s="20"/>
      <c r="N1092" s="14"/>
      <c r="O1092" s="15"/>
      <c r="P1092" s="22"/>
    </row>
    <row r="1093" spans="1:16" s="5" customFormat="1" ht="15" customHeight="1" x14ac:dyDescent="0.25">
      <c r="A1093" s="305" t="s">
        <v>953</v>
      </c>
      <c r="B1093" s="306"/>
      <c r="C1093" s="390"/>
      <c r="D1093" s="473" t="s">
        <v>954</v>
      </c>
      <c r="E1093" s="309">
        <v>8</v>
      </c>
      <c r="F1093" s="310" t="s">
        <v>249</v>
      </c>
      <c r="G1093" s="311"/>
      <c r="H1093" s="312">
        <f t="shared" si="156"/>
        <v>0</v>
      </c>
      <c r="I1093" s="313"/>
      <c r="J1093" s="307"/>
      <c r="K1093" s="16"/>
      <c r="L1093" s="17"/>
      <c r="M1093" s="20"/>
      <c r="N1093" s="14"/>
      <c r="O1093" s="15"/>
      <c r="P1093" s="22"/>
    </row>
    <row r="1094" spans="1:16" s="5" customFormat="1" ht="15" customHeight="1" x14ac:dyDescent="0.25">
      <c r="A1094" s="305" t="s">
        <v>955</v>
      </c>
      <c r="B1094" s="306"/>
      <c r="C1094" s="390"/>
      <c r="D1094" s="473" t="s">
        <v>956</v>
      </c>
      <c r="E1094" s="309">
        <f>58+2</f>
        <v>60</v>
      </c>
      <c r="F1094" s="310" t="s">
        <v>249</v>
      </c>
      <c r="G1094" s="311"/>
      <c r="H1094" s="312">
        <f t="shared" si="156"/>
        <v>0</v>
      </c>
      <c r="I1094" s="313"/>
      <c r="J1094" s="307"/>
      <c r="K1094" s="16"/>
      <c r="L1094" s="17"/>
      <c r="M1094" s="20"/>
      <c r="N1094" s="14"/>
      <c r="O1094" s="15"/>
      <c r="P1094" s="22"/>
    </row>
    <row r="1095" spans="1:16" s="5" customFormat="1" ht="15" customHeight="1" x14ac:dyDescent="0.25">
      <c r="A1095" s="305" t="s">
        <v>957</v>
      </c>
      <c r="B1095" s="306"/>
      <c r="C1095" s="390"/>
      <c r="D1095" s="473" t="s">
        <v>958</v>
      </c>
      <c r="E1095" s="309">
        <v>54</v>
      </c>
      <c r="F1095" s="310" t="s">
        <v>249</v>
      </c>
      <c r="G1095" s="311"/>
      <c r="H1095" s="312">
        <f t="shared" si="156"/>
        <v>0</v>
      </c>
      <c r="I1095" s="313"/>
      <c r="J1095" s="307"/>
      <c r="K1095" s="16"/>
      <c r="L1095" s="17"/>
      <c r="M1095" s="20"/>
      <c r="N1095" s="14"/>
      <c r="O1095" s="15"/>
      <c r="P1095" s="22"/>
    </row>
    <row r="1096" spans="1:16" s="5" customFormat="1" ht="15" customHeight="1" x14ac:dyDescent="0.25">
      <c r="A1096" s="305" t="s">
        <v>959</v>
      </c>
      <c r="B1096" s="306"/>
      <c r="C1096" s="390"/>
      <c r="D1096" s="473" t="s">
        <v>960</v>
      </c>
      <c r="E1096" s="309">
        <f>498-2</f>
        <v>496</v>
      </c>
      <c r="F1096" s="310" t="s">
        <v>249</v>
      </c>
      <c r="G1096" s="311"/>
      <c r="H1096" s="312">
        <f t="shared" si="156"/>
        <v>0</v>
      </c>
      <c r="I1096" s="313"/>
      <c r="J1096" s="307"/>
      <c r="K1096" s="16"/>
      <c r="L1096" s="17"/>
      <c r="M1096" s="20"/>
      <c r="N1096" s="14"/>
      <c r="O1096" s="15"/>
      <c r="P1096" s="22"/>
    </row>
    <row r="1097" spans="1:16" s="5" customFormat="1" ht="15" customHeight="1" x14ac:dyDescent="0.3">
      <c r="A1097" s="305"/>
      <c r="B1097" s="306"/>
      <c r="C1097" s="390"/>
      <c r="D1097" s="385"/>
      <c r="E1097" s="309"/>
      <c r="F1097" s="310"/>
      <c r="G1097" s="311"/>
      <c r="H1097" s="312"/>
      <c r="I1097" s="313"/>
      <c r="J1097" s="307"/>
      <c r="K1097" s="16"/>
      <c r="L1097" s="17"/>
      <c r="M1097" s="20"/>
      <c r="N1097" s="14"/>
      <c r="O1097" s="15"/>
      <c r="P1097" s="22"/>
    </row>
    <row r="1098" spans="1:16" s="5" customFormat="1" ht="30" customHeight="1" x14ac:dyDescent="0.3">
      <c r="A1098" s="305"/>
      <c r="B1098" s="306"/>
      <c r="C1098" s="394" t="s">
        <v>922</v>
      </c>
      <c r="D1098" s="395" t="s">
        <v>922</v>
      </c>
      <c r="E1098" s="309"/>
      <c r="F1098" s="310"/>
      <c r="G1098" s="311"/>
      <c r="H1098" s="312"/>
      <c r="I1098" s="313"/>
      <c r="J1098" s="307"/>
      <c r="K1098" s="16"/>
      <c r="L1098" s="17"/>
      <c r="M1098" s="20"/>
      <c r="N1098" s="14"/>
      <c r="O1098" s="15"/>
      <c r="P1098" s="22"/>
    </row>
    <row r="1099" spans="1:16" s="5" customFormat="1" ht="15" customHeight="1" x14ac:dyDescent="0.25">
      <c r="A1099" s="305" t="s">
        <v>961</v>
      </c>
      <c r="B1099" s="306"/>
      <c r="C1099" s="390"/>
      <c r="D1099" s="473" t="s">
        <v>952</v>
      </c>
      <c r="E1099" s="309">
        <f>82+1</f>
        <v>83</v>
      </c>
      <c r="F1099" s="310" t="s">
        <v>249</v>
      </c>
      <c r="G1099" s="311"/>
      <c r="H1099" s="312">
        <f t="shared" ref="H1099:H1103" si="157">E1099*G1099</f>
        <v>0</v>
      </c>
      <c r="I1099" s="313"/>
      <c r="J1099" s="307"/>
      <c r="K1099" s="16"/>
      <c r="L1099" s="17"/>
      <c r="M1099" s="20"/>
      <c r="N1099" s="14"/>
      <c r="O1099" s="15"/>
      <c r="P1099" s="22"/>
    </row>
    <row r="1100" spans="1:16" s="5" customFormat="1" ht="15" customHeight="1" x14ac:dyDescent="0.25">
      <c r="A1100" s="305" t="s">
        <v>962</v>
      </c>
      <c r="B1100" s="306"/>
      <c r="C1100" s="390"/>
      <c r="D1100" s="473" t="s">
        <v>954</v>
      </c>
      <c r="E1100" s="309">
        <v>8</v>
      </c>
      <c r="F1100" s="310" t="s">
        <v>249</v>
      </c>
      <c r="G1100" s="311"/>
      <c r="H1100" s="312">
        <f t="shared" si="157"/>
        <v>0</v>
      </c>
      <c r="I1100" s="313"/>
      <c r="J1100" s="307"/>
      <c r="K1100" s="16"/>
      <c r="L1100" s="17"/>
      <c r="M1100" s="20"/>
      <c r="N1100" s="14"/>
      <c r="O1100" s="15"/>
      <c r="P1100" s="22"/>
    </row>
    <row r="1101" spans="1:16" s="5" customFormat="1" ht="15" customHeight="1" x14ac:dyDescent="0.25">
      <c r="A1101" s="305" t="s">
        <v>963</v>
      </c>
      <c r="B1101" s="306"/>
      <c r="C1101" s="390"/>
      <c r="D1101" s="473" t="s">
        <v>956</v>
      </c>
      <c r="E1101" s="309">
        <f>58+2</f>
        <v>60</v>
      </c>
      <c r="F1101" s="310" t="s">
        <v>249</v>
      </c>
      <c r="G1101" s="311"/>
      <c r="H1101" s="312">
        <f t="shared" si="157"/>
        <v>0</v>
      </c>
      <c r="I1101" s="313"/>
      <c r="J1101" s="307"/>
      <c r="K1101" s="16"/>
      <c r="L1101" s="17"/>
      <c r="M1101" s="20"/>
      <c r="N1101" s="14"/>
      <c r="O1101" s="15"/>
      <c r="P1101" s="22"/>
    </row>
    <row r="1102" spans="1:16" s="5" customFormat="1" ht="15" customHeight="1" x14ac:dyDescent="0.25">
      <c r="A1102" s="305" t="s">
        <v>964</v>
      </c>
      <c r="B1102" s="306"/>
      <c r="C1102" s="390"/>
      <c r="D1102" s="473" t="s">
        <v>958</v>
      </c>
      <c r="E1102" s="309">
        <v>54</v>
      </c>
      <c r="F1102" s="310" t="s">
        <v>249</v>
      </c>
      <c r="G1102" s="311"/>
      <c r="H1102" s="312">
        <f t="shared" si="157"/>
        <v>0</v>
      </c>
      <c r="I1102" s="313"/>
      <c r="J1102" s="307"/>
      <c r="K1102" s="16"/>
      <c r="L1102" s="17"/>
      <c r="M1102" s="20"/>
      <c r="N1102" s="14"/>
      <c r="O1102" s="15"/>
      <c r="P1102" s="22"/>
    </row>
    <row r="1103" spans="1:16" s="5" customFormat="1" ht="15" customHeight="1" x14ac:dyDescent="0.25">
      <c r="A1103" s="305" t="s">
        <v>965</v>
      </c>
      <c r="B1103" s="306"/>
      <c r="C1103" s="390"/>
      <c r="D1103" s="473" t="s">
        <v>960</v>
      </c>
      <c r="E1103" s="309">
        <f>498-2</f>
        <v>496</v>
      </c>
      <c r="F1103" s="310" t="s">
        <v>249</v>
      </c>
      <c r="G1103" s="311"/>
      <c r="H1103" s="312">
        <f t="shared" si="157"/>
        <v>0</v>
      </c>
      <c r="I1103" s="313"/>
      <c r="J1103" s="307"/>
      <c r="K1103" s="16"/>
      <c r="L1103" s="17"/>
      <c r="M1103" s="20"/>
      <c r="N1103" s="14"/>
      <c r="O1103" s="15"/>
      <c r="P1103" s="22"/>
    </row>
    <row r="1104" spans="1:16" s="5" customFormat="1" ht="15" customHeight="1" x14ac:dyDescent="0.3">
      <c r="A1104" s="401"/>
      <c r="B1104" s="402"/>
      <c r="C1104" s="403"/>
      <c r="D1104" s="468"/>
      <c r="E1104" s="432"/>
      <c r="F1104" s="433"/>
      <c r="G1104" s="407"/>
      <c r="H1104" s="408"/>
      <c r="I1104" s="409"/>
      <c r="J1104" s="307"/>
      <c r="K1104" s="16"/>
      <c r="L1104" s="17"/>
      <c r="M1104" s="20"/>
      <c r="N1104" s="14"/>
      <c r="O1104" s="15"/>
      <c r="P1104" s="39"/>
    </row>
    <row r="1105" spans="1:16" s="5" customFormat="1" ht="33" customHeight="1" x14ac:dyDescent="0.3">
      <c r="A1105" s="305"/>
      <c r="B1105" s="306"/>
      <c r="C1105" s="394" t="s">
        <v>966</v>
      </c>
      <c r="D1105" s="395"/>
      <c r="E1105" s="309"/>
      <c r="F1105" s="310"/>
      <c r="G1105" s="311"/>
      <c r="H1105" s="312"/>
      <c r="I1105" s="313"/>
      <c r="J1105" s="307"/>
      <c r="K1105" s="16"/>
      <c r="L1105" s="17"/>
      <c r="M1105" s="20"/>
      <c r="N1105" s="14"/>
      <c r="O1105" s="15"/>
      <c r="P1105" s="22"/>
    </row>
    <row r="1106" spans="1:16" s="5" customFormat="1" x14ac:dyDescent="0.3">
      <c r="A1106" s="305" t="s">
        <v>967</v>
      </c>
      <c r="B1106" s="306"/>
      <c r="C1106" s="390"/>
      <c r="D1106" s="308" t="s">
        <v>968</v>
      </c>
      <c r="E1106" s="309">
        <v>18</v>
      </c>
      <c r="F1106" s="310" t="s">
        <v>249</v>
      </c>
      <c r="G1106" s="311"/>
      <c r="H1106" s="312">
        <f t="shared" ref="H1106" si="158">E1106*G1106</f>
        <v>0</v>
      </c>
      <c r="I1106" s="313"/>
      <c r="J1106" s="307"/>
      <c r="K1106" s="16"/>
      <c r="L1106" s="17"/>
      <c r="M1106" s="20"/>
      <c r="N1106" s="14"/>
      <c r="O1106" s="15"/>
      <c r="P1106" s="22"/>
    </row>
    <row r="1107" spans="1:16" s="5" customFormat="1" ht="15" customHeight="1" x14ac:dyDescent="0.3">
      <c r="A1107" s="305"/>
      <c r="B1107" s="306"/>
      <c r="C1107" s="390"/>
      <c r="D1107" s="385"/>
      <c r="E1107" s="309"/>
      <c r="F1107" s="310"/>
      <c r="G1107" s="311"/>
      <c r="H1107" s="312"/>
      <c r="I1107" s="313"/>
      <c r="J1107" s="307"/>
      <c r="K1107" s="16"/>
      <c r="L1107" s="17"/>
      <c r="M1107" s="20"/>
      <c r="N1107" s="14"/>
      <c r="O1107" s="15"/>
      <c r="P1107" s="22"/>
    </row>
    <row r="1108" spans="1:16" s="34" customFormat="1" ht="15" customHeight="1" x14ac:dyDescent="0.3">
      <c r="A1108" s="469"/>
      <c r="B1108" s="462"/>
      <c r="C1108" s="390" t="s">
        <v>969</v>
      </c>
      <c r="D1108" s="463"/>
      <c r="E1108" s="470"/>
      <c r="F1108" s="471"/>
      <c r="G1108" s="311"/>
      <c r="H1108" s="312"/>
      <c r="I1108" s="313"/>
      <c r="J1108" s="472"/>
      <c r="K1108" s="57"/>
      <c r="L1108" s="56"/>
      <c r="M1108" s="20"/>
      <c r="N1108" s="14"/>
      <c r="O1108" s="15"/>
      <c r="P1108" s="33"/>
    </row>
    <row r="1109" spans="1:16" s="5" customFormat="1" ht="30" customHeight="1" x14ac:dyDescent="0.3">
      <c r="A1109" s="305"/>
      <c r="B1109" s="306"/>
      <c r="C1109" s="394" t="s">
        <v>899</v>
      </c>
      <c r="D1109" s="395"/>
      <c r="E1109" s="309"/>
      <c r="F1109" s="310"/>
      <c r="G1109" s="311"/>
      <c r="H1109" s="312"/>
      <c r="I1109" s="313"/>
      <c r="J1109" s="307"/>
      <c r="K1109" s="16"/>
      <c r="L1109" s="17"/>
      <c r="M1109" s="20"/>
      <c r="N1109" s="14"/>
      <c r="O1109" s="15"/>
      <c r="P1109" s="22"/>
    </row>
    <row r="1110" spans="1:16" s="5" customFormat="1" ht="15" customHeight="1" x14ac:dyDescent="0.25">
      <c r="A1110" s="305" t="s">
        <v>970</v>
      </c>
      <c r="B1110" s="306"/>
      <c r="C1110" s="390"/>
      <c r="D1110" s="473" t="s">
        <v>971</v>
      </c>
      <c r="E1110" s="309">
        <f>1487+3+10+1+3+2+4-1+3+8-8</f>
        <v>1512</v>
      </c>
      <c r="F1110" s="310" t="s">
        <v>249</v>
      </c>
      <c r="G1110" s="311"/>
      <c r="H1110" s="312">
        <f t="shared" ref="H1110" si="159">E1110*G1110</f>
        <v>0</v>
      </c>
      <c r="I1110" s="313"/>
      <c r="J1110" s="307"/>
      <c r="K1110" s="16"/>
      <c r="L1110" s="17"/>
      <c r="M1110" s="20"/>
      <c r="N1110" s="14"/>
      <c r="O1110" s="15"/>
      <c r="P1110" s="22"/>
    </row>
    <row r="1111" spans="1:16" s="5" customFormat="1" ht="15" customHeight="1" x14ac:dyDescent="0.3">
      <c r="A1111" s="305"/>
      <c r="B1111" s="306"/>
      <c r="C1111" s="390"/>
      <c r="D1111" s="385"/>
      <c r="E1111" s="309"/>
      <c r="F1111" s="310"/>
      <c r="G1111" s="311"/>
      <c r="H1111" s="312"/>
      <c r="I1111" s="313"/>
      <c r="J1111" s="307"/>
      <c r="K1111" s="16"/>
      <c r="L1111" s="17"/>
      <c r="M1111" s="20"/>
      <c r="N1111" s="14"/>
      <c r="O1111" s="15"/>
      <c r="P1111" s="22"/>
    </row>
    <row r="1112" spans="1:16" s="5" customFormat="1" ht="30" customHeight="1" x14ac:dyDescent="0.3">
      <c r="A1112" s="305"/>
      <c r="B1112" s="306"/>
      <c r="C1112" s="394" t="s">
        <v>937</v>
      </c>
      <c r="D1112" s="395" t="s">
        <v>922</v>
      </c>
      <c r="E1112" s="309"/>
      <c r="F1112" s="310"/>
      <c r="G1112" s="311"/>
      <c r="H1112" s="312"/>
      <c r="I1112" s="313"/>
      <c r="J1112" s="307"/>
      <c r="K1112" s="16"/>
      <c r="L1112" s="17"/>
      <c r="M1112" s="20"/>
      <c r="N1112" s="14"/>
      <c r="O1112" s="15"/>
      <c r="P1112" s="22"/>
    </row>
    <row r="1113" spans="1:16" s="5" customFormat="1" x14ac:dyDescent="0.3">
      <c r="A1113" s="305" t="s">
        <v>972</v>
      </c>
      <c r="B1113" s="306"/>
      <c r="C1113" s="390"/>
      <c r="D1113" s="308" t="s">
        <v>973</v>
      </c>
      <c r="E1113" s="309">
        <f>67+4+3+8</f>
        <v>82</v>
      </c>
      <c r="F1113" s="310" t="s">
        <v>249</v>
      </c>
      <c r="G1113" s="311"/>
      <c r="H1113" s="312">
        <f t="shared" ref="H1113:H1118" si="160">E1113*G1113</f>
        <v>0</v>
      </c>
      <c r="I1113" s="313"/>
      <c r="J1113" s="307"/>
      <c r="K1113" s="16"/>
      <c r="L1113" s="17"/>
      <c r="M1113" s="20"/>
      <c r="N1113" s="14"/>
      <c r="O1113" s="15"/>
      <c r="P1113" s="22"/>
    </row>
    <row r="1114" spans="1:16" s="5" customFormat="1" x14ac:dyDescent="0.3">
      <c r="A1114" s="305" t="s">
        <v>974</v>
      </c>
      <c r="B1114" s="306"/>
      <c r="C1114" s="390"/>
      <c r="D1114" s="308" t="s">
        <v>975</v>
      </c>
      <c r="E1114" s="309">
        <f>1222+3+10+2-1-8</f>
        <v>1228</v>
      </c>
      <c r="F1114" s="310" t="s">
        <v>249</v>
      </c>
      <c r="G1114" s="311"/>
      <c r="H1114" s="312">
        <f t="shared" si="160"/>
        <v>0</v>
      </c>
      <c r="I1114" s="313"/>
      <c r="J1114" s="307"/>
      <c r="K1114" s="16"/>
      <c r="L1114" s="17"/>
      <c r="M1114" s="20"/>
      <c r="N1114" s="14"/>
      <c r="O1114" s="15"/>
      <c r="P1114" s="22"/>
    </row>
    <row r="1115" spans="1:16" s="5" customFormat="1" x14ac:dyDescent="0.3">
      <c r="A1115" s="305" t="s">
        <v>976</v>
      </c>
      <c r="B1115" s="306"/>
      <c r="C1115" s="390"/>
      <c r="D1115" s="308" t="s">
        <v>977</v>
      </c>
      <c r="E1115" s="309">
        <f>17+1</f>
        <v>18</v>
      </c>
      <c r="F1115" s="310" t="s">
        <v>249</v>
      </c>
      <c r="G1115" s="311"/>
      <c r="H1115" s="312">
        <f t="shared" si="160"/>
        <v>0</v>
      </c>
      <c r="I1115" s="313"/>
      <c r="J1115" s="307"/>
      <c r="K1115" s="16"/>
      <c r="L1115" s="17"/>
      <c r="M1115" s="20"/>
      <c r="N1115" s="14"/>
      <c r="O1115" s="15"/>
      <c r="P1115" s="22"/>
    </row>
    <row r="1116" spans="1:16" s="5" customFormat="1" x14ac:dyDescent="0.3">
      <c r="A1116" s="305" t="s">
        <v>978</v>
      </c>
      <c r="B1116" s="306"/>
      <c r="C1116" s="390"/>
      <c r="D1116" s="308" t="s">
        <v>979</v>
      </c>
      <c r="E1116" s="309">
        <v>34</v>
      </c>
      <c r="F1116" s="310" t="s">
        <v>249</v>
      </c>
      <c r="G1116" s="311"/>
      <c r="H1116" s="312">
        <f t="shared" si="160"/>
        <v>0</v>
      </c>
      <c r="I1116" s="313"/>
      <c r="J1116" s="307"/>
      <c r="K1116" s="16"/>
      <c r="L1116" s="17"/>
      <c r="M1116" s="20"/>
      <c r="N1116" s="14"/>
      <c r="O1116" s="15"/>
      <c r="P1116" s="22"/>
    </row>
    <row r="1117" spans="1:16" s="5" customFormat="1" x14ac:dyDescent="0.3">
      <c r="A1117" s="305" t="s">
        <v>980</v>
      </c>
      <c r="B1117" s="306"/>
      <c r="C1117" s="390"/>
      <c r="D1117" s="308" t="s">
        <v>981</v>
      </c>
      <c r="E1117" s="309">
        <f>111+3</f>
        <v>114</v>
      </c>
      <c r="F1117" s="310" t="s">
        <v>249</v>
      </c>
      <c r="G1117" s="311"/>
      <c r="H1117" s="312">
        <f t="shared" si="160"/>
        <v>0</v>
      </c>
      <c r="I1117" s="313"/>
      <c r="J1117" s="307"/>
      <c r="K1117" s="16"/>
      <c r="L1117" s="17"/>
      <c r="M1117" s="20"/>
      <c r="N1117" s="14"/>
      <c r="O1117" s="15"/>
      <c r="P1117" s="22"/>
    </row>
    <row r="1118" spans="1:16" s="5" customFormat="1" ht="15" customHeight="1" x14ac:dyDescent="0.3">
      <c r="A1118" s="305" t="s">
        <v>982</v>
      </c>
      <c r="B1118" s="306"/>
      <c r="C1118" s="390"/>
      <c r="D1118" s="385" t="s">
        <v>983</v>
      </c>
      <c r="E1118" s="309">
        <v>36</v>
      </c>
      <c r="F1118" s="310" t="s">
        <v>249</v>
      </c>
      <c r="G1118" s="311"/>
      <c r="H1118" s="312">
        <f t="shared" si="160"/>
        <v>0</v>
      </c>
      <c r="I1118" s="313"/>
      <c r="J1118" s="307"/>
      <c r="K1118" s="16"/>
      <c r="L1118" s="17"/>
      <c r="M1118" s="20"/>
      <c r="N1118" s="14"/>
      <c r="O1118" s="15"/>
      <c r="P1118" s="22"/>
    </row>
    <row r="1119" spans="1:16" s="5" customFormat="1" ht="15" customHeight="1" x14ac:dyDescent="0.3">
      <c r="A1119" s="305"/>
      <c r="B1119" s="306"/>
      <c r="C1119" s="390"/>
      <c r="D1119" s="385"/>
      <c r="E1119" s="309"/>
      <c r="F1119" s="310"/>
      <c r="G1119" s="311"/>
      <c r="H1119" s="312"/>
      <c r="I1119" s="313"/>
      <c r="J1119" s="307"/>
      <c r="K1119" s="16"/>
      <c r="L1119" s="17"/>
      <c r="M1119" s="20"/>
      <c r="N1119" s="14"/>
      <c r="O1119" s="15"/>
      <c r="P1119" s="22"/>
    </row>
    <row r="1120" spans="1:16" s="5" customFormat="1" ht="30" customHeight="1" x14ac:dyDescent="0.3">
      <c r="A1120" s="305"/>
      <c r="B1120" s="306"/>
      <c r="C1120" s="394" t="s">
        <v>966</v>
      </c>
      <c r="D1120" s="395"/>
      <c r="E1120" s="309"/>
      <c r="F1120" s="310"/>
      <c r="G1120" s="311"/>
      <c r="H1120" s="312"/>
      <c r="I1120" s="313"/>
      <c r="J1120" s="307"/>
      <c r="K1120" s="16"/>
      <c r="L1120" s="17"/>
      <c r="M1120" s="20"/>
      <c r="N1120" s="14"/>
      <c r="O1120" s="15"/>
      <c r="P1120" s="22"/>
    </row>
    <row r="1121" spans="1:16" s="5" customFormat="1" ht="15" customHeight="1" x14ac:dyDescent="0.25">
      <c r="A1121" s="305" t="s">
        <v>984</v>
      </c>
      <c r="B1121" s="306"/>
      <c r="C1121" s="390"/>
      <c r="D1121" s="473" t="s">
        <v>985</v>
      </c>
      <c r="E1121" s="309">
        <v>1</v>
      </c>
      <c r="F1121" s="310" t="s">
        <v>249</v>
      </c>
      <c r="G1121" s="311"/>
      <c r="H1121" s="312">
        <f t="shared" ref="H1121:H1126" si="161">E1121*G1121</f>
        <v>0</v>
      </c>
      <c r="I1121" s="313"/>
      <c r="J1121" s="307"/>
      <c r="K1121" s="16"/>
      <c r="L1121" s="17"/>
      <c r="M1121" s="20"/>
      <c r="N1121" s="14"/>
      <c r="O1121" s="15"/>
      <c r="P1121" s="22"/>
    </row>
    <row r="1122" spans="1:16" s="5" customFormat="1" ht="15" customHeight="1" x14ac:dyDescent="0.25">
      <c r="A1122" s="305" t="s">
        <v>986</v>
      </c>
      <c r="B1122" s="306"/>
      <c r="C1122" s="390"/>
      <c r="D1122" s="473" t="s">
        <v>987</v>
      </c>
      <c r="E1122" s="309">
        <v>1</v>
      </c>
      <c r="F1122" s="310" t="s">
        <v>249</v>
      </c>
      <c r="G1122" s="311"/>
      <c r="H1122" s="312">
        <f t="shared" si="161"/>
        <v>0</v>
      </c>
      <c r="I1122" s="313"/>
      <c r="J1122" s="307"/>
      <c r="K1122" s="16"/>
      <c r="L1122" s="17"/>
      <c r="M1122" s="20"/>
      <c r="N1122" s="14"/>
      <c r="O1122" s="15"/>
      <c r="P1122" s="22"/>
    </row>
    <row r="1123" spans="1:16" s="5" customFormat="1" ht="15" customHeight="1" x14ac:dyDescent="0.25">
      <c r="A1123" s="305" t="s">
        <v>988</v>
      </c>
      <c r="B1123" s="306"/>
      <c r="C1123" s="390"/>
      <c r="D1123" s="473" t="s">
        <v>989</v>
      </c>
      <c r="E1123" s="309">
        <v>1</v>
      </c>
      <c r="F1123" s="310" t="s">
        <v>249</v>
      </c>
      <c r="G1123" s="311"/>
      <c r="H1123" s="312">
        <f t="shared" si="161"/>
        <v>0</v>
      </c>
      <c r="I1123" s="313"/>
      <c r="J1123" s="307"/>
      <c r="K1123" s="16"/>
      <c r="L1123" s="17"/>
      <c r="M1123" s="20"/>
      <c r="N1123" s="14"/>
      <c r="O1123" s="15"/>
      <c r="P1123" s="22"/>
    </row>
    <row r="1124" spans="1:16" s="5" customFormat="1" ht="15" customHeight="1" x14ac:dyDescent="0.25">
      <c r="A1124" s="305" t="s">
        <v>990</v>
      </c>
      <c r="B1124" s="306"/>
      <c r="C1124" s="390"/>
      <c r="D1124" s="473" t="s">
        <v>991</v>
      </c>
      <c r="E1124" s="309">
        <v>1</v>
      </c>
      <c r="F1124" s="310" t="s">
        <v>249</v>
      </c>
      <c r="G1124" s="311"/>
      <c r="H1124" s="312">
        <f t="shared" si="161"/>
        <v>0</v>
      </c>
      <c r="I1124" s="313"/>
      <c r="J1124" s="307"/>
      <c r="K1124" s="16"/>
      <c r="L1124" s="17"/>
      <c r="M1124" s="20"/>
      <c r="N1124" s="14"/>
      <c r="O1124" s="15"/>
      <c r="P1124" s="22"/>
    </row>
    <row r="1125" spans="1:16" s="5" customFormat="1" ht="15" customHeight="1" x14ac:dyDescent="0.25">
      <c r="A1125" s="305" t="s">
        <v>992</v>
      </c>
      <c r="B1125" s="306"/>
      <c r="C1125" s="390"/>
      <c r="D1125" s="473" t="s">
        <v>993</v>
      </c>
      <c r="E1125" s="309">
        <v>1</v>
      </c>
      <c r="F1125" s="310" t="s">
        <v>249</v>
      </c>
      <c r="G1125" s="311"/>
      <c r="H1125" s="312">
        <f t="shared" si="161"/>
        <v>0</v>
      </c>
      <c r="I1125" s="313"/>
      <c r="J1125" s="307"/>
      <c r="K1125" s="16"/>
      <c r="L1125" s="17"/>
      <c r="M1125" s="20"/>
      <c r="N1125" s="14"/>
      <c r="O1125" s="15"/>
      <c r="P1125" s="22"/>
    </row>
    <row r="1126" spans="1:16" s="5" customFormat="1" ht="15" customHeight="1" x14ac:dyDescent="0.25">
      <c r="A1126" s="305" t="s">
        <v>994</v>
      </c>
      <c r="B1126" s="306"/>
      <c r="C1126" s="390"/>
      <c r="D1126" s="473" t="s">
        <v>995</v>
      </c>
      <c r="E1126" s="309">
        <v>1</v>
      </c>
      <c r="F1126" s="310" t="s">
        <v>249</v>
      </c>
      <c r="G1126" s="311"/>
      <c r="H1126" s="312">
        <f t="shared" si="161"/>
        <v>0</v>
      </c>
      <c r="I1126" s="313"/>
      <c r="J1126" s="307"/>
      <c r="K1126" s="16"/>
      <c r="L1126" s="17"/>
      <c r="M1126" s="20"/>
      <c r="N1126" s="14"/>
      <c r="O1126" s="15"/>
      <c r="P1126" s="22"/>
    </row>
    <row r="1127" spans="1:16" s="5" customFormat="1" ht="15" customHeight="1" x14ac:dyDescent="0.3">
      <c r="A1127" s="305"/>
      <c r="B1127" s="306"/>
      <c r="C1127" s="390"/>
      <c r="D1127" s="385"/>
      <c r="E1127" s="309"/>
      <c r="F1127" s="310"/>
      <c r="G1127" s="311"/>
      <c r="H1127" s="312"/>
      <c r="I1127" s="313"/>
      <c r="J1127" s="307"/>
      <c r="K1127" s="16"/>
      <c r="L1127" s="17"/>
      <c r="M1127" s="20"/>
      <c r="N1127" s="14"/>
      <c r="O1127" s="15"/>
      <c r="P1127" s="22"/>
    </row>
    <row r="1128" spans="1:16" s="5" customFormat="1" ht="15" customHeight="1" x14ac:dyDescent="0.3">
      <c r="A1128" s="305"/>
      <c r="B1128" s="462"/>
      <c r="C1128" s="390" t="s">
        <v>996</v>
      </c>
      <c r="D1128" s="463"/>
      <c r="E1128" s="309"/>
      <c r="F1128" s="310"/>
      <c r="G1128" s="311"/>
      <c r="H1128" s="312"/>
      <c r="I1128" s="313"/>
      <c r="J1128" s="307"/>
      <c r="K1128" s="16"/>
      <c r="L1128" s="17"/>
      <c r="M1128" s="20"/>
      <c r="N1128" s="14"/>
      <c r="O1128" s="15"/>
      <c r="P1128" s="22"/>
    </row>
    <row r="1129" spans="1:16" s="5" customFormat="1" ht="45.15" customHeight="1" x14ac:dyDescent="0.3">
      <c r="A1129" s="305"/>
      <c r="B1129" s="306"/>
      <c r="C1129" s="394" t="s">
        <v>997</v>
      </c>
      <c r="D1129" s="395"/>
      <c r="E1129" s="309"/>
      <c r="F1129" s="310"/>
      <c r="G1129" s="311"/>
      <c r="H1129" s="312"/>
      <c r="I1129" s="313"/>
      <c r="J1129" s="307"/>
      <c r="K1129" s="16"/>
      <c r="L1129" s="17"/>
      <c r="M1129" s="20"/>
      <c r="N1129" s="14"/>
      <c r="O1129" s="15"/>
      <c r="P1129" s="22"/>
    </row>
    <row r="1130" spans="1:16" s="5" customFormat="1" x14ac:dyDescent="0.3">
      <c r="A1130" s="305" t="s">
        <v>998</v>
      </c>
      <c r="B1130" s="306"/>
      <c r="C1130" s="390"/>
      <c r="D1130" s="308" t="s">
        <v>999</v>
      </c>
      <c r="E1130" s="309">
        <v>49</v>
      </c>
      <c r="F1130" s="310" t="s">
        <v>249</v>
      </c>
      <c r="G1130" s="311"/>
      <c r="H1130" s="312">
        <f t="shared" ref="H1130:H1140" si="162">E1130*G1130</f>
        <v>0</v>
      </c>
      <c r="I1130" s="313"/>
      <c r="J1130" s="307"/>
      <c r="K1130" s="16"/>
      <c r="L1130" s="17"/>
      <c r="M1130" s="20"/>
      <c r="N1130" s="14"/>
      <c r="O1130" s="15"/>
      <c r="P1130" s="22"/>
    </row>
    <row r="1131" spans="1:16" s="5" customFormat="1" x14ac:dyDescent="0.3">
      <c r="A1131" s="305" t="s">
        <v>1000</v>
      </c>
      <c r="B1131" s="306"/>
      <c r="C1131" s="390"/>
      <c r="D1131" s="308" t="s">
        <v>1001</v>
      </c>
      <c r="E1131" s="309">
        <v>10</v>
      </c>
      <c r="F1131" s="310" t="s">
        <v>249</v>
      </c>
      <c r="G1131" s="311"/>
      <c r="H1131" s="312">
        <f t="shared" si="162"/>
        <v>0</v>
      </c>
      <c r="I1131" s="313"/>
      <c r="J1131" s="307"/>
      <c r="K1131" s="16"/>
      <c r="L1131" s="17"/>
      <c r="M1131" s="20"/>
      <c r="N1131" s="14"/>
      <c r="O1131" s="15"/>
      <c r="P1131" s="22"/>
    </row>
    <row r="1132" spans="1:16" s="5" customFormat="1" x14ac:dyDescent="0.3">
      <c r="A1132" s="305" t="s">
        <v>1002</v>
      </c>
      <c r="B1132" s="306"/>
      <c r="C1132" s="390"/>
      <c r="D1132" s="308" t="s">
        <v>1003</v>
      </c>
      <c r="E1132" s="309">
        <v>24</v>
      </c>
      <c r="F1132" s="310" t="s">
        <v>249</v>
      </c>
      <c r="G1132" s="311"/>
      <c r="H1132" s="312">
        <f t="shared" si="162"/>
        <v>0</v>
      </c>
      <c r="I1132" s="313"/>
      <c r="J1132" s="307"/>
      <c r="K1132" s="16"/>
      <c r="L1132" s="17"/>
      <c r="M1132" s="20"/>
      <c r="N1132" s="14"/>
      <c r="O1132" s="15"/>
      <c r="P1132" s="22"/>
    </row>
    <row r="1133" spans="1:16" s="5" customFormat="1" x14ac:dyDescent="0.3">
      <c r="A1133" s="305" t="s">
        <v>1004</v>
      </c>
      <c r="B1133" s="306"/>
      <c r="C1133" s="390"/>
      <c r="D1133" s="308" t="s">
        <v>1005</v>
      </c>
      <c r="E1133" s="309">
        <v>1</v>
      </c>
      <c r="F1133" s="310" t="s">
        <v>100</v>
      </c>
      <c r="G1133" s="311"/>
      <c r="H1133" s="312">
        <f t="shared" si="162"/>
        <v>0</v>
      </c>
      <c r="I1133" s="313"/>
      <c r="J1133" s="307"/>
      <c r="K1133" s="16"/>
      <c r="L1133" s="17"/>
      <c r="M1133" s="20"/>
      <c r="N1133" s="14"/>
      <c r="O1133" s="15"/>
      <c r="P1133" s="22"/>
    </row>
    <row r="1134" spans="1:16" s="5" customFormat="1" x14ac:dyDescent="0.3">
      <c r="A1134" s="305" t="s">
        <v>1006</v>
      </c>
      <c r="B1134" s="306"/>
      <c r="C1134" s="390"/>
      <c r="D1134" s="308" t="s">
        <v>1007</v>
      </c>
      <c r="E1134" s="309">
        <v>1</v>
      </c>
      <c r="F1134" s="310" t="s">
        <v>100</v>
      </c>
      <c r="G1134" s="311"/>
      <c r="H1134" s="312">
        <f t="shared" si="162"/>
        <v>0</v>
      </c>
      <c r="I1134" s="313"/>
      <c r="J1134" s="307"/>
      <c r="K1134" s="16"/>
      <c r="L1134" s="17"/>
      <c r="M1134" s="20"/>
      <c r="N1134" s="14"/>
      <c r="O1134" s="15"/>
      <c r="P1134" s="22"/>
    </row>
    <row r="1135" spans="1:16" s="5" customFormat="1" x14ac:dyDescent="0.3">
      <c r="A1135" s="305" t="s">
        <v>1008</v>
      </c>
      <c r="B1135" s="306"/>
      <c r="C1135" s="390"/>
      <c r="D1135" s="308" t="s">
        <v>1009</v>
      </c>
      <c r="E1135" s="309">
        <v>1</v>
      </c>
      <c r="F1135" s="310" t="s">
        <v>100</v>
      </c>
      <c r="G1135" s="311"/>
      <c r="H1135" s="312">
        <f t="shared" si="162"/>
        <v>0</v>
      </c>
      <c r="I1135" s="313"/>
      <c r="J1135" s="307"/>
      <c r="K1135" s="16"/>
      <c r="L1135" s="17"/>
      <c r="M1135" s="20"/>
      <c r="N1135" s="14"/>
      <c r="O1135" s="15"/>
      <c r="P1135" s="22"/>
    </row>
    <row r="1136" spans="1:16" s="5" customFormat="1" x14ac:dyDescent="0.3">
      <c r="A1136" s="305" t="s">
        <v>1010</v>
      </c>
      <c r="B1136" s="306"/>
      <c r="C1136" s="390"/>
      <c r="D1136" s="308" t="s">
        <v>1011</v>
      </c>
      <c r="E1136" s="309">
        <v>1</v>
      </c>
      <c r="F1136" s="310" t="s">
        <v>100</v>
      </c>
      <c r="G1136" s="311"/>
      <c r="H1136" s="312">
        <f t="shared" si="162"/>
        <v>0</v>
      </c>
      <c r="I1136" s="313"/>
      <c r="J1136" s="307"/>
      <c r="K1136" s="16"/>
      <c r="L1136" s="17"/>
      <c r="M1136" s="20"/>
      <c r="N1136" s="14"/>
      <c r="O1136" s="15"/>
      <c r="P1136" s="22"/>
    </row>
    <row r="1137" spans="1:16" s="5" customFormat="1" x14ac:dyDescent="0.3">
      <c r="A1137" s="305" t="s">
        <v>1012</v>
      </c>
      <c r="B1137" s="306"/>
      <c r="C1137" s="390"/>
      <c r="D1137" s="308" t="s">
        <v>1013</v>
      </c>
      <c r="E1137" s="309">
        <v>1</v>
      </c>
      <c r="F1137" s="310" t="s">
        <v>100</v>
      </c>
      <c r="G1137" s="311"/>
      <c r="H1137" s="312">
        <f t="shared" si="162"/>
        <v>0</v>
      </c>
      <c r="I1137" s="313"/>
      <c r="J1137" s="307"/>
      <c r="K1137" s="16"/>
      <c r="L1137" s="17"/>
      <c r="M1137" s="20"/>
      <c r="N1137" s="14"/>
      <c r="O1137" s="15"/>
      <c r="P1137" s="22"/>
    </row>
    <row r="1138" spans="1:16" s="5" customFormat="1" x14ac:dyDescent="0.3">
      <c r="A1138" s="305" t="s">
        <v>1014</v>
      </c>
      <c r="B1138" s="306"/>
      <c r="C1138" s="390"/>
      <c r="D1138" s="308" t="s">
        <v>1015</v>
      </c>
      <c r="E1138" s="309">
        <v>22</v>
      </c>
      <c r="F1138" s="310" t="s">
        <v>249</v>
      </c>
      <c r="G1138" s="311"/>
      <c r="H1138" s="312">
        <f t="shared" si="162"/>
        <v>0</v>
      </c>
      <c r="I1138" s="313"/>
      <c r="J1138" s="307"/>
      <c r="K1138" s="16"/>
      <c r="L1138" s="17"/>
      <c r="M1138" s="20"/>
      <c r="N1138" s="14"/>
      <c r="O1138" s="15"/>
      <c r="P1138" s="22"/>
    </row>
    <row r="1139" spans="1:16" s="5" customFormat="1" x14ac:dyDescent="0.3">
      <c r="A1139" s="305" t="s">
        <v>1016</v>
      </c>
      <c r="B1139" s="306"/>
      <c r="C1139" s="390"/>
      <c r="D1139" s="308" t="s">
        <v>1017</v>
      </c>
      <c r="E1139" s="309">
        <v>22</v>
      </c>
      <c r="F1139" s="310" t="s">
        <v>249</v>
      </c>
      <c r="G1139" s="311"/>
      <c r="H1139" s="312">
        <f t="shared" si="162"/>
        <v>0</v>
      </c>
      <c r="I1139" s="313"/>
      <c r="J1139" s="307"/>
      <c r="K1139" s="16"/>
      <c r="L1139" s="17"/>
      <c r="M1139" s="20"/>
      <c r="N1139" s="14"/>
      <c r="O1139" s="15"/>
      <c r="P1139" s="22"/>
    </row>
    <row r="1140" spans="1:16" s="5" customFormat="1" x14ac:dyDescent="0.3">
      <c r="A1140" s="305" t="s">
        <v>1018</v>
      </c>
      <c r="B1140" s="306"/>
      <c r="C1140" s="390"/>
      <c r="D1140" s="308" t="s">
        <v>1019</v>
      </c>
      <c r="E1140" s="309">
        <v>18</v>
      </c>
      <c r="F1140" s="310" t="s">
        <v>249</v>
      </c>
      <c r="G1140" s="311"/>
      <c r="H1140" s="312">
        <f t="shared" si="162"/>
        <v>0</v>
      </c>
      <c r="I1140" s="313"/>
      <c r="J1140" s="307"/>
      <c r="K1140" s="16"/>
      <c r="L1140" s="17"/>
      <c r="M1140" s="20"/>
      <c r="N1140" s="14"/>
      <c r="O1140" s="15"/>
      <c r="P1140" s="22"/>
    </row>
    <row r="1141" spans="1:16" s="5" customFormat="1" ht="15" customHeight="1" x14ac:dyDescent="0.3">
      <c r="A1141" s="305"/>
      <c r="B1141" s="306"/>
      <c r="C1141" s="390"/>
      <c r="D1141" s="385"/>
      <c r="E1141" s="309"/>
      <c r="F1141" s="310"/>
      <c r="G1141" s="311"/>
      <c r="H1141" s="312"/>
      <c r="I1141" s="313"/>
      <c r="J1141" s="307"/>
      <c r="K1141" s="16"/>
      <c r="L1141" s="17"/>
      <c r="M1141" s="20"/>
      <c r="N1141" s="14"/>
      <c r="O1141" s="15"/>
      <c r="P1141" s="22"/>
    </row>
    <row r="1142" spans="1:16" s="5" customFormat="1" ht="15" customHeight="1" x14ac:dyDescent="0.3">
      <c r="A1142" s="305"/>
      <c r="B1142" s="306"/>
      <c r="C1142" s="390" t="s">
        <v>1020</v>
      </c>
      <c r="D1142" s="385"/>
      <c r="E1142" s="309"/>
      <c r="F1142" s="310"/>
      <c r="G1142" s="311"/>
      <c r="H1142" s="312"/>
      <c r="I1142" s="313"/>
      <c r="J1142" s="307"/>
      <c r="K1142" s="16"/>
      <c r="L1142" s="17"/>
      <c r="M1142" s="20"/>
      <c r="N1142" s="14"/>
      <c r="O1142" s="15"/>
      <c r="P1142" s="22"/>
    </row>
    <row r="1143" spans="1:16" s="5" customFormat="1" ht="47.7" customHeight="1" x14ac:dyDescent="0.3">
      <c r="A1143" s="305"/>
      <c r="B1143" s="306"/>
      <c r="C1143" s="394" t="s">
        <v>1021</v>
      </c>
      <c r="D1143" s="395"/>
      <c r="E1143" s="309"/>
      <c r="F1143" s="310"/>
      <c r="G1143" s="311"/>
      <c r="H1143" s="312"/>
      <c r="I1143" s="313"/>
      <c r="J1143" s="307"/>
      <c r="K1143" s="16"/>
      <c r="L1143" s="17"/>
      <c r="M1143" s="20"/>
      <c r="N1143" s="14"/>
      <c r="O1143" s="15"/>
      <c r="P1143" s="22"/>
    </row>
    <row r="1144" spans="1:16" s="5" customFormat="1" ht="15" customHeight="1" x14ac:dyDescent="0.3">
      <c r="A1144" s="305" t="s">
        <v>1022</v>
      </c>
      <c r="B1144" s="306"/>
      <c r="C1144" s="390"/>
      <c r="D1144" s="308" t="s">
        <v>1023</v>
      </c>
      <c r="E1144" s="309">
        <v>367</v>
      </c>
      <c r="F1144" s="310" t="s">
        <v>46</v>
      </c>
      <c r="G1144" s="311"/>
      <c r="H1144" s="312">
        <f t="shared" ref="H1144:H1145" si="163">E1144*G1144</f>
        <v>0</v>
      </c>
      <c r="I1144" s="313"/>
      <c r="J1144" s="307"/>
      <c r="K1144" s="16"/>
      <c r="L1144" s="17"/>
      <c r="M1144" s="20"/>
      <c r="N1144" s="14"/>
      <c r="O1144" s="15"/>
      <c r="P1144" s="22"/>
    </row>
    <row r="1145" spans="1:16" s="5" customFormat="1" ht="15" customHeight="1" x14ac:dyDescent="0.3">
      <c r="A1145" s="305" t="s">
        <v>1024</v>
      </c>
      <c r="B1145" s="306"/>
      <c r="C1145" s="390"/>
      <c r="D1145" s="308" t="s">
        <v>1025</v>
      </c>
      <c r="E1145" s="309">
        <v>703</v>
      </c>
      <c r="F1145" s="310" t="s">
        <v>46</v>
      </c>
      <c r="G1145" s="311"/>
      <c r="H1145" s="312">
        <f t="shared" si="163"/>
        <v>0</v>
      </c>
      <c r="I1145" s="313"/>
      <c r="J1145" s="307"/>
      <c r="K1145" s="16"/>
      <c r="L1145" s="17"/>
      <c r="M1145" s="20"/>
      <c r="N1145" s="14"/>
      <c r="O1145" s="15"/>
      <c r="P1145" s="22"/>
    </row>
    <row r="1146" spans="1:16" s="5" customFormat="1" ht="15" customHeight="1" x14ac:dyDescent="0.3">
      <c r="A1146" s="305"/>
      <c r="B1146" s="306"/>
      <c r="C1146" s="390"/>
      <c r="D1146" s="385"/>
      <c r="E1146" s="309"/>
      <c r="F1146" s="310"/>
      <c r="G1146" s="311"/>
      <c r="H1146" s="312"/>
      <c r="I1146" s="313"/>
      <c r="J1146" s="307"/>
      <c r="K1146" s="16"/>
      <c r="L1146" s="17"/>
      <c r="M1146" s="20"/>
      <c r="N1146" s="14"/>
      <c r="O1146" s="15"/>
      <c r="P1146" s="22"/>
    </row>
    <row r="1147" spans="1:16" s="5" customFormat="1" ht="15" customHeight="1" x14ac:dyDescent="0.3">
      <c r="A1147" s="305">
        <v>5.09</v>
      </c>
      <c r="B1147" s="306"/>
      <c r="C1147" s="390" t="s">
        <v>1026</v>
      </c>
      <c r="D1147" s="385"/>
      <c r="E1147" s="309"/>
      <c r="F1147" s="310"/>
      <c r="G1147" s="311"/>
      <c r="H1147" s="312"/>
      <c r="I1147" s="313"/>
      <c r="J1147" s="307"/>
      <c r="K1147" s="16"/>
      <c r="L1147" s="17"/>
      <c r="M1147" s="20"/>
      <c r="N1147" s="14"/>
      <c r="O1147" s="15"/>
      <c r="P1147" s="22"/>
    </row>
    <row r="1148" spans="1:16" s="5" customFormat="1" ht="15" customHeight="1" x14ac:dyDescent="0.3">
      <c r="A1148" s="305"/>
      <c r="B1148" s="306"/>
      <c r="C1148" s="390" t="s">
        <v>1027</v>
      </c>
      <c r="D1148" s="385"/>
      <c r="E1148" s="309"/>
      <c r="F1148" s="310"/>
      <c r="G1148" s="311"/>
      <c r="H1148" s="312"/>
      <c r="I1148" s="313"/>
      <c r="J1148" s="307"/>
      <c r="K1148" s="16"/>
      <c r="L1148" s="17"/>
      <c r="M1148" s="20"/>
      <c r="N1148" s="14"/>
      <c r="O1148" s="15"/>
      <c r="P1148" s="22"/>
    </row>
    <row r="1149" spans="1:16" s="5" customFormat="1" ht="45.15" customHeight="1" x14ac:dyDescent="0.3">
      <c r="A1149" s="319" t="s">
        <v>19</v>
      </c>
      <c r="B1149" s="306"/>
      <c r="C1149" s="307"/>
      <c r="D1149" s="308" t="s">
        <v>1028</v>
      </c>
      <c r="E1149" s="309">
        <v>1</v>
      </c>
      <c r="F1149" s="310" t="s">
        <v>100</v>
      </c>
      <c r="G1149" s="311"/>
      <c r="H1149" s="312"/>
      <c r="I1149" s="313"/>
      <c r="J1149" s="307"/>
      <c r="K1149" s="16"/>
      <c r="L1149" s="17"/>
      <c r="M1149" s="20"/>
      <c r="N1149" s="14"/>
      <c r="O1149" s="15"/>
      <c r="P1149" s="22"/>
    </row>
    <row r="1150" spans="1:16" s="5" customFormat="1" ht="15" customHeight="1" x14ac:dyDescent="0.3">
      <c r="A1150" s="305"/>
      <c r="B1150" s="306"/>
      <c r="C1150" s="307"/>
      <c r="D1150" s="398"/>
      <c r="E1150" s="309"/>
      <c r="F1150" s="310"/>
      <c r="G1150" s="311"/>
      <c r="H1150" s="312"/>
      <c r="I1150" s="313"/>
      <c r="J1150" s="307"/>
      <c r="K1150" s="16"/>
      <c r="L1150" s="17"/>
      <c r="M1150" s="20"/>
      <c r="N1150" s="14"/>
      <c r="O1150" s="15"/>
      <c r="P1150" s="22"/>
    </row>
    <row r="1151" spans="1:16" s="5" customFormat="1" ht="15" customHeight="1" x14ac:dyDescent="0.3">
      <c r="A1151" s="474">
        <v>5.0999999999999996</v>
      </c>
      <c r="B1151" s="306"/>
      <c r="C1151" s="390" t="s">
        <v>1029</v>
      </c>
      <c r="D1151" s="397"/>
      <c r="E1151" s="309"/>
      <c r="F1151" s="310"/>
      <c r="G1151" s="311"/>
      <c r="H1151" s="312"/>
      <c r="I1151" s="313"/>
      <c r="J1151" s="307"/>
      <c r="K1151" s="16"/>
      <c r="L1151" s="17"/>
      <c r="M1151" s="20"/>
      <c r="N1151" s="14"/>
      <c r="O1151" s="15"/>
      <c r="P1151" s="22"/>
    </row>
    <row r="1152" spans="1:16" s="5" customFormat="1" ht="30" customHeight="1" x14ac:dyDescent="0.3">
      <c r="A1152" s="474"/>
      <c r="B1152" s="306"/>
      <c r="C1152" s="394" t="s">
        <v>1030</v>
      </c>
      <c r="D1152" s="395"/>
      <c r="E1152" s="309"/>
      <c r="F1152" s="310"/>
      <c r="G1152" s="311"/>
      <c r="H1152" s="312"/>
      <c r="I1152" s="313"/>
      <c r="J1152" s="307"/>
      <c r="K1152" s="16"/>
      <c r="L1152" s="17"/>
      <c r="M1152" s="20"/>
      <c r="N1152" s="14"/>
      <c r="O1152" s="15"/>
      <c r="P1152" s="22"/>
    </row>
    <row r="1153" spans="1:16" s="5" customFormat="1" ht="45.15" customHeight="1" x14ac:dyDescent="0.3">
      <c r="A1153" s="319" t="s">
        <v>19</v>
      </c>
      <c r="B1153" s="306"/>
      <c r="C1153" s="307"/>
      <c r="D1153" s="397" t="s">
        <v>1031</v>
      </c>
      <c r="E1153" s="309">
        <v>3</v>
      </c>
      <c r="F1153" s="310" t="s">
        <v>249</v>
      </c>
      <c r="G1153" s="311"/>
      <c r="H1153" s="312"/>
      <c r="I1153" s="313"/>
      <c r="J1153" s="307"/>
      <c r="K1153" s="16"/>
      <c r="L1153" s="17"/>
      <c r="M1153" s="20"/>
      <c r="N1153" s="14"/>
      <c r="O1153" s="15"/>
      <c r="P1153" s="22"/>
    </row>
    <row r="1154" spans="1:16" s="5" customFormat="1" ht="47.7" customHeight="1" x14ac:dyDescent="0.3">
      <c r="A1154" s="319" t="s">
        <v>22</v>
      </c>
      <c r="B1154" s="306"/>
      <c r="C1154" s="307"/>
      <c r="D1154" s="397" t="s">
        <v>1032</v>
      </c>
      <c r="E1154" s="309">
        <v>2</v>
      </c>
      <c r="F1154" s="310" t="s">
        <v>249</v>
      </c>
      <c r="G1154" s="311"/>
      <c r="H1154" s="312"/>
      <c r="I1154" s="313"/>
      <c r="J1154" s="307"/>
      <c r="K1154" s="16"/>
      <c r="L1154" s="17"/>
      <c r="M1154" s="20"/>
      <c r="N1154" s="14"/>
      <c r="O1154" s="15"/>
      <c r="P1154" s="22"/>
    </row>
    <row r="1155" spans="1:16" s="5" customFormat="1" ht="45.15" customHeight="1" x14ac:dyDescent="0.3">
      <c r="A1155" s="319" t="s">
        <v>25</v>
      </c>
      <c r="B1155" s="306"/>
      <c r="C1155" s="307"/>
      <c r="D1155" s="308" t="s">
        <v>1033</v>
      </c>
      <c r="E1155" s="309">
        <v>3</v>
      </c>
      <c r="F1155" s="310" t="s">
        <v>249</v>
      </c>
      <c r="G1155" s="311"/>
      <c r="H1155" s="312"/>
      <c r="I1155" s="313"/>
      <c r="J1155" s="307"/>
      <c r="K1155" s="16"/>
      <c r="L1155" s="17"/>
      <c r="M1155" s="20"/>
      <c r="N1155" s="14"/>
      <c r="O1155" s="15"/>
      <c r="P1155" s="22"/>
    </row>
    <row r="1156" spans="1:16" s="5" customFormat="1" ht="56.55" customHeight="1" x14ac:dyDescent="0.3">
      <c r="A1156" s="319" t="s">
        <v>28</v>
      </c>
      <c r="B1156" s="306"/>
      <c r="C1156" s="307"/>
      <c r="D1156" s="397" t="s">
        <v>1034</v>
      </c>
      <c r="E1156" s="309">
        <v>3</v>
      </c>
      <c r="F1156" s="310" t="s">
        <v>249</v>
      </c>
      <c r="G1156" s="311"/>
      <c r="H1156" s="312"/>
      <c r="I1156" s="313"/>
      <c r="J1156" s="307"/>
      <c r="K1156" s="16"/>
      <c r="L1156" s="17"/>
      <c r="M1156" s="20"/>
      <c r="N1156" s="14"/>
      <c r="O1156" s="15"/>
      <c r="P1156" s="22"/>
    </row>
    <row r="1157" spans="1:16" s="5" customFormat="1" ht="15.45" customHeight="1" x14ac:dyDescent="0.3">
      <c r="A1157" s="475"/>
      <c r="B1157" s="418"/>
      <c r="C1157" s="476"/>
      <c r="D1157" s="378"/>
      <c r="E1157" s="459"/>
      <c r="F1157" s="460"/>
      <c r="G1157" s="423"/>
      <c r="H1157" s="424"/>
      <c r="I1157" s="425"/>
      <c r="J1157" s="307"/>
      <c r="K1157" s="16"/>
      <c r="L1157" s="17"/>
      <c r="M1157" s="20"/>
      <c r="N1157" s="14"/>
      <c r="O1157" s="15"/>
      <c r="P1157" s="22"/>
    </row>
    <row r="1158" spans="1:16" s="5" customFormat="1" ht="60.3" customHeight="1" x14ac:dyDescent="0.3">
      <c r="A1158" s="319"/>
      <c r="B1158" s="306"/>
      <c r="C1158" s="477" t="s">
        <v>1035</v>
      </c>
      <c r="D1158" s="478"/>
      <c r="E1158" s="309"/>
      <c r="F1158" s="310"/>
      <c r="G1158" s="311"/>
      <c r="H1158" s="312"/>
      <c r="I1158" s="313"/>
      <c r="J1158" s="307"/>
      <c r="K1158" s="16"/>
      <c r="L1158" s="17"/>
      <c r="M1158" s="20"/>
      <c r="N1158" s="14"/>
      <c r="O1158" s="15"/>
      <c r="P1158" s="22"/>
    </row>
    <row r="1159" spans="1:16" s="5" customFormat="1" ht="41.4" x14ac:dyDescent="0.3">
      <c r="A1159" s="319" t="s">
        <v>30</v>
      </c>
      <c r="B1159" s="306"/>
      <c r="C1159" s="307"/>
      <c r="D1159" s="397" t="s">
        <v>1036</v>
      </c>
      <c r="E1159" s="309">
        <v>2</v>
      </c>
      <c r="F1159" s="310" t="s">
        <v>249</v>
      </c>
      <c r="G1159" s="311"/>
      <c r="H1159" s="312"/>
      <c r="I1159" s="313"/>
      <c r="J1159" s="307"/>
      <c r="K1159" s="16"/>
      <c r="L1159" s="17"/>
      <c r="M1159" s="20"/>
      <c r="N1159" s="14"/>
      <c r="O1159" s="15"/>
      <c r="P1159" s="22"/>
    </row>
    <row r="1160" spans="1:16" s="5" customFormat="1" ht="15" customHeight="1" x14ac:dyDescent="0.3">
      <c r="A1160" s="305"/>
      <c r="B1160" s="306"/>
      <c r="C1160" s="390"/>
      <c r="D1160" s="397"/>
      <c r="E1160" s="309"/>
      <c r="F1160" s="310"/>
      <c r="G1160" s="311"/>
      <c r="H1160" s="312"/>
      <c r="I1160" s="313"/>
      <c r="J1160" s="307"/>
      <c r="K1160" s="16"/>
      <c r="L1160" s="17"/>
      <c r="M1160" s="20"/>
      <c r="N1160" s="14"/>
      <c r="O1160" s="15"/>
      <c r="P1160" s="22"/>
    </row>
    <row r="1161" spans="1:16" s="5" customFormat="1" ht="15" customHeight="1" x14ac:dyDescent="0.3">
      <c r="A1161" s="305">
        <v>5.1100000000000003</v>
      </c>
      <c r="B1161" s="306"/>
      <c r="C1161" s="390" t="s">
        <v>1037</v>
      </c>
      <c r="D1161" s="385"/>
      <c r="E1161" s="309"/>
      <c r="F1161" s="310"/>
      <c r="G1161" s="311"/>
      <c r="H1161" s="312"/>
      <c r="I1161" s="313"/>
      <c r="J1161" s="307"/>
      <c r="K1161" s="16"/>
      <c r="L1161" s="17"/>
      <c r="M1161" s="20"/>
      <c r="N1161" s="14"/>
      <c r="O1161" s="15"/>
      <c r="P1161" s="22"/>
    </row>
    <row r="1162" spans="1:16" s="5" customFormat="1" ht="15" customHeight="1" x14ac:dyDescent="0.3">
      <c r="A1162" s="305"/>
      <c r="B1162" s="306"/>
      <c r="C1162" s="390" t="s">
        <v>1038</v>
      </c>
      <c r="D1162" s="385"/>
      <c r="E1162" s="309"/>
      <c r="F1162" s="310"/>
      <c r="G1162" s="311"/>
      <c r="H1162" s="312"/>
      <c r="I1162" s="313"/>
      <c r="J1162" s="307"/>
      <c r="K1162" s="16"/>
      <c r="L1162" s="17"/>
      <c r="M1162" s="20"/>
      <c r="N1162" s="14"/>
      <c r="O1162" s="15"/>
      <c r="P1162" s="22"/>
    </row>
    <row r="1163" spans="1:16" s="5" customFormat="1" ht="60" customHeight="1" x14ac:dyDescent="0.3">
      <c r="A1163" s="319" t="s">
        <v>19</v>
      </c>
      <c r="B1163" s="306"/>
      <c r="C1163" s="307"/>
      <c r="D1163" s="398" t="s">
        <v>1039</v>
      </c>
      <c r="E1163" s="309">
        <v>1</v>
      </c>
      <c r="F1163" s="310" t="s">
        <v>100</v>
      </c>
      <c r="G1163" s="311"/>
      <c r="H1163" s="312">
        <f t="shared" ref="H1163:H1173" si="164">E1163*G1163</f>
        <v>0</v>
      </c>
      <c r="I1163" s="313"/>
      <c r="J1163" s="307"/>
      <c r="K1163" s="16"/>
      <c r="L1163" s="17"/>
      <c r="M1163" s="20"/>
      <c r="N1163" s="14"/>
      <c r="O1163" s="15"/>
      <c r="P1163" s="22"/>
    </row>
    <row r="1164" spans="1:16" s="5" customFormat="1" ht="15" customHeight="1" x14ac:dyDescent="0.3">
      <c r="A1164" s="319" t="s">
        <v>22</v>
      </c>
      <c r="B1164" s="306"/>
      <c r="C1164" s="307"/>
      <c r="D1164" s="398" t="s">
        <v>1040</v>
      </c>
      <c r="E1164" s="309">
        <v>173</v>
      </c>
      <c r="F1164" s="310" t="s">
        <v>46</v>
      </c>
      <c r="G1164" s="311"/>
      <c r="H1164" s="312">
        <f t="shared" si="164"/>
        <v>0</v>
      </c>
      <c r="I1164" s="313"/>
      <c r="J1164" s="307"/>
      <c r="K1164" s="16"/>
      <c r="L1164" s="17"/>
      <c r="M1164" s="20"/>
      <c r="N1164" s="14"/>
      <c r="O1164" s="15"/>
      <c r="P1164" s="22"/>
    </row>
    <row r="1165" spans="1:16" s="5" customFormat="1" ht="15" customHeight="1" x14ac:dyDescent="0.3">
      <c r="A1165" s="319" t="s">
        <v>25</v>
      </c>
      <c r="B1165" s="306"/>
      <c r="C1165" s="307"/>
      <c r="D1165" s="398" t="s">
        <v>1041</v>
      </c>
      <c r="E1165" s="309">
        <v>22</v>
      </c>
      <c r="F1165" s="310" t="s">
        <v>46</v>
      </c>
      <c r="G1165" s="311"/>
      <c r="H1165" s="312">
        <f t="shared" si="164"/>
        <v>0</v>
      </c>
      <c r="I1165" s="313"/>
      <c r="J1165" s="307"/>
      <c r="K1165" s="16"/>
      <c r="L1165" s="17"/>
      <c r="M1165" s="20"/>
      <c r="N1165" s="14"/>
      <c r="O1165" s="15"/>
      <c r="P1165" s="22"/>
    </row>
    <row r="1166" spans="1:16" s="5" customFormat="1" ht="15" customHeight="1" x14ac:dyDescent="0.3">
      <c r="A1166" s="319" t="s">
        <v>28</v>
      </c>
      <c r="B1166" s="306"/>
      <c r="C1166" s="307"/>
      <c r="D1166" s="398" t="s">
        <v>1042</v>
      </c>
      <c r="E1166" s="309">
        <v>236</v>
      </c>
      <c r="F1166" s="310" t="s">
        <v>46</v>
      </c>
      <c r="G1166" s="311"/>
      <c r="H1166" s="312">
        <f t="shared" si="164"/>
        <v>0</v>
      </c>
      <c r="I1166" s="313"/>
      <c r="J1166" s="307"/>
      <c r="K1166" s="16"/>
      <c r="L1166" s="17"/>
      <c r="M1166" s="20"/>
      <c r="N1166" s="14"/>
      <c r="O1166" s="15"/>
      <c r="P1166" s="22"/>
    </row>
    <row r="1167" spans="1:16" s="5" customFormat="1" ht="15" customHeight="1" x14ac:dyDescent="0.3">
      <c r="A1167" s="319"/>
      <c r="B1167" s="306"/>
      <c r="C1167" s="307"/>
      <c r="D1167" s="398"/>
      <c r="E1167" s="309"/>
      <c r="F1167" s="310"/>
      <c r="G1167" s="311"/>
      <c r="H1167" s="312"/>
      <c r="I1167" s="313"/>
      <c r="J1167" s="307"/>
      <c r="K1167" s="16"/>
      <c r="L1167" s="17"/>
      <c r="M1167" s="20"/>
      <c r="N1167" s="14"/>
      <c r="O1167" s="15"/>
      <c r="P1167" s="22"/>
    </row>
    <row r="1168" spans="1:16" s="5" customFormat="1" ht="15" customHeight="1" x14ac:dyDescent="0.3">
      <c r="A1168" s="319" t="s">
        <v>30</v>
      </c>
      <c r="B1168" s="306"/>
      <c r="C1168" s="307"/>
      <c r="D1168" s="398" t="s">
        <v>1043</v>
      </c>
      <c r="E1168" s="309">
        <v>24</v>
      </c>
      <c r="F1168" s="310" t="s">
        <v>46</v>
      </c>
      <c r="G1168" s="311"/>
      <c r="H1168" s="312">
        <f t="shared" si="164"/>
        <v>0</v>
      </c>
      <c r="I1168" s="313"/>
      <c r="J1168" s="307"/>
      <c r="K1168" s="16"/>
      <c r="L1168" s="17"/>
      <c r="M1168" s="20"/>
      <c r="N1168" s="14"/>
      <c r="O1168" s="15"/>
      <c r="P1168" s="22"/>
    </row>
    <row r="1169" spans="1:16" s="5" customFormat="1" ht="15" customHeight="1" x14ac:dyDescent="0.3">
      <c r="A1169" s="319" t="s">
        <v>32</v>
      </c>
      <c r="B1169" s="306"/>
      <c r="C1169" s="307"/>
      <c r="D1169" s="398" t="s">
        <v>1044</v>
      </c>
      <c r="E1169" s="309">
        <v>2</v>
      </c>
      <c r="F1169" s="310" t="s">
        <v>46</v>
      </c>
      <c r="G1169" s="311"/>
      <c r="H1169" s="312">
        <f t="shared" si="164"/>
        <v>0</v>
      </c>
      <c r="I1169" s="313"/>
      <c r="J1169" s="307"/>
      <c r="K1169" s="16"/>
      <c r="L1169" s="17"/>
      <c r="M1169" s="20"/>
      <c r="N1169" s="14"/>
      <c r="O1169" s="15"/>
      <c r="P1169" s="22"/>
    </row>
    <row r="1170" spans="1:16" s="5" customFormat="1" ht="15" customHeight="1" x14ac:dyDescent="0.3">
      <c r="A1170" s="319" t="s">
        <v>34</v>
      </c>
      <c r="B1170" s="306"/>
      <c r="C1170" s="307"/>
      <c r="D1170" s="398" t="s">
        <v>1045</v>
      </c>
      <c r="E1170" s="309">
        <v>2</v>
      </c>
      <c r="F1170" s="310" t="s">
        <v>46</v>
      </c>
      <c r="G1170" s="311"/>
      <c r="H1170" s="312">
        <f t="shared" si="164"/>
        <v>0</v>
      </c>
      <c r="I1170" s="313"/>
      <c r="J1170" s="307"/>
      <c r="K1170" s="16"/>
      <c r="L1170" s="17"/>
      <c r="M1170" s="20"/>
      <c r="N1170" s="14"/>
      <c r="O1170" s="15"/>
      <c r="P1170" s="22"/>
    </row>
    <row r="1171" spans="1:16" s="5" customFormat="1" ht="15" customHeight="1" x14ac:dyDescent="0.3">
      <c r="A1171" s="319" t="s">
        <v>36</v>
      </c>
      <c r="B1171" s="306"/>
      <c r="C1171" s="307"/>
      <c r="D1171" s="398" t="s">
        <v>1046</v>
      </c>
      <c r="E1171" s="309">
        <v>13</v>
      </c>
      <c r="F1171" s="310" t="s">
        <v>46</v>
      </c>
      <c r="G1171" s="311"/>
      <c r="H1171" s="312">
        <f t="shared" si="164"/>
        <v>0</v>
      </c>
      <c r="I1171" s="313"/>
      <c r="J1171" s="307"/>
      <c r="K1171" s="16"/>
      <c r="L1171" s="17"/>
      <c r="M1171" s="20"/>
      <c r="N1171" s="14"/>
      <c r="O1171" s="15"/>
      <c r="P1171" s="22"/>
    </row>
    <row r="1172" spans="1:16" s="5" customFormat="1" ht="15" customHeight="1" x14ac:dyDescent="0.3">
      <c r="A1172" s="319" t="s">
        <v>39</v>
      </c>
      <c r="B1172" s="306"/>
      <c r="C1172" s="307"/>
      <c r="D1172" s="398" t="s">
        <v>1047</v>
      </c>
      <c r="E1172" s="309">
        <v>10</v>
      </c>
      <c r="F1172" s="310" t="s">
        <v>46</v>
      </c>
      <c r="G1172" s="311"/>
      <c r="H1172" s="312">
        <f t="shared" si="164"/>
        <v>0</v>
      </c>
      <c r="I1172" s="313"/>
      <c r="J1172" s="307"/>
      <c r="K1172" s="16"/>
      <c r="L1172" s="17"/>
      <c r="M1172" s="20"/>
      <c r="N1172" s="14"/>
      <c r="O1172" s="15"/>
      <c r="P1172" s="22"/>
    </row>
    <row r="1173" spans="1:16" s="5" customFormat="1" ht="15" customHeight="1" x14ac:dyDescent="0.3">
      <c r="A1173" s="319" t="s">
        <v>42</v>
      </c>
      <c r="B1173" s="306"/>
      <c r="C1173" s="307"/>
      <c r="D1173" s="398" t="s">
        <v>1048</v>
      </c>
      <c r="E1173" s="309">
        <v>35</v>
      </c>
      <c r="F1173" s="310" t="s">
        <v>46</v>
      </c>
      <c r="G1173" s="311"/>
      <c r="H1173" s="312">
        <f t="shared" si="164"/>
        <v>0</v>
      </c>
      <c r="I1173" s="313"/>
      <c r="J1173" s="307"/>
      <c r="K1173" s="16"/>
      <c r="L1173" s="17"/>
      <c r="M1173" s="20"/>
      <c r="N1173" s="14"/>
      <c r="O1173" s="15"/>
      <c r="P1173" s="22"/>
    </row>
    <row r="1174" spans="1:16" s="5" customFormat="1" ht="15" customHeight="1" x14ac:dyDescent="0.3">
      <c r="A1174" s="319"/>
      <c r="B1174" s="306"/>
      <c r="C1174" s="307"/>
      <c r="D1174" s="398"/>
      <c r="E1174" s="309"/>
      <c r="F1174" s="310"/>
      <c r="G1174" s="311"/>
      <c r="H1174" s="312"/>
      <c r="I1174" s="313"/>
      <c r="J1174" s="307"/>
      <c r="K1174" s="16"/>
      <c r="L1174" s="17"/>
      <c r="M1174" s="20"/>
      <c r="N1174" s="14"/>
      <c r="O1174" s="15"/>
      <c r="P1174" s="22"/>
    </row>
    <row r="1175" spans="1:16" s="5" customFormat="1" ht="15" customHeight="1" x14ac:dyDescent="0.3">
      <c r="A1175" s="305"/>
      <c r="B1175" s="306"/>
      <c r="C1175" s="394" t="s">
        <v>1049</v>
      </c>
      <c r="D1175" s="395"/>
      <c r="E1175" s="309"/>
      <c r="F1175" s="310"/>
      <c r="G1175" s="311"/>
      <c r="H1175" s="312"/>
      <c r="I1175" s="313"/>
      <c r="J1175" s="307"/>
      <c r="K1175" s="16"/>
      <c r="L1175" s="17"/>
      <c r="M1175" s="20"/>
      <c r="N1175" s="14"/>
      <c r="O1175" s="15"/>
      <c r="P1175" s="22"/>
    </row>
    <row r="1176" spans="1:16" s="5" customFormat="1" ht="15" customHeight="1" x14ac:dyDescent="0.3">
      <c r="A1176" s="319" t="s">
        <v>44</v>
      </c>
      <c r="B1176" s="306"/>
      <c r="C1176" s="307"/>
      <c r="D1176" s="308" t="s">
        <v>1050</v>
      </c>
      <c r="E1176" s="309">
        <v>28</v>
      </c>
      <c r="F1176" s="310" t="s">
        <v>249</v>
      </c>
      <c r="G1176" s="311"/>
      <c r="H1176" s="312">
        <f t="shared" ref="H1176" si="165">E1176*G1176</f>
        <v>0</v>
      </c>
      <c r="I1176" s="313"/>
      <c r="J1176" s="307"/>
      <c r="K1176" s="16"/>
      <c r="L1176" s="17"/>
      <c r="M1176" s="20"/>
      <c r="N1176" s="14"/>
      <c r="O1176" s="15"/>
      <c r="P1176" s="22"/>
    </row>
    <row r="1177" spans="1:16" s="5" customFormat="1" ht="15" customHeight="1" x14ac:dyDescent="0.3">
      <c r="A1177" s="319"/>
      <c r="B1177" s="306"/>
      <c r="C1177" s="307"/>
      <c r="D1177" s="308"/>
      <c r="E1177" s="309"/>
      <c r="F1177" s="310"/>
      <c r="G1177" s="311"/>
      <c r="H1177" s="312"/>
      <c r="I1177" s="313"/>
      <c r="J1177" s="307"/>
      <c r="K1177" s="16"/>
      <c r="L1177" s="17"/>
      <c r="M1177" s="20"/>
      <c r="N1177" s="14"/>
      <c r="O1177" s="15"/>
      <c r="P1177" s="22"/>
    </row>
    <row r="1178" spans="1:16" s="5" customFormat="1" ht="15" customHeight="1" x14ac:dyDescent="0.3">
      <c r="A1178" s="305"/>
      <c r="B1178" s="306"/>
      <c r="C1178" s="394" t="s">
        <v>1051</v>
      </c>
      <c r="D1178" s="395"/>
      <c r="E1178" s="309"/>
      <c r="F1178" s="310"/>
      <c r="G1178" s="311"/>
      <c r="H1178" s="312"/>
      <c r="I1178" s="313"/>
      <c r="J1178" s="307"/>
      <c r="K1178" s="16"/>
      <c r="L1178" s="17"/>
      <c r="M1178" s="20"/>
      <c r="N1178" s="14"/>
      <c r="O1178" s="15"/>
      <c r="P1178" s="22"/>
    </row>
    <row r="1179" spans="1:16" s="5" customFormat="1" ht="15" customHeight="1" x14ac:dyDescent="0.3">
      <c r="A1179" s="319" t="s">
        <v>46</v>
      </c>
      <c r="B1179" s="306"/>
      <c r="C1179" s="307"/>
      <c r="D1179" s="308" t="s">
        <v>1050</v>
      </c>
      <c r="E1179" s="309">
        <v>6</v>
      </c>
      <c r="F1179" s="310" t="s">
        <v>249</v>
      </c>
      <c r="G1179" s="311"/>
      <c r="H1179" s="312">
        <f t="shared" ref="H1179" si="166">E1179*G1179</f>
        <v>0</v>
      </c>
      <c r="I1179" s="313"/>
      <c r="J1179" s="307"/>
      <c r="K1179" s="16"/>
      <c r="L1179" s="17"/>
      <c r="M1179" s="20"/>
      <c r="N1179" s="14"/>
      <c r="O1179" s="15"/>
      <c r="P1179" s="22"/>
    </row>
    <row r="1180" spans="1:16" s="5" customFormat="1" ht="15" customHeight="1" x14ac:dyDescent="0.3">
      <c r="A1180" s="319"/>
      <c r="B1180" s="306"/>
      <c r="C1180" s="307"/>
      <c r="D1180" s="308"/>
      <c r="E1180" s="309"/>
      <c r="F1180" s="310"/>
      <c r="G1180" s="311"/>
      <c r="H1180" s="312"/>
      <c r="I1180" s="313"/>
      <c r="J1180" s="307"/>
      <c r="K1180" s="16"/>
      <c r="L1180" s="17"/>
      <c r="M1180" s="20"/>
      <c r="N1180" s="14"/>
      <c r="O1180" s="15"/>
      <c r="P1180" s="22"/>
    </row>
    <row r="1181" spans="1:16" s="5" customFormat="1" ht="15" customHeight="1" x14ac:dyDescent="0.3">
      <c r="A1181" s="305"/>
      <c r="B1181" s="306"/>
      <c r="C1181" s="390" t="s">
        <v>1052</v>
      </c>
      <c r="D1181" s="397"/>
      <c r="E1181" s="309"/>
      <c r="F1181" s="310"/>
      <c r="G1181" s="311"/>
      <c r="H1181" s="312"/>
      <c r="I1181" s="313"/>
      <c r="J1181" s="307"/>
      <c r="K1181" s="16"/>
      <c r="L1181" s="17"/>
      <c r="M1181" s="20"/>
      <c r="N1181" s="14"/>
      <c r="O1181" s="15"/>
      <c r="P1181" s="22"/>
    </row>
    <row r="1182" spans="1:16" s="5" customFormat="1" ht="15" customHeight="1" x14ac:dyDescent="0.3">
      <c r="A1182" s="319" t="s">
        <v>48</v>
      </c>
      <c r="B1182" s="306"/>
      <c r="C1182" s="307"/>
      <c r="D1182" s="308" t="s">
        <v>1050</v>
      </c>
      <c r="E1182" s="309">
        <v>5</v>
      </c>
      <c r="F1182" s="310" t="s">
        <v>249</v>
      </c>
      <c r="G1182" s="311"/>
      <c r="H1182" s="312">
        <f t="shared" ref="H1182" si="167">E1182*G1182</f>
        <v>0</v>
      </c>
      <c r="I1182" s="313"/>
      <c r="J1182" s="307"/>
      <c r="K1182" s="16"/>
      <c r="L1182" s="17"/>
      <c r="M1182" s="20"/>
      <c r="N1182" s="14"/>
      <c r="O1182" s="15"/>
      <c r="P1182" s="22"/>
    </row>
    <row r="1183" spans="1:16" s="5" customFormat="1" ht="15" customHeight="1" x14ac:dyDescent="0.3">
      <c r="A1183" s="319"/>
      <c r="B1183" s="306"/>
      <c r="C1183" s="307"/>
      <c r="D1183" s="308"/>
      <c r="E1183" s="309"/>
      <c r="F1183" s="310"/>
      <c r="G1183" s="311"/>
      <c r="H1183" s="312"/>
      <c r="I1183" s="313"/>
      <c r="J1183" s="307"/>
      <c r="K1183" s="16"/>
      <c r="L1183" s="17"/>
      <c r="M1183" s="20"/>
      <c r="N1183" s="14"/>
      <c r="O1183" s="15"/>
      <c r="P1183" s="22"/>
    </row>
    <row r="1184" spans="1:16" s="5" customFormat="1" ht="15" customHeight="1" x14ac:dyDescent="0.3">
      <c r="A1184" s="305"/>
      <c r="B1184" s="306"/>
      <c r="C1184" s="390" t="s">
        <v>1053</v>
      </c>
      <c r="D1184" s="397"/>
      <c r="E1184" s="309"/>
      <c r="F1184" s="310"/>
      <c r="G1184" s="311"/>
      <c r="H1184" s="312"/>
      <c r="I1184" s="313"/>
      <c r="J1184" s="307"/>
      <c r="K1184" s="16"/>
      <c r="L1184" s="17"/>
      <c r="M1184" s="20"/>
      <c r="N1184" s="14"/>
      <c r="O1184" s="15"/>
      <c r="P1184" s="22"/>
    </row>
    <row r="1185" spans="1:16" s="5" customFormat="1" ht="15" customHeight="1" x14ac:dyDescent="0.3">
      <c r="A1185" s="319" t="s">
        <v>50</v>
      </c>
      <c r="B1185" s="306"/>
      <c r="C1185" s="307"/>
      <c r="D1185" s="308" t="s">
        <v>523</v>
      </c>
      <c r="E1185" s="309">
        <v>30</v>
      </c>
      <c r="F1185" s="310" t="s">
        <v>249</v>
      </c>
      <c r="G1185" s="311"/>
      <c r="H1185" s="312">
        <f t="shared" ref="H1185" si="168">E1185*G1185</f>
        <v>0</v>
      </c>
      <c r="I1185" s="313"/>
      <c r="J1185" s="307"/>
      <c r="K1185" s="16"/>
      <c r="L1185" s="17"/>
      <c r="M1185" s="20"/>
      <c r="N1185" s="14"/>
      <c r="O1185" s="15"/>
      <c r="P1185" s="22"/>
    </row>
    <row r="1186" spans="1:16" s="5" customFormat="1" ht="15" customHeight="1" x14ac:dyDescent="0.3">
      <c r="A1186" s="319"/>
      <c r="B1186" s="306"/>
      <c r="C1186" s="307"/>
      <c r="D1186" s="308"/>
      <c r="E1186" s="309"/>
      <c r="F1186" s="310"/>
      <c r="G1186" s="311"/>
      <c r="H1186" s="312"/>
      <c r="I1186" s="313"/>
      <c r="J1186" s="307"/>
      <c r="K1186" s="16"/>
      <c r="L1186" s="17"/>
      <c r="M1186" s="20"/>
      <c r="N1186" s="14"/>
      <c r="O1186" s="15"/>
      <c r="P1186" s="22"/>
    </row>
    <row r="1187" spans="1:16" s="5" customFormat="1" ht="15" customHeight="1" x14ac:dyDescent="0.3">
      <c r="A1187" s="319"/>
      <c r="B1187" s="306"/>
      <c r="C1187" s="390" t="s">
        <v>1054</v>
      </c>
      <c r="D1187" s="308"/>
      <c r="E1187" s="309"/>
      <c r="F1187" s="310"/>
      <c r="G1187" s="311"/>
      <c r="H1187" s="312"/>
      <c r="I1187" s="313"/>
      <c r="J1187" s="307"/>
      <c r="K1187" s="16"/>
      <c r="L1187" s="17"/>
      <c r="M1187" s="20"/>
      <c r="N1187" s="14"/>
      <c r="O1187" s="15"/>
      <c r="P1187" s="22"/>
    </row>
    <row r="1188" spans="1:16" s="5" customFormat="1" ht="15" customHeight="1" x14ac:dyDescent="0.3">
      <c r="A1188" s="319" t="s">
        <v>52</v>
      </c>
      <c r="B1188" s="306"/>
      <c r="C1188" s="307"/>
      <c r="D1188" s="308" t="s">
        <v>520</v>
      </c>
      <c r="E1188" s="309">
        <v>11</v>
      </c>
      <c r="F1188" s="310" t="s">
        <v>249</v>
      </c>
      <c r="G1188" s="311"/>
      <c r="H1188" s="312">
        <f t="shared" ref="H1188" si="169">E1188*G1188</f>
        <v>0</v>
      </c>
      <c r="I1188" s="313"/>
      <c r="J1188" s="307"/>
      <c r="K1188" s="16"/>
      <c r="L1188" s="17"/>
      <c r="M1188" s="20"/>
      <c r="N1188" s="14"/>
      <c r="O1188" s="15"/>
      <c r="P1188" s="22"/>
    </row>
    <row r="1189" spans="1:16" s="5" customFormat="1" ht="15" customHeight="1" x14ac:dyDescent="0.3">
      <c r="A1189" s="319"/>
      <c r="B1189" s="306"/>
      <c r="C1189" s="307"/>
      <c r="D1189" s="308"/>
      <c r="E1189" s="309"/>
      <c r="F1189" s="310"/>
      <c r="G1189" s="311"/>
      <c r="H1189" s="312"/>
      <c r="I1189" s="313"/>
      <c r="J1189" s="307"/>
      <c r="K1189" s="16"/>
      <c r="L1189" s="17"/>
      <c r="M1189" s="20"/>
      <c r="N1189" s="14"/>
      <c r="O1189" s="15"/>
      <c r="P1189" s="22"/>
    </row>
    <row r="1190" spans="1:16" s="5" customFormat="1" ht="29.7" customHeight="1" x14ac:dyDescent="0.3">
      <c r="A1190" s="319"/>
      <c r="B1190" s="306"/>
      <c r="C1190" s="394" t="s">
        <v>1055</v>
      </c>
      <c r="D1190" s="395"/>
      <c r="E1190" s="309"/>
      <c r="F1190" s="310"/>
      <c r="G1190" s="311"/>
      <c r="H1190" s="312"/>
      <c r="I1190" s="313"/>
      <c r="J1190" s="307"/>
      <c r="K1190" s="16"/>
      <c r="L1190" s="17"/>
      <c r="M1190" s="20"/>
      <c r="N1190" s="14"/>
      <c r="O1190" s="15"/>
      <c r="P1190" s="22"/>
    </row>
    <row r="1191" spans="1:16" s="5" customFormat="1" ht="15" customHeight="1" x14ac:dyDescent="0.3">
      <c r="A1191" s="319" t="s">
        <v>54</v>
      </c>
      <c r="B1191" s="306"/>
      <c r="C1191" s="307"/>
      <c r="D1191" s="308" t="s">
        <v>1056</v>
      </c>
      <c r="E1191" s="309">
        <v>1</v>
      </c>
      <c r="F1191" s="310" t="s">
        <v>100</v>
      </c>
      <c r="G1191" s="311"/>
      <c r="H1191" s="312">
        <f t="shared" ref="H1191:H1193" si="170">E1191*G1191</f>
        <v>0</v>
      </c>
      <c r="I1191" s="313"/>
      <c r="J1191" s="307"/>
      <c r="K1191" s="16"/>
      <c r="L1191" s="17"/>
      <c r="M1191" s="20"/>
      <c r="N1191" s="14"/>
      <c r="O1191" s="15"/>
      <c r="P1191" s="22"/>
    </row>
    <row r="1192" spans="1:16" s="5" customFormat="1" ht="15" customHeight="1" x14ac:dyDescent="0.3">
      <c r="A1192" s="319" t="s">
        <v>56</v>
      </c>
      <c r="B1192" s="306"/>
      <c r="C1192" s="307"/>
      <c r="D1192" s="308" t="s">
        <v>1057</v>
      </c>
      <c r="E1192" s="309">
        <v>1</v>
      </c>
      <c r="F1192" s="310" t="s">
        <v>100</v>
      </c>
      <c r="G1192" s="311"/>
      <c r="H1192" s="312">
        <f t="shared" si="170"/>
        <v>0</v>
      </c>
      <c r="I1192" s="313"/>
      <c r="J1192" s="307"/>
      <c r="K1192" s="16"/>
      <c r="L1192" s="17"/>
      <c r="M1192" s="20"/>
      <c r="N1192" s="14"/>
      <c r="O1192" s="15"/>
      <c r="P1192" s="22"/>
    </row>
    <row r="1193" spans="1:16" s="5" customFormat="1" ht="15" customHeight="1" x14ac:dyDescent="0.3">
      <c r="A1193" s="319" t="s">
        <v>58</v>
      </c>
      <c r="B1193" s="306"/>
      <c r="C1193" s="307"/>
      <c r="D1193" s="308" t="s">
        <v>1058</v>
      </c>
      <c r="E1193" s="309">
        <v>2</v>
      </c>
      <c r="F1193" s="310" t="s">
        <v>249</v>
      </c>
      <c r="G1193" s="311"/>
      <c r="H1193" s="312">
        <f t="shared" si="170"/>
        <v>0</v>
      </c>
      <c r="I1193" s="313"/>
      <c r="J1193" s="307"/>
      <c r="K1193" s="16"/>
      <c r="L1193" s="17"/>
      <c r="M1193" s="20"/>
      <c r="N1193" s="14"/>
      <c r="O1193" s="15"/>
      <c r="P1193" s="22"/>
    </row>
    <row r="1194" spans="1:16" s="5" customFormat="1" ht="15" customHeight="1" x14ac:dyDescent="0.3">
      <c r="A1194" s="319"/>
      <c r="B1194" s="306"/>
      <c r="C1194" s="307"/>
      <c r="D1194" s="308"/>
      <c r="E1194" s="309"/>
      <c r="F1194" s="310"/>
      <c r="G1194" s="311"/>
      <c r="H1194" s="312"/>
      <c r="I1194" s="313"/>
      <c r="J1194" s="307"/>
      <c r="K1194" s="16"/>
      <c r="L1194" s="17"/>
      <c r="M1194" s="20"/>
      <c r="N1194" s="14"/>
      <c r="O1194" s="15"/>
      <c r="P1194" s="22"/>
    </row>
    <row r="1195" spans="1:16" s="5" customFormat="1" ht="59.4" customHeight="1" x14ac:dyDescent="0.3">
      <c r="A1195" s="305"/>
      <c r="B1195" s="306"/>
      <c r="C1195" s="479" t="s">
        <v>549</v>
      </c>
      <c r="D1195" s="480"/>
      <c r="E1195" s="309"/>
      <c r="F1195" s="310"/>
      <c r="G1195" s="311"/>
      <c r="H1195" s="312"/>
      <c r="I1195" s="313"/>
      <c r="J1195" s="307"/>
      <c r="K1195" s="16"/>
      <c r="L1195" s="17"/>
      <c r="M1195" s="20"/>
      <c r="N1195" s="14"/>
      <c r="O1195" s="15"/>
      <c r="P1195" s="22"/>
    </row>
    <row r="1196" spans="1:16" s="5" customFormat="1" ht="28.5" customHeight="1" x14ac:dyDescent="0.3">
      <c r="A1196" s="305" t="s">
        <v>60</v>
      </c>
      <c r="B1196" s="306"/>
      <c r="C1196" s="390"/>
      <c r="D1196" s="397" t="s">
        <v>1059</v>
      </c>
      <c r="E1196" s="309">
        <v>1</v>
      </c>
      <c r="F1196" s="310" t="s">
        <v>249</v>
      </c>
      <c r="G1196" s="311"/>
      <c r="H1196" s="312">
        <f t="shared" ref="H1196:H1199" si="171">E1196*G1196</f>
        <v>0</v>
      </c>
      <c r="I1196" s="313"/>
      <c r="J1196" s="307"/>
      <c r="K1196" s="16"/>
      <c r="L1196" s="17"/>
      <c r="M1196" s="20"/>
      <c r="N1196" s="14"/>
      <c r="O1196" s="15"/>
      <c r="P1196" s="22"/>
    </row>
    <row r="1197" spans="1:16" s="5" customFormat="1" ht="15" customHeight="1" x14ac:dyDescent="0.3">
      <c r="A1197" s="305" t="s">
        <v>62</v>
      </c>
      <c r="B1197" s="306"/>
      <c r="C1197" s="390"/>
      <c r="D1197" s="397" t="s">
        <v>1060</v>
      </c>
      <c r="E1197" s="309">
        <v>1</v>
      </c>
      <c r="F1197" s="310" t="s">
        <v>249</v>
      </c>
      <c r="G1197" s="311"/>
      <c r="H1197" s="312">
        <f t="shared" si="171"/>
        <v>0</v>
      </c>
      <c r="I1197" s="313"/>
      <c r="J1197" s="307"/>
      <c r="K1197" s="16"/>
      <c r="L1197" s="17"/>
      <c r="M1197" s="20"/>
      <c r="N1197" s="14"/>
      <c r="O1197" s="15"/>
      <c r="P1197" s="22"/>
    </row>
    <row r="1198" spans="1:16" s="5" customFormat="1" ht="15" customHeight="1" x14ac:dyDescent="0.3">
      <c r="A1198" s="305" t="s">
        <v>64</v>
      </c>
      <c r="B1198" s="306"/>
      <c r="C1198" s="390"/>
      <c r="D1198" s="397" t="s">
        <v>1061</v>
      </c>
      <c r="E1198" s="309">
        <v>1</v>
      </c>
      <c r="F1198" s="310" t="s">
        <v>249</v>
      </c>
      <c r="G1198" s="311"/>
      <c r="H1198" s="312">
        <f t="shared" si="171"/>
        <v>0</v>
      </c>
      <c r="I1198" s="313"/>
      <c r="J1198" s="307"/>
      <c r="K1198" s="16"/>
      <c r="L1198" s="17"/>
      <c r="M1198" s="20"/>
      <c r="N1198" s="14"/>
      <c r="O1198" s="15"/>
      <c r="P1198" s="22"/>
    </row>
    <row r="1199" spans="1:16" s="5" customFormat="1" ht="29.7" customHeight="1" x14ac:dyDescent="0.3">
      <c r="A1199" s="305" t="s">
        <v>66</v>
      </c>
      <c r="B1199" s="306"/>
      <c r="C1199" s="390"/>
      <c r="D1199" s="397" t="s">
        <v>1062</v>
      </c>
      <c r="E1199" s="309">
        <v>1</v>
      </c>
      <c r="F1199" s="310" t="s">
        <v>487</v>
      </c>
      <c r="G1199" s="311"/>
      <c r="H1199" s="312">
        <f t="shared" si="171"/>
        <v>0</v>
      </c>
      <c r="I1199" s="313"/>
      <c r="J1199" s="307"/>
      <c r="K1199" s="16"/>
      <c r="L1199" s="17"/>
      <c r="M1199" s="20"/>
      <c r="N1199" s="14"/>
      <c r="O1199" s="15"/>
      <c r="P1199" s="22"/>
    </row>
    <row r="1200" spans="1:16" s="5" customFormat="1" ht="15" customHeight="1" x14ac:dyDescent="0.3">
      <c r="A1200" s="305"/>
      <c r="B1200" s="306"/>
      <c r="C1200" s="390"/>
      <c r="D1200" s="397"/>
      <c r="E1200" s="309"/>
      <c r="F1200" s="310"/>
      <c r="G1200" s="311"/>
      <c r="H1200" s="312"/>
      <c r="I1200" s="313"/>
      <c r="J1200" s="307"/>
      <c r="K1200" s="16"/>
      <c r="L1200" s="17"/>
      <c r="M1200" s="20"/>
      <c r="N1200" s="14"/>
      <c r="O1200" s="15"/>
      <c r="P1200" s="22"/>
    </row>
    <row r="1201" spans="1:16" s="5" customFormat="1" ht="15" customHeight="1" x14ac:dyDescent="0.3">
      <c r="A1201" s="305"/>
      <c r="B1201" s="306"/>
      <c r="C1201" s="390" t="s">
        <v>1063</v>
      </c>
      <c r="D1201" s="397"/>
      <c r="E1201" s="309"/>
      <c r="F1201" s="310"/>
      <c r="G1201" s="311"/>
      <c r="H1201" s="312"/>
      <c r="I1201" s="313"/>
      <c r="J1201" s="307"/>
      <c r="K1201" s="16"/>
      <c r="L1201" s="17"/>
      <c r="M1201" s="20"/>
      <c r="N1201" s="14"/>
      <c r="O1201" s="15"/>
      <c r="P1201" s="22"/>
    </row>
    <row r="1202" spans="1:16" s="5" customFormat="1" ht="15" customHeight="1" x14ac:dyDescent="0.3">
      <c r="A1202" s="305" t="s">
        <v>68</v>
      </c>
      <c r="B1202" s="306"/>
      <c r="C1202" s="390"/>
      <c r="D1202" s="397" t="s">
        <v>512</v>
      </c>
      <c r="E1202" s="309">
        <v>4</v>
      </c>
      <c r="F1202" s="310" t="s">
        <v>249</v>
      </c>
      <c r="G1202" s="311"/>
      <c r="H1202" s="312">
        <f t="shared" ref="H1202:H1203" si="172">E1202*G1202</f>
        <v>0</v>
      </c>
      <c r="I1202" s="313"/>
      <c r="J1202" s="307"/>
      <c r="K1202" s="16"/>
      <c r="L1202" s="17"/>
      <c r="M1202" s="20"/>
      <c r="N1202" s="14"/>
      <c r="O1202" s="15"/>
      <c r="P1202" s="22"/>
    </row>
    <row r="1203" spans="1:16" s="5" customFormat="1" ht="15" customHeight="1" x14ac:dyDescent="0.3">
      <c r="A1203" s="305" t="s">
        <v>71</v>
      </c>
      <c r="B1203" s="306"/>
      <c r="C1203" s="390"/>
      <c r="D1203" s="397" t="s">
        <v>1050</v>
      </c>
      <c r="E1203" s="309">
        <v>42</v>
      </c>
      <c r="F1203" s="310" t="s">
        <v>249</v>
      </c>
      <c r="G1203" s="311"/>
      <c r="H1203" s="312">
        <f t="shared" si="172"/>
        <v>0</v>
      </c>
      <c r="I1203" s="313"/>
      <c r="J1203" s="307"/>
      <c r="K1203" s="16"/>
      <c r="L1203" s="17"/>
      <c r="M1203" s="20"/>
      <c r="N1203" s="14"/>
      <c r="O1203" s="15"/>
      <c r="P1203" s="22"/>
    </row>
    <row r="1204" spans="1:16" s="5" customFormat="1" ht="15" customHeight="1" x14ac:dyDescent="0.3">
      <c r="A1204" s="305"/>
      <c r="B1204" s="306"/>
      <c r="C1204" s="390"/>
      <c r="D1204" s="397"/>
      <c r="E1204" s="309"/>
      <c r="F1204" s="310"/>
      <c r="G1204" s="311"/>
      <c r="H1204" s="312"/>
      <c r="I1204" s="313"/>
      <c r="J1204" s="307"/>
      <c r="K1204" s="16"/>
      <c r="L1204" s="17"/>
      <c r="M1204" s="20"/>
      <c r="N1204" s="14"/>
      <c r="O1204" s="15"/>
      <c r="P1204" s="22"/>
    </row>
    <row r="1205" spans="1:16" s="5" customFormat="1" ht="15" customHeight="1" x14ac:dyDescent="0.3">
      <c r="A1205" s="305"/>
      <c r="B1205" s="306"/>
      <c r="C1205" s="390" t="s">
        <v>1064</v>
      </c>
      <c r="D1205" s="397"/>
      <c r="E1205" s="309"/>
      <c r="F1205" s="310"/>
      <c r="G1205" s="311"/>
      <c r="H1205" s="312"/>
      <c r="I1205" s="313"/>
      <c r="J1205" s="307"/>
      <c r="K1205" s="16"/>
      <c r="L1205" s="17"/>
      <c r="M1205" s="20"/>
      <c r="N1205" s="14"/>
      <c r="O1205" s="15"/>
      <c r="P1205" s="22"/>
    </row>
    <row r="1206" spans="1:16" s="5" customFormat="1" ht="15" customHeight="1" x14ac:dyDescent="0.3">
      <c r="A1206" s="305" t="s">
        <v>73</v>
      </c>
      <c r="B1206" s="306"/>
      <c r="C1206" s="390"/>
      <c r="D1206" s="397" t="s">
        <v>470</v>
      </c>
      <c r="E1206" s="309">
        <v>2</v>
      </c>
      <c r="F1206" s="310" t="s">
        <v>249</v>
      </c>
      <c r="G1206" s="311"/>
      <c r="H1206" s="312">
        <f t="shared" ref="H1206:H1207" si="173">E1206*G1206</f>
        <v>0</v>
      </c>
      <c r="I1206" s="313"/>
      <c r="J1206" s="307"/>
      <c r="K1206" s="16"/>
      <c r="L1206" s="17"/>
      <c r="M1206" s="20"/>
      <c r="N1206" s="14"/>
      <c r="O1206" s="15"/>
      <c r="P1206" s="22"/>
    </row>
    <row r="1207" spans="1:16" s="5" customFormat="1" ht="15" customHeight="1" x14ac:dyDescent="0.3">
      <c r="A1207" s="305" t="s">
        <v>75</v>
      </c>
      <c r="B1207" s="306"/>
      <c r="C1207" s="390"/>
      <c r="D1207" s="397" t="s">
        <v>1065</v>
      </c>
      <c r="E1207" s="309">
        <v>3</v>
      </c>
      <c r="F1207" s="310" t="s">
        <v>249</v>
      </c>
      <c r="G1207" s="311"/>
      <c r="H1207" s="312">
        <f t="shared" si="173"/>
        <v>0</v>
      </c>
      <c r="I1207" s="313"/>
      <c r="J1207" s="307"/>
      <c r="K1207" s="16"/>
      <c r="L1207" s="17"/>
      <c r="M1207" s="20"/>
      <c r="N1207" s="14"/>
      <c r="O1207" s="15"/>
      <c r="P1207" s="22"/>
    </row>
    <row r="1208" spans="1:16" s="5" customFormat="1" ht="15" customHeight="1" x14ac:dyDescent="0.3">
      <c r="A1208" s="305"/>
      <c r="B1208" s="306"/>
      <c r="C1208" s="390"/>
      <c r="D1208" s="397"/>
      <c r="E1208" s="309"/>
      <c r="F1208" s="310"/>
      <c r="G1208" s="311"/>
      <c r="H1208" s="312"/>
      <c r="I1208" s="313"/>
      <c r="J1208" s="307"/>
      <c r="K1208" s="16"/>
      <c r="L1208" s="17"/>
      <c r="M1208" s="20"/>
      <c r="N1208" s="14"/>
      <c r="O1208" s="15"/>
      <c r="P1208" s="22"/>
    </row>
    <row r="1209" spans="1:16" s="5" customFormat="1" ht="15" customHeight="1" x14ac:dyDescent="0.3">
      <c r="A1209" s="305"/>
      <c r="B1209" s="306"/>
      <c r="C1209" s="390" t="s">
        <v>536</v>
      </c>
      <c r="D1209" s="397"/>
      <c r="E1209" s="309"/>
      <c r="F1209" s="310"/>
      <c r="G1209" s="311"/>
      <c r="H1209" s="312"/>
      <c r="I1209" s="313"/>
      <c r="J1209" s="307"/>
      <c r="K1209" s="16"/>
      <c r="L1209" s="17"/>
      <c r="M1209" s="20"/>
      <c r="N1209" s="14"/>
      <c r="O1209" s="15"/>
      <c r="P1209" s="22"/>
    </row>
    <row r="1210" spans="1:16" s="5" customFormat="1" ht="15" customHeight="1" x14ac:dyDescent="0.3">
      <c r="A1210" s="305" t="s">
        <v>77</v>
      </c>
      <c r="B1210" s="306"/>
      <c r="C1210" s="390"/>
      <c r="D1210" s="397" t="s">
        <v>1050</v>
      </c>
      <c r="E1210" s="309">
        <v>12</v>
      </c>
      <c r="F1210" s="310" t="s">
        <v>249</v>
      </c>
      <c r="G1210" s="311"/>
      <c r="H1210" s="312">
        <f t="shared" ref="H1210" si="174">E1210*G1210</f>
        <v>0</v>
      </c>
      <c r="I1210" s="313"/>
      <c r="J1210" s="307"/>
      <c r="K1210" s="16"/>
      <c r="L1210" s="17"/>
      <c r="M1210" s="20"/>
      <c r="N1210" s="14"/>
      <c r="O1210" s="15"/>
      <c r="P1210" s="22"/>
    </row>
    <row r="1211" spans="1:16" s="5" customFormat="1" ht="15" customHeight="1" x14ac:dyDescent="0.3">
      <c r="A1211" s="305"/>
      <c r="B1211" s="306"/>
      <c r="C1211" s="390"/>
      <c r="D1211" s="397"/>
      <c r="E1211" s="309"/>
      <c r="F1211" s="310"/>
      <c r="G1211" s="311"/>
      <c r="H1211" s="312"/>
      <c r="I1211" s="313"/>
      <c r="J1211" s="307"/>
      <c r="K1211" s="16"/>
      <c r="L1211" s="17"/>
      <c r="M1211" s="20"/>
      <c r="N1211" s="14"/>
      <c r="O1211" s="15"/>
      <c r="P1211" s="22"/>
    </row>
    <row r="1212" spans="1:16" s="5" customFormat="1" ht="15" customHeight="1" x14ac:dyDescent="0.3">
      <c r="A1212" s="305"/>
      <c r="B1212" s="306"/>
      <c r="C1212" s="390" t="s">
        <v>1066</v>
      </c>
      <c r="D1212" s="397"/>
      <c r="E1212" s="309"/>
      <c r="F1212" s="310"/>
      <c r="G1212" s="311"/>
      <c r="H1212" s="312"/>
      <c r="I1212" s="313"/>
      <c r="J1212" s="307"/>
      <c r="K1212" s="16"/>
      <c r="L1212" s="17"/>
      <c r="M1212" s="20"/>
      <c r="N1212" s="14"/>
      <c r="O1212" s="15"/>
      <c r="P1212" s="22"/>
    </row>
    <row r="1213" spans="1:16" s="5" customFormat="1" ht="15" customHeight="1" x14ac:dyDescent="0.3">
      <c r="A1213" s="305" t="s">
        <v>80</v>
      </c>
      <c r="B1213" s="306"/>
      <c r="C1213" s="390"/>
      <c r="D1213" s="397" t="s">
        <v>1050</v>
      </c>
      <c r="E1213" s="309">
        <v>5</v>
      </c>
      <c r="F1213" s="310" t="s">
        <v>249</v>
      </c>
      <c r="G1213" s="311"/>
      <c r="H1213" s="312">
        <f t="shared" ref="H1213" si="175">E1213*G1213</f>
        <v>0</v>
      </c>
      <c r="I1213" s="313"/>
      <c r="J1213" s="307"/>
      <c r="K1213" s="16"/>
      <c r="L1213" s="17"/>
      <c r="M1213" s="20"/>
      <c r="N1213" s="14"/>
      <c r="O1213" s="15"/>
      <c r="P1213" s="22"/>
    </row>
    <row r="1214" spans="1:16" s="5" customFormat="1" ht="15" customHeight="1" x14ac:dyDescent="0.3">
      <c r="A1214" s="401"/>
      <c r="B1214" s="402"/>
      <c r="C1214" s="403"/>
      <c r="D1214" s="438"/>
      <c r="E1214" s="432"/>
      <c r="F1214" s="433"/>
      <c r="G1214" s="407"/>
      <c r="H1214" s="408"/>
      <c r="I1214" s="409"/>
      <c r="J1214" s="307"/>
      <c r="K1214" s="16"/>
      <c r="L1214" s="17"/>
      <c r="M1214" s="20"/>
      <c r="N1214" s="14"/>
      <c r="O1214" s="15"/>
      <c r="P1214" s="22"/>
    </row>
    <row r="1215" spans="1:16" s="5" customFormat="1" ht="15" customHeight="1" x14ac:dyDescent="0.3">
      <c r="A1215" s="305"/>
      <c r="B1215" s="306"/>
      <c r="C1215" s="390" t="s">
        <v>1067</v>
      </c>
      <c r="D1215" s="397"/>
      <c r="E1215" s="309"/>
      <c r="F1215" s="310"/>
      <c r="G1215" s="311"/>
      <c r="H1215" s="312"/>
      <c r="I1215" s="313"/>
      <c r="J1215" s="307"/>
      <c r="K1215" s="16"/>
      <c r="L1215" s="17"/>
      <c r="M1215" s="20"/>
      <c r="N1215" s="14"/>
      <c r="O1215" s="15"/>
      <c r="P1215" s="22"/>
    </row>
    <row r="1216" spans="1:16" s="5" customFormat="1" ht="45.15" customHeight="1" x14ac:dyDescent="0.3">
      <c r="A1216" s="305"/>
      <c r="B1216" s="306"/>
      <c r="C1216" s="394" t="s">
        <v>1068</v>
      </c>
      <c r="D1216" s="395"/>
      <c r="E1216" s="309"/>
      <c r="F1216" s="310"/>
      <c r="G1216" s="311"/>
      <c r="H1216" s="312"/>
      <c r="I1216" s="313"/>
      <c r="J1216" s="307"/>
      <c r="K1216" s="16"/>
      <c r="L1216" s="17"/>
      <c r="M1216" s="20"/>
      <c r="N1216" s="14"/>
      <c r="O1216" s="15"/>
      <c r="P1216" s="22"/>
    </row>
    <row r="1217" spans="1:16" s="54" customFormat="1" ht="15" customHeight="1" x14ac:dyDescent="0.3">
      <c r="A1217" s="305" t="s">
        <v>81</v>
      </c>
      <c r="B1217" s="481"/>
      <c r="C1217" s="390"/>
      <c r="D1217" s="308" t="s">
        <v>1069</v>
      </c>
      <c r="E1217" s="309">
        <v>1</v>
      </c>
      <c r="F1217" s="310" t="s">
        <v>100</v>
      </c>
      <c r="G1217" s="311"/>
      <c r="H1217" s="312">
        <f t="shared" ref="H1217:H1274" si="176">E1217*G1217</f>
        <v>0</v>
      </c>
      <c r="I1217" s="313"/>
      <c r="J1217" s="456"/>
      <c r="K1217" s="16"/>
      <c r="L1217" s="17"/>
      <c r="M1217" s="20"/>
      <c r="N1217" s="14"/>
      <c r="O1217" s="15"/>
      <c r="P1217" s="55"/>
    </row>
    <row r="1218" spans="1:16" s="54" customFormat="1" ht="15" customHeight="1" x14ac:dyDescent="0.3">
      <c r="A1218" s="305" t="s">
        <v>83</v>
      </c>
      <c r="B1218" s="306"/>
      <c r="C1218" s="390"/>
      <c r="D1218" s="308" t="s">
        <v>1070</v>
      </c>
      <c r="E1218" s="309">
        <v>1</v>
      </c>
      <c r="F1218" s="310" t="s">
        <v>100</v>
      </c>
      <c r="G1218" s="311"/>
      <c r="H1218" s="312">
        <f t="shared" si="176"/>
        <v>0</v>
      </c>
      <c r="I1218" s="313"/>
      <c r="J1218" s="456"/>
      <c r="K1218" s="16"/>
      <c r="L1218" s="17"/>
      <c r="M1218" s="20"/>
      <c r="N1218" s="14"/>
      <c r="O1218" s="15"/>
      <c r="P1218" s="55"/>
    </row>
    <row r="1219" spans="1:16" s="54" customFormat="1" ht="15" customHeight="1" x14ac:dyDescent="0.3">
      <c r="A1219" s="305" t="s">
        <v>85</v>
      </c>
      <c r="B1219" s="306"/>
      <c r="C1219" s="390"/>
      <c r="D1219" s="308" t="s">
        <v>1070</v>
      </c>
      <c r="E1219" s="309">
        <v>1</v>
      </c>
      <c r="F1219" s="310" t="s">
        <v>100</v>
      </c>
      <c r="G1219" s="311"/>
      <c r="H1219" s="312">
        <f t="shared" si="176"/>
        <v>0</v>
      </c>
      <c r="I1219" s="313"/>
      <c r="J1219" s="456"/>
      <c r="K1219" s="16"/>
      <c r="L1219" s="17"/>
      <c r="M1219" s="20"/>
      <c r="N1219" s="14"/>
      <c r="O1219" s="15"/>
      <c r="P1219" s="55"/>
    </row>
    <row r="1220" spans="1:16" s="54" customFormat="1" ht="15" customHeight="1" x14ac:dyDescent="0.3">
      <c r="A1220" s="305" t="s">
        <v>87</v>
      </c>
      <c r="B1220" s="306"/>
      <c r="C1220" s="390"/>
      <c r="D1220" s="308" t="s">
        <v>1071</v>
      </c>
      <c r="E1220" s="309">
        <v>1</v>
      </c>
      <c r="F1220" s="310" t="s">
        <v>100</v>
      </c>
      <c r="G1220" s="311"/>
      <c r="H1220" s="312">
        <f t="shared" si="176"/>
        <v>0</v>
      </c>
      <c r="I1220" s="313"/>
      <c r="J1220" s="456"/>
      <c r="K1220" s="16"/>
      <c r="L1220" s="17"/>
      <c r="M1220" s="20"/>
      <c r="N1220" s="14"/>
      <c r="O1220" s="15"/>
      <c r="P1220" s="55"/>
    </row>
    <row r="1221" spans="1:16" s="54" customFormat="1" ht="15" customHeight="1" x14ac:dyDescent="0.3">
      <c r="A1221" s="305" t="s">
        <v>89</v>
      </c>
      <c r="B1221" s="306"/>
      <c r="C1221" s="390"/>
      <c r="D1221" s="308" t="s">
        <v>1072</v>
      </c>
      <c r="E1221" s="309">
        <v>1</v>
      </c>
      <c r="F1221" s="310" t="s">
        <v>100</v>
      </c>
      <c r="G1221" s="311"/>
      <c r="H1221" s="312">
        <f t="shared" si="176"/>
        <v>0</v>
      </c>
      <c r="I1221" s="313"/>
      <c r="J1221" s="456"/>
      <c r="K1221" s="16"/>
      <c r="L1221" s="17"/>
      <c r="M1221" s="20"/>
      <c r="N1221" s="14"/>
      <c r="O1221" s="15"/>
      <c r="P1221" s="55"/>
    </row>
    <row r="1222" spans="1:16" s="54" customFormat="1" ht="15" customHeight="1" x14ac:dyDescent="0.3">
      <c r="A1222" s="305" t="s">
        <v>91</v>
      </c>
      <c r="B1222" s="306"/>
      <c r="C1222" s="390"/>
      <c r="D1222" s="308" t="s">
        <v>1073</v>
      </c>
      <c r="E1222" s="309">
        <v>1</v>
      </c>
      <c r="F1222" s="310" t="s">
        <v>100</v>
      </c>
      <c r="G1222" s="311"/>
      <c r="H1222" s="312">
        <f t="shared" si="176"/>
        <v>0</v>
      </c>
      <c r="I1222" s="313"/>
      <c r="J1222" s="456"/>
      <c r="K1222" s="16"/>
      <c r="L1222" s="17"/>
      <c r="M1222" s="20"/>
      <c r="N1222" s="14"/>
      <c r="O1222" s="15"/>
      <c r="P1222" s="55"/>
    </row>
    <row r="1223" spans="1:16" s="54" customFormat="1" ht="15" customHeight="1" x14ac:dyDescent="0.3">
      <c r="A1223" s="305" t="s">
        <v>92</v>
      </c>
      <c r="B1223" s="306"/>
      <c r="C1223" s="390"/>
      <c r="D1223" s="308" t="s">
        <v>1074</v>
      </c>
      <c r="E1223" s="309">
        <v>1</v>
      </c>
      <c r="F1223" s="310" t="s">
        <v>100</v>
      </c>
      <c r="G1223" s="311"/>
      <c r="H1223" s="312">
        <f t="shared" si="176"/>
        <v>0</v>
      </c>
      <c r="I1223" s="313"/>
      <c r="J1223" s="456"/>
      <c r="K1223" s="16"/>
      <c r="L1223" s="17"/>
      <c r="M1223" s="20"/>
      <c r="N1223" s="14"/>
      <c r="O1223" s="15"/>
      <c r="P1223" s="55"/>
    </row>
    <row r="1224" spans="1:16" s="54" customFormat="1" ht="15" customHeight="1" x14ac:dyDescent="0.3">
      <c r="A1224" s="305" t="s">
        <v>94</v>
      </c>
      <c r="B1224" s="306"/>
      <c r="C1224" s="390"/>
      <c r="D1224" s="308" t="s">
        <v>1075</v>
      </c>
      <c r="E1224" s="309">
        <v>1</v>
      </c>
      <c r="F1224" s="310" t="s">
        <v>100</v>
      </c>
      <c r="G1224" s="311"/>
      <c r="H1224" s="312">
        <f t="shared" si="176"/>
        <v>0</v>
      </c>
      <c r="I1224" s="313"/>
      <c r="J1224" s="456"/>
      <c r="K1224" s="16"/>
      <c r="L1224" s="17"/>
      <c r="M1224" s="20"/>
      <c r="N1224" s="14"/>
      <c r="O1224" s="15"/>
      <c r="P1224" s="55"/>
    </row>
    <row r="1225" spans="1:16" s="54" customFormat="1" ht="15" customHeight="1" x14ac:dyDescent="0.3">
      <c r="A1225" s="305" t="s">
        <v>95</v>
      </c>
      <c r="B1225" s="306"/>
      <c r="C1225" s="390"/>
      <c r="D1225" s="308" t="s">
        <v>1076</v>
      </c>
      <c r="E1225" s="309">
        <v>1</v>
      </c>
      <c r="F1225" s="310" t="s">
        <v>100</v>
      </c>
      <c r="G1225" s="311"/>
      <c r="H1225" s="312">
        <f t="shared" si="176"/>
        <v>0</v>
      </c>
      <c r="I1225" s="313"/>
      <c r="J1225" s="456"/>
      <c r="K1225" s="16"/>
      <c r="L1225" s="17"/>
      <c r="M1225" s="20"/>
      <c r="N1225" s="14"/>
      <c r="O1225" s="15"/>
      <c r="P1225" s="55"/>
    </row>
    <row r="1226" spans="1:16" s="54" customFormat="1" ht="15" customHeight="1" x14ac:dyDescent="0.3">
      <c r="A1226" s="305" t="s">
        <v>98</v>
      </c>
      <c r="B1226" s="306"/>
      <c r="C1226" s="390"/>
      <c r="D1226" s="308" t="s">
        <v>1077</v>
      </c>
      <c r="E1226" s="309">
        <v>1</v>
      </c>
      <c r="F1226" s="310" t="s">
        <v>100</v>
      </c>
      <c r="G1226" s="311"/>
      <c r="H1226" s="312">
        <f t="shared" si="176"/>
        <v>0</v>
      </c>
      <c r="I1226" s="313"/>
      <c r="J1226" s="456"/>
      <c r="K1226" s="16"/>
      <c r="L1226" s="17"/>
      <c r="M1226" s="20"/>
      <c r="N1226" s="14"/>
      <c r="O1226" s="15"/>
      <c r="P1226" s="55"/>
    </row>
    <row r="1227" spans="1:16" s="54" customFormat="1" ht="15" customHeight="1" x14ac:dyDescent="0.3">
      <c r="A1227" s="305" t="s">
        <v>101</v>
      </c>
      <c r="B1227" s="306"/>
      <c r="C1227" s="390"/>
      <c r="D1227" s="308" t="s">
        <v>1078</v>
      </c>
      <c r="E1227" s="309">
        <v>1</v>
      </c>
      <c r="F1227" s="310" t="s">
        <v>100</v>
      </c>
      <c r="G1227" s="311"/>
      <c r="H1227" s="312">
        <f t="shared" si="176"/>
        <v>0</v>
      </c>
      <c r="I1227" s="313"/>
      <c r="J1227" s="456"/>
      <c r="K1227" s="16"/>
      <c r="L1227" s="17"/>
      <c r="M1227" s="20"/>
      <c r="N1227" s="14"/>
      <c r="O1227" s="15"/>
      <c r="P1227" s="55"/>
    </row>
    <row r="1228" spans="1:16" s="54" customFormat="1" ht="15" customHeight="1" x14ac:dyDescent="0.3">
      <c r="A1228" s="305" t="s">
        <v>104</v>
      </c>
      <c r="B1228" s="306"/>
      <c r="C1228" s="390"/>
      <c r="D1228" s="308" t="s">
        <v>1079</v>
      </c>
      <c r="E1228" s="309">
        <v>1</v>
      </c>
      <c r="F1228" s="310" t="s">
        <v>100</v>
      </c>
      <c r="G1228" s="311"/>
      <c r="H1228" s="312">
        <f t="shared" si="176"/>
        <v>0</v>
      </c>
      <c r="I1228" s="313"/>
      <c r="J1228" s="456"/>
      <c r="K1228" s="16"/>
      <c r="L1228" s="17"/>
      <c r="M1228" s="20"/>
      <c r="N1228" s="14"/>
      <c r="O1228" s="15"/>
      <c r="P1228" s="55"/>
    </row>
    <row r="1229" spans="1:16" s="54" customFormat="1" ht="15" customHeight="1" x14ac:dyDescent="0.3">
      <c r="A1229" s="305" t="s">
        <v>106</v>
      </c>
      <c r="B1229" s="306"/>
      <c r="C1229" s="390"/>
      <c r="D1229" s="308" t="s">
        <v>1080</v>
      </c>
      <c r="E1229" s="309">
        <v>1</v>
      </c>
      <c r="F1229" s="310" t="s">
        <v>100</v>
      </c>
      <c r="G1229" s="311"/>
      <c r="H1229" s="312">
        <f t="shared" si="176"/>
        <v>0</v>
      </c>
      <c r="I1229" s="313"/>
      <c r="J1229" s="456"/>
      <c r="K1229" s="16"/>
      <c r="L1229" s="17"/>
      <c r="M1229" s="20"/>
      <c r="N1229" s="14"/>
      <c r="O1229" s="15"/>
      <c r="P1229" s="55"/>
    </row>
    <row r="1230" spans="1:16" s="54" customFormat="1" ht="15" customHeight="1" x14ac:dyDescent="0.3">
      <c r="A1230" s="305" t="s">
        <v>108</v>
      </c>
      <c r="B1230" s="306"/>
      <c r="C1230" s="390"/>
      <c r="D1230" s="308" t="s">
        <v>1081</v>
      </c>
      <c r="E1230" s="309">
        <v>1</v>
      </c>
      <c r="F1230" s="310" t="s">
        <v>100</v>
      </c>
      <c r="G1230" s="311"/>
      <c r="H1230" s="312">
        <f t="shared" si="176"/>
        <v>0</v>
      </c>
      <c r="I1230" s="313"/>
      <c r="J1230" s="456"/>
      <c r="K1230" s="16"/>
      <c r="L1230" s="17"/>
      <c r="M1230" s="20"/>
      <c r="N1230" s="14"/>
      <c r="O1230" s="15"/>
      <c r="P1230" s="55"/>
    </row>
    <row r="1231" spans="1:16" s="54" customFormat="1" ht="15" customHeight="1" x14ac:dyDescent="0.3">
      <c r="A1231" s="305" t="s">
        <v>110</v>
      </c>
      <c r="B1231" s="306"/>
      <c r="C1231" s="390"/>
      <c r="D1231" s="308" t="s">
        <v>1082</v>
      </c>
      <c r="E1231" s="309">
        <v>1</v>
      </c>
      <c r="F1231" s="310" t="s">
        <v>100</v>
      </c>
      <c r="G1231" s="311"/>
      <c r="H1231" s="312">
        <f t="shared" si="176"/>
        <v>0</v>
      </c>
      <c r="I1231" s="313"/>
      <c r="J1231" s="456"/>
      <c r="K1231" s="16"/>
      <c r="L1231" s="17"/>
      <c r="M1231" s="20"/>
      <c r="N1231" s="14"/>
      <c r="O1231" s="15"/>
      <c r="P1231" s="55"/>
    </row>
    <row r="1232" spans="1:16" s="54" customFormat="1" ht="15" customHeight="1" x14ac:dyDescent="0.3">
      <c r="A1232" s="305" t="s">
        <v>112</v>
      </c>
      <c r="B1232" s="306"/>
      <c r="C1232" s="390"/>
      <c r="D1232" s="308" t="s">
        <v>1083</v>
      </c>
      <c r="E1232" s="309">
        <v>1</v>
      </c>
      <c r="F1232" s="310" t="s">
        <v>100</v>
      </c>
      <c r="G1232" s="311"/>
      <c r="H1232" s="312">
        <f t="shared" si="176"/>
        <v>0</v>
      </c>
      <c r="I1232" s="313"/>
      <c r="J1232" s="456"/>
      <c r="K1232" s="16"/>
      <c r="L1232" s="17"/>
      <c r="M1232" s="20"/>
      <c r="N1232" s="14"/>
      <c r="O1232" s="15"/>
      <c r="P1232" s="55"/>
    </row>
    <row r="1233" spans="1:16" s="54" customFormat="1" ht="15" customHeight="1" x14ac:dyDescent="0.3">
      <c r="A1233" s="305" t="s">
        <v>115</v>
      </c>
      <c r="B1233" s="306"/>
      <c r="C1233" s="390"/>
      <c r="D1233" s="308" t="s">
        <v>1084</v>
      </c>
      <c r="E1233" s="309">
        <v>1</v>
      </c>
      <c r="F1233" s="310" t="s">
        <v>100</v>
      </c>
      <c r="G1233" s="311"/>
      <c r="H1233" s="312">
        <f t="shared" si="176"/>
        <v>0</v>
      </c>
      <c r="I1233" s="313"/>
      <c r="J1233" s="456"/>
      <c r="K1233" s="16"/>
      <c r="L1233" s="17"/>
      <c r="M1233" s="20"/>
      <c r="N1233" s="14"/>
      <c r="O1233" s="15"/>
      <c r="P1233" s="55"/>
    </row>
    <row r="1234" spans="1:16" s="54" customFormat="1" ht="15" customHeight="1" x14ac:dyDescent="0.3">
      <c r="A1234" s="305" t="s">
        <v>619</v>
      </c>
      <c r="B1234" s="306"/>
      <c r="C1234" s="390"/>
      <c r="D1234" s="308" t="s">
        <v>1085</v>
      </c>
      <c r="E1234" s="309">
        <v>1</v>
      </c>
      <c r="F1234" s="310" t="s">
        <v>100</v>
      </c>
      <c r="G1234" s="311"/>
      <c r="H1234" s="312">
        <f t="shared" si="176"/>
        <v>0</v>
      </c>
      <c r="I1234" s="313"/>
      <c r="J1234" s="456"/>
      <c r="K1234" s="16"/>
      <c r="L1234" s="17"/>
      <c r="M1234" s="20"/>
      <c r="N1234" s="14"/>
      <c r="O1234" s="15"/>
      <c r="P1234" s="55"/>
    </row>
    <row r="1235" spans="1:16" s="54" customFormat="1" ht="15" customHeight="1" x14ac:dyDescent="0.3">
      <c r="A1235" s="305" t="s">
        <v>622</v>
      </c>
      <c r="B1235" s="306"/>
      <c r="C1235" s="390"/>
      <c r="D1235" s="308" t="s">
        <v>1086</v>
      </c>
      <c r="E1235" s="309">
        <v>1</v>
      </c>
      <c r="F1235" s="310" t="s">
        <v>100</v>
      </c>
      <c r="G1235" s="311"/>
      <c r="H1235" s="312">
        <f t="shared" si="176"/>
        <v>0</v>
      </c>
      <c r="I1235" s="313"/>
      <c r="J1235" s="456"/>
      <c r="K1235" s="16"/>
      <c r="L1235" s="17"/>
      <c r="M1235" s="20"/>
      <c r="N1235" s="14"/>
      <c r="O1235" s="15"/>
      <c r="P1235" s="55"/>
    </row>
    <row r="1236" spans="1:16" s="54" customFormat="1" ht="15" customHeight="1" x14ac:dyDescent="0.3">
      <c r="A1236" s="305" t="s">
        <v>624</v>
      </c>
      <c r="B1236" s="306"/>
      <c r="C1236" s="390"/>
      <c r="D1236" s="308" t="s">
        <v>1087</v>
      </c>
      <c r="E1236" s="309">
        <v>1</v>
      </c>
      <c r="F1236" s="310" t="s">
        <v>100</v>
      </c>
      <c r="G1236" s="311"/>
      <c r="H1236" s="312">
        <f t="shared" si="176"/>
        <v>0</v>
      </c>
      <c r="I1236" s="313"/>
      <c r="J1236" s="456"/>
      <c r="K1236" s="16"/>
      <c r="L1236" s="17"/>
      <c r="M1236" s="20"/>
      <c r="N1236" s="14"/>
      <c r="O1236" s="15"/>
      <c r="P1236" s="55"/>
    </row>
    <row r="1237" spans="1:16" s="54" customFormat="1" ht="15" customHeight="1" x14ac:dyDescent="0.3">
      <c r="A1237" s="305" t="s">
        <v>626</v>
      </c>
      <c r="B1237" s="306"/>
      <c r="C1237" s="390"/>
      <c r="D1237" s="308" t="s">
        <v>1088</v>
      </c>
      <c r="E1237" s="309">
        <v>1</v>
      </c>
      <c r="F1237" s="310" t="s">
        <v>100</v>
      </c>
      <c r="G1237" s="311"/>
      <c r="H1237" s="312">
        <f t="shared" si="176"/>
        <v>0</v>
      </c>
      <c r="I1237" s="313"/>
      <c r="J1237" s="456"/>
      <c r="K1237" s="16"/>
      <c r="L1237" s="17"/>
      <c r="M1237" s="20"/>
      <c r="N1237" s="14"/>
      <c r="O1237" s="15"/>
      <c r="P1237" s="55"/>
    </row>
    <row r="1238" spans="1:16" s="54" customFormat="1" ht="15" customHeight="1" x14ac:dyDescent="0.3">
      <c r="A1238" s="305" t="s">
        <v>628</v>
      </c>
      <c r="B1238" s="306"/>
      <c r="C1238" s="390"/>
      <c r="D1238" s="308" t="s">
        <v>1089</v>
      </c>
      <c r="E1238" s="309">
        <v>1</v>
      </c>
      <c r="F1238" s="310" t="s">
        <v>100</v>
      </c>
      <c r="G1238" s="311"/>
      <c r="H1238" s="312">
        <f t="shared" si="176"/>
        <v>0</v>
      </c>
      <c r="I1238" s="313"/>
      <c r="J1238" s="456"/>
      <c r="K1238" s="16"/>
      <c r="L1238" s="17"/>
      <c r="M1238" s="20"/>
      <c r="N1238" s="14"/>
      <c r="O1238" s="15"/>
      <c r="P1238" s="55"/>
    </row>
    <row r="1239" spans="1:16" s="54" customFormat="1" ht="15" customHeight="1" x14ac:dyDescent="0.3">
      <c r="A1239" s="305" t="s">
        <v>629</v>
      </c>
      <c r="B1239" s="306"/>
      <c r="C1239" s="390"/>
      <c r="D1239" s="308" t="s">
        <v>1090</v>
      </c>
      <c r="E1239" s="309">
        <v>1</v>
      </c>
      <c r="F1239" s="310" t="s">
        <v>100</v>
      </c>
      <c r="G1239" s="311"/>
      <c r="H1239" s="312">
        <f t="shared" si="176"/>
        <v>0</v>
      </c>
      <c r="I1239" s="313"/>
      <c r="J1239" s="456"/>
      <c r="K1239" s="16"/>
      <c r="L1239" s="17"/>
      <c r="M1239" s="20"/>
      <c r="N1239" s="14"/>
      <c r="O1239" s="15"/>
      <c r="P1239" s="55"/>
    </row>
    <row r="1240" spans="1:16" s="54" customFormat="1" ht="15" customHeight="1" x14ac:dyDescent="0.3">
      <c r="A1240" s="305" t="s">
        <v>630</v>
      </c>
      <c r="B1240" s="306"/>
      <c r="C1240" s="390"/>
      <c r="D1240" s="308" t="s">
        <v>1091</v>
      </c>
      <c r="E1240" s="309">
        <v>1</v>
      </c>
      <c r="F1240" s="310" t="s">
        <v>100</v>
      </c>
      <c r="G1240" s="311"/>
      <c r="H1240" s="312">
        <f t="shared" si="176"/>
        <v>0</v>
      </c>
      <c r="I1240" s="313"/>
      <c r="J1240" s="456"/>
      <c r="K1240" s="16"/>
      <c r="L1240" s="17"/>
      <c r="M1240" s="20"/>
      <c r="N1240" s="14"/>
      <c r="O1240" s="15"/>
      <c r="P1240" s="55"/>
    </row>
    <row r="1241" spans="1:16" s="54" customFormat="1" ht="15" customHeight="1" x14ac:dyDescent="0.3">
      <c r="A1241" s="305" t="s">
        <v>631</v>
      </c>
      <c r="B1241" s="306"/>
      <c r="C1241" s="390"/>
      <c r="D1241" s="308" t="s">
        <v>1092</v>
      </c>
      <c r="E1241" s="309">
        <v>1</v>
      </c>
      <c r="F1241" s="310" t="s">
        <v>100</v>
      </c>
      <c r="G1241" s="311"/>
      <c r="H1241" s="312">
        <f t="shared" si="176"/>
        <v>0</v>
      </c>
      <c r="I1241" s="313"/>
      <c r="J1241" s="456"/>
      <c r="K1241" s="16"/>
      <c r="L1241" s="17"/>
      <c r="M1241" s="20"/>
      <c r="N1241" s="14"/>
      <c r="O1241" s="15"/>
      <c r="P1241" s="55"/>
    </row>
    <row r="1242" spans="1:16" s="54" customFormat="1" ht="15" customHeight="1" x14ac:dyDescent="0.3">
      <c r="A1242" s="305" t="s">
        <v>633</v>
      </c>
      <c r="B1242" s="306"/>
      <c r="C1242" s="390"/>
      <c r="D1242" s="308" t="s">
        <v>1093</v>
      </c>
      <c r="E1242" s="309">
        <v>1</v>
      </c>
      <c r="F1242" s="310" t="s">
        <v>100</v>
      </c>
      <c r="G1242" s="311"/>
      <c r="H1242" s="312">
        <f t="shared" si="176"/>
        <v>0</v>
      </c>
      <c r="I1242" s="313"/>
      <c r="J1242" s="456"/>
      <c r="K1242" s="16"/>
      <c r="L1242" s="17"/>
      <c r="M1242" s="20"/>
      <c r="N1242" s="14"/>
      <c r="O1242" s="15"/>
      <c r="P1242" s="55"/>
    </row>
    <row r="1243" spans="1:16" s="54" customFormat="1" ht="15" customHeight="1" x14ac:dyDescent="0.3">
      <c r="A1243" s="305" t="s">
        <v>635</v>
      </c>
      <c r="B1243" s="306"/>
      <c r="C1243" s="390"/>
      <c r="D1243" s="308" t="s">
        <v>1094</v>
      </c>
      <c r="E1243" s="309">
        <v>1</v>
      </c>
      <c r="F1243" s="310" t="s">
        <v>100</v>
      </c>
      <c r="G1243" s="311"/>
      <c r="H1243" s="312">
        <f t="shared" si="176"/>
        <v>0</v>
      </c>
      <c r="I1243" s="313"/>
      <c r="J1243" s="456"/>
      <c r="K1243" s="16"/>
      <c r="L1243" s="17"/>
      <c r="M1243" s="20"/>
      <c r="N1243" s="14"/>
      <c r="O1243" s="15"/>
      <c r="P1243" s="55"/>
    </row>
    <row r="1244" spans="1:16" s="54" customFormat="1" ht="15" customHeight="1" x14ac:dyDescent="0.3">
      <c r="A1244" s="305" t="s">
        <v>637</v>
      </c>
      <c r="B1244" s="306"/>
      <c r="C1244" s="390"/>
      <c r="D1244" s="308" t="s">
        <v>1095</v>
      </c>
      <c r="E1244" s="309">
        <v>1</v>
      </c>
      <c r="F1244" s="310" t="s">
        <v>100</v>
      </c>
      <c r="G1244" s="311"/>
      <c r="H1244" s="312">
        <f t="shared" si="176"/>
        <v>0</v>
      </c>
      <c r="I1244" s="313"/>
      <c r="J1244" s="456"/>
      <c r="K1244" s="16"/>
      <c r="L1244" s="17"/>
      <c r="M1244" s="20"/>
      <c r="N1244" s="14"/>
      <c r="O1244" s="15"/>
      <c r="P1244" s="55"/>
    </row>
    <row r="1245" spans="1:16" s="54" customFormat="1" ht="15" customHeight="1" x14ac:dyDescent="0.3">
      <c r="A1245" s="305" t="s">
        <v>639</v>
      </c>
      <c r="B1245" s="306"/>
      <c r="C1245" s="390"/>
      <c r="D1245" s="308" t="s">
        <v>1096</v>
      </c>
      <c r="E1245" s="309">
        <v>1</v>
      </c>
      <c r="F1245" s="310" t="s">
        <v>100</v>
      </c>
      <c r="G1245" s="311"/>
      <c r="H1245" s="312">
        <f t="shared" si="176"/>
        <v>0</v>
      </c>
      <c r="I1245" s="313"/>
      <c r="J1245" s="456"/>
      <c r="K1245" s="16"/>
      <c r="L1245" s="17"/>
      <c r="M1245" s="20"/>
      <c r="N1245" s="14"/>
      <c r="O1245" s="15"/>
      <c r="P1245" s="55"/>
    </row>
    <row r="1246" spans="1:16" s="54" customFormat="1" ht="15" customHeight="1" x14ac:dyDescent="0.3">
      <c r="A1246" s="305" t="s">
        <v>641</v>
      </c>
      <c r="B1246" s="306"/>
      <c r="C1246" s="390"/>
      <c r="D1246" s="308" t="s">
        <v>1097</v>
      </c>
      <c r="E1246" s="309">
        <v>1</v>
      </c>
      <c r="F1246" s="310" t="s">
        <v>100</v>
      </c>
      <c r="G1246" s="311"/>
      <c r="H1246" s="312">
        <f t="shared" si="176"/>
        <v>0</v>
      </c>
      <c r="I1246" s="313"/>
      <c r="J1246" s="456"/>
      <c r="K1246" s="16"/>
      <c r="L1246" s="17"/>
      <c r="M1246" s="20"/>
      <c r="N1246" s="14"/>
      <c r="O1246" s="15"/>
      <c r="P1246" s="55"/>
    </row>
    <row r="1247" spans="1:16" s="54" customFormat="1" ht="15" customHeight="1" x14ac:dyDescent="0.3">
      <c r="A1247" s="305" t="s">
        <v>643</v>
      </c>
      <c r="B1247" s="306"/>
      <c r="C1247" s="390"/>
      <c r="D1247" s="308" t="s">
        <v>1098</v>
      </c>
      <c r="E1247" s="309">
        <v>1</v>
      </c>
      <c r="F1247" s="310" t="s">
        <v>100</v>
      </c>
      <c r="G1247" s="311"/>
      <c r="H1247" s="312">
        <f t="shared" si="176"/>
        <v>0</v>
      </c>
      <c r="I1247" s="313"/>
      <c r="J1247" s="456"/>
      <c r="K1247" s="16"/>
      <c r="L1247" s="17"/>
      <c r="M1247" s="20"/>
      <c r="N1247" s="14"/>
      <c r="O1247" s="15"/>
      <c r="P1247" s="55"/>
    </row>
    <row r="1248" spans="1:16" s="54" customFormat="1" ht="15" customHeight="1" x14ac:dyDescent="0.3">
      <c r="A1248" s="305" t="s">
        <v>645</v>
      </c>
      <c r="B1248" s="306"/>
      <c r="C1248" s="390"/>
      <c r="D1248" s="308" t="s">
        <v>1099</v>
      </c>
      <c r="E1248" s="309">
        <v>1</v>
      </c>
      <c r="F1248" s="310" t="s">
        <v>100</v>
      </c>
      <c r="G1248" s="311"/>
      <c r="H1248" s="312">
        <f t="shared" si="176"/>
        <v>0</v>
      </c>
      <c r="I1248" s="313"/>
      <c r="J1248" s="456"/>
      <c r="K1248" s="16"/>
      <c r="L1248" s="17"/>
      <c r="M1248" s="20"/>
      <c r="N1248" s="14"/>
      <c r="O1248" s="15"/>
      <c r="P1248" s="55"/>
    </row>
    <row r="1249" spans="1:16" s="54" customFormat="1" ht="15" customHeight="1" x14ac:dyDescent="0.3">
      <c r="A1249" s="305" t="s">
        <v>647</v>
      </c>
      <c r="B1249" s="306"/>
      <c r="C1249" s="390"/>
      <c r="D1249" s="308" t="s">
        <v>1100</v>
      </c>
      <c r="E1249" s="309">
        <v>1</v>
      </c>
      <c r="F1249" s="310" t="s">
        <v>100</v>
      </c>
      <c r="G1249" s="311"/>
      <c r="H1249" s="312">
        <f t="shared" si="176"/>
        <v>0</v>
      </c>
      <c r="I1249" s="313"/>
      <c r="J1249" s="456"/>
      <c r="K1249" s="16"/>
      <c r="L1249" s="17"/>
      <c r="M1249" s="20"/>
      <c r="N1249" s="14"/>
      <c r="O1249" s="15"/>
      <c r="P1249" s="55"/>
    </row>
    <row r="1250" spans="1:16" s="54" customFormat="1" ht="15" customHeight="1" x14ac:dyDescent="0.3">
      <c r="A1250" s="305" t="s">
        <v>649</v>
      </c>
      <c r="B1250" s="306"/>
      <c r="C1250" s="390"/>
      <c r="D1250" s="308" t="s">
        <v>1101</v>
      </c>
      <c r="E1250" s="309">
        <v>1</v>
      </c>
      <c r="F1250" s="310" t="s">
        <v>100</v>
      </c>
      <c r="G1250" s="311"/>
      <c r="H1250" s="312">
        <f t="shared" si="176"/>
        <v>0</v>
      </c>
      <c r="I1250" s="313"/>
      <c r="J1250" s="456"/>
      <c r="K1250" s="16"/>
      <c r="L1250" s="17"/>
      <c r="M1250" s="20"/>
      <c r="N1250" s="14"/>
      <c r="O1250" s="15"/>
      <c r="P1250" s="55"/>
    </row>
    <row r="1251" spans="1:16" s="54" customFormat="1" ht="15" customHeight="1" x14ac:dyDescent="0.3">
      <c r="A1251" s="305" t="s">
        <v>651</v>
      </c>
      <c r="B1251" s="306"/>
      <c r="C1251" s="390"/>
      <c r="D1251" s="308" t="s">
        <v>1102</v>
      </c>
      <c r="E1251" s="309">
        <v>1</v>
      </c>
      <c r="F1251" s="310" t="s">
        <v>100</v>
      </c>
      <c r="G1251" s="311"/>
      <c r="H1251" s="312">
        <f t="shared" si="176"/>
        <v>0</v>
      </c>
      <c r="I1251" s="313"/>
      <c r="J1251" s="456"/>
      <c r="K1251" s="16"/>
      <c r="L1251" s="17"/>
      <c r="M1251" s="20"/>
      <c r="N1251" s="14"/>
      <c r="O1251" s="15"/>
      <c r="P1251" s="55"/>
    </row>
    <row r="1252" spans="1:16" s="54" customFormat="1" ht="15" customHeight="1" x14ac:dyDescent="0.3">
      <c r="A1252" s="305" t="s">
        <v>653</v>
      </c>
      <c r="B1252" s="306"/>
      <c r="C1252" s="390"/>
      <c r="D1252" s="308" t="s">
        <v>1103</v>
      </c>
      <c r="E1252" s="309">
        <v>1</v>
      </c>
      <c r="F1252" s="310" t="s">
        <v>100</v>
      </c>
      <c r="G1252" s="311"/>
      <c r="H1252" s="312">
        <f t="shared" si="176"/>
        <v>0</v>
      </c>
      <c r="I1252" s="313"/>
      <c r="J1252" s="456"/>
      <c r="K1252" s="16"/>
      <c r="L1252" s="17"/>
      <c r="M1252" s="20"/>
      <c r="N1252" s="14"/>
      <c r="O1252" s="15"/>
      <c r="P1252" s="55"/>
    </row>
    <row r="1253" spans="1:16" s="54" customFormat="1" ht="15" customHeight="1" x14ac:dyDescent="0.3">
      <c r="A1253" s="305" t="s">
        <v>655</v>
      </c>
      <c r="B1253" s="306"/>
      <c r="C1253" s="390"/>
      <c r="D1253" s="308" t="s">
        <v>1104</v>
      </c>
      <c r="E1253" s="309">
        <v>1</v>
      </c>
      <c r="F1253" s="310" t="s">
        <v>100</v>
      </c>
      <c r="G1253" s="311"/>
      <c r="H1253" s="312">
        <f t="shared" si="176"/>
        <v>0</v>
      </c>
      <c r="I1253" s="313"/>
      <c r="J1253" s="456"/>
      <c r="K1253" s="16"/>
      <c r="L1253" s="17"/>
      <c r="M1253" s="20"/>
      <c r="N1253" s="14"/>
      <c r="O1253" s="15"/>
      <c r="P1253" s="55"/>
    </row>
    <row r="1254" spans="1:16" s="54" customFormat="1" ht="15" customHeight="1" x14ac:dyDescent="0.3">
      <c r="A1254" s="305" t="s">
        <v>657</v>
      </c>
      <c r="B1254" s="306"/>
      <c r="C1254" s="390"/>
      <c r="D1254" s="308" t="s">
        <v>1105</v>
      </c>
      <c r="E1254" s="309">
        <v>1</v>
      </c>
      <c r="F1254" s="310" t="s">
        <v>100</v>
      </c>
      <c r="G1254" s="311"/>
      <c r="H1254" s="312">
        <f t="shared" si="176"/>
        <v>0</v>
      </c>
      <c r="I1254" s="313"/>
      <c r="J1254" s="456"/>
      <c r="K1254" s="16"/>
      <c r="L1254" s="17"/>
      <c r="M1254" s="20"/>
      <c r="N1254" s="14"/>
      <c r="O1254" s="15"/>
      <c r="P1254" s="55"/>
    </row>
    <row r="1255" spans="1:16" s="54" customFormat="1" ht="15" customHeight="1" x14ac:dyDescent="0.3">
      <c r="A1255" s="305" t="s">
        <v>659</v>
      </c>
      <c r="B1255" s="306"/>
      <c r="C1255" s="390"/>
      <c r="D1255" s="308" t="s">
        <v>1106</v>
      </c>
      <c r="E1255" s="309">
        <v>1</v>
      </c>
      <c r="F1255" s="310" t="s">
        <v>100</v>
      </c>
      <c r="G1255" s="311"/>
      <c r="H1255" s="312">
        <f t="shared" si="176"/>
        <v>0</v>
      </c>
      <c r="I1255" s="313"/>
      <c r="J1255" s="456"/>
      <c r="K1255" s="16"/>
      <c r="L1255" s="17"/>
      <c r="M1255" s="20"/>
      <c r="N1255" s="14"/>
      <c r="O1255" s="15"/>
      <c r="P1255" s="55"/>
    </row>
    <row r="1256" spans="1:16" s="54" customFormat="1" ht="15" customHeight="1" x14ac:dyDescent="0.3">
      <c r="A1256" s="305" t="s">
        <v>661</v>
      </c>
      <c r="B1256" s="306"/>
      <c r="C1256" s="390"/>
      <c r="D1256" s="308" t="s">
        <v>1107</v>
      </c>
      <c r="E1256" s="309">
        <v>1</v>
      </c>
      <c r="F1256" s="310" t="s">
        <v>100</v>
      </c>
      <c r="G1256" s="311"/>
      <c r="H1256" s="312">
        <f t="shared" si="176"/>
        <v>0</v>
      </c>
      <c r="I1256" s="313"/>
      <c r="J1256" s="456"/>
      <c r="K1256" s="16"/>
      <c r="L1256" s="17"/>
      <c r="M1256" s="20"/>
      <c r="N1256" s="14"/>
      <c r="O1256" s="15"/>
      <c r="P1256" s="55"/>
    </row>
    <row r="1257" spans="1:16" s="54" customFormat="1" ht="15" customHeight="1" x14ac:dyDescent="0.3">
      <c r="A1257" s="305" t="s">
        <v>663</v>
      </c>
      <c r="B1257" s="306"/>
      <c r="C1257" s="390"/>
      <c r="D1257" s="308" t="s">
        <v>1108</v>
      </c>
      <c r="E1257" s="309">
        <v>1</v>
      </c>
      <c r="F1257" s="310" t="s">
        <v>100</v>
      </c>
      <c r="G1257" s="311"/>
      <c r="H1257" s="312">
        <f t="shared" si="176"/>
        <v>0</v>
      </c>
      <c r="I1257" s="313"/>
      <c r="J1257" s="456"/>
      <c r="K1257" s="16"/>
      <c r="L1257" s="17"/>
      <c r="M1257" s="20"/>
      <c r="N1257" s="14"/>
      <c r="O1257" s="15"/>
      <c r="P1257" s="55"/>
    </row>
    <row r="1258" spans="1:16" s="54" customFormat="1" ht="15" customHeight="1" x14ac:dyDescent="0.3">
      <c r="A1258" s="305" t="s">
        <v>664</v>
      </c>
      <c r="B1258" s="306"/>
      <c r="C1258" s="390"/>
      <c r="D1258" s="308" t="s">
        <v>1109</v>
      </c>
      <c r="E1258" s="309">
        <v>1</v>
      </c>
      <c r="F1258" s="310" t="s">
        <v>100</v>
      </c>
      <c r="G1258" s="311"/>
      <c r="H1258" s="312">
        <f t="shared" si="176"/>
        <v>0</v>
      </c>
      <c r="I1258" s="313"/>
      <c r="J1258" s="456"/>
      <c r="K1258" s="16"/>
      <c r="L1258" s="17"/>
      <c r="M1258" s="20"/>
      <c r="N1258" s="14"/>
      <c r="O1258" s="15"/>
      <c r="P1258" s="55"/>
    </row>
    <row r="1259" spans="1:16" s="54" customFormat="1" ht="15" customHeight="1" x14ac:dyDescent="0.3">
      <c r="A1259" s="305" t="s">
        <v>821</v>
      </c>
      <c r="B1259" s="306"/>
      <c r="C1259" s="390"/>
      <c r="D1259" s="308" t="s">
        <v>1110</v>
      </c>
      <c r="E1259" s="309">
        <v>1</v>
      </c>
      <c r="F1259" s="310" t="s">
        <v>100</v>
      </c>
      <c r="G1259" s="311"/>
      <c r="H1259" s="312">
        <f t="shared" si="176"/>
        <v>0</v>
      </c>
      <c r="I1259" s="313"/>
      <c r="J1259" s="456"/>
      <c r="K1259" s="16"/>
      <c r="L1259" s="17"/>
      <c r="M1259" s="20"/>
      <c r="N1259" s="14"/>
      <c r="O1259" s="15"/>
      <c r="P1259" s="55"/>
    </row>
    <row r="1260" spans="1:16" s="54" customFormat="1" ht="15" customHeight="1" x14ac:dyDescent="0.3">
      <c r="A1260" s="305" t="s">
        <v>667</v>
      </c>
      <c r="B1260" s="306"/>
      <c r="C1260" s="390"/>
      <c r="D1260" s="308" t="s">
        <v>1111</v>
      </c>
      <c r="E1260" s="309">
        <v>1</v>
      </c>
      <c r="F1260" s="310" t="s">
        <v>100</v>
      </c>
      <c r="G1260" s="311"/>
      <c r="H1260" s="312">
        <f t="shared" si="176"/>
        <v>0</v>
      </c>
      <c r="I1260" s="313"/>
      <c r="J1260" s="456"/>
      <c r="K1260" s="16"/>
      <c r="L1260" s="17"/>
      <c r="M1260" s="20"/>
      <c r="N1260" s="14"/>
      <c r="O1260" s="15"/>
      <c r="P1260" s="55"/>
    </row>
    <row r="1261" spans="1:16" s="54" customFormat="1" ht="15" customHeight="1" x14ac:dyDescent="0.3">
      <c r="A1261" s="305" t="s">
        <v>670</v>
      </c>
      <c r="B1261" s="306"/>
      <c r="C1261" s="390"/>
      <c r="D1261" s="308" t="s">
        <v>1112</v>
      </c>
      <c r="E1261" s="309">
        <v>1</v>
      </c>
      <c r="F1261" s="310" t="s">
        <v>100</v>
      </c>
      <c r="G1261" s="311"/>
      <c r="H1261" s="312">
        <f t="shared" si="176"/>
        <v>0</v>
      </c>
      <c r="I1261" s="313"/>
      <c r="J1261" s="456"/>
      <c r="K1261" s="16"/>
      <c r="L1261" s="17"/>
      <c r="M1261" s="20"/>
      <c r="N1261" s="14"/>
      <c r="O1261" s="15"/>
      <c r="P1261" s="55"/>
    </row>
    <row r="1262" spans="1:16" s="54" customFormat="1" ht="15" customHeight="1" x14ac:dyDescent="0.3">
      <c r="A1262" s="305" t="s">
        <v>672</v>
      </c>
      <c r="B1262" s="306"/>
      <c r="C1262" s="390"/>
      <c r="D1262" s="308" t="s">
        <v>1113</v>
      </c>
      <c r="E1262" s="309">
        <v>1</v>
      </c>
      <c r="F1262" s="310" t="s">
        <v>100</v>
      </c>
      <c r="G1262" s="311"/>
      <c r="H1262" s="312">
        <f t="shared" si="176"/>
        <v>0</v>
      </c>
      <c r="I1262" s="313"/>
      <c r="J1262" s="456"/>
      <c r="K1262" s="16"/>
      <c r="L1262" s="17"/>
      <c r="M1262" s="20"/>
      <c r="N1262" s="14"/>
      <c r="O1262" s="15"/>
      <c r="P1262" s="55"/>
    </row>
    <row r="1263" spans="1:16" s="54" customFormat="1" ht="15" customHeight="1" x14ac:dyDescent="0.3">
      <c r="A1263" s="305" t="s">
        <v>674</v>
      </c>
      <c r="B1263" s="306"/>
      <c r="C1263" s="390"/>
      <c r="D1263" s="308" t="s">
        <v>1113</v>
      </c>
      <c r="E1263" s="309">
        <v>1</v>
      </c>
      <c r="F1263" s="310" t="s">
        <v>100</v>
      </c>
      <c r="G1263" s="311"/>
      <c r="H1263" s="312">
        <f t="shared" si="176"/>
        <v>0</v>
      </c>
      <c r="I1263" s="313"/>
      <c r="J1263" s="456"/>
      <c r="K1263" s="16"/>
      <c r="L1263" s="17"/>
      <c r="M1263" s="20"/>
      <c r="N1263" s="14"/>
      <c r="O1263" s="15"/>
      <c r="P1263" s="55"/>
    </row>
    <row r="1264" spans="1:16" s="54" customFormat="1" ht="15" customHeight="1" x14ac:dyDescent="0.3">
      <c r="A1264" s="305" t="s">
        <v>676</v>
      </c>
      <c r="B1264" s="306"/>
      <c r="C1264" s="390"/>
      <c r="D1264" s="308" t="s">
        <v>1114</v>
      </c>
      <c r="E1264" s="309">
        <v>1</v>
      </c>
      <c r="F1264" s="310" t="s">
        <v>100</v>
      </c>
      <c r="G1264" s="311"/>
      <c r="H1264" s="312">
        <f t="shared" si="176"/>
        <v>0</v>
      </c>
      <c r="I1264" s="313"/>
      <c r="J1264" s="456"/>
      <c r="K1264" s="16"/>
      <c r="L1264" s="17"/>
      <c r="M1264" s="20"/>
      <c r="N1264" s="14"/>
      <c r="O1264" s="15"/>
      <c r="P1264" s="55"/>
    </row>
    <row r="1265" spans="1:16" s="54" customFormat="1" ht="15" customHeight="1" x14ac:dyDescent="0.3">
      <c r="A1265" s="305" t="s">
        <v>678</v>
      </c>
      <c r="B1265" s="306"/>
      <c r="C1265" s="390"/>
      <c r="D1265" s="308" t="s">
        <v>1115</v>
      </c>
      <c r="E1265" s="309">
        <v>1</v>
      </c>
      <c r="F1265" s="310" t="s">
        <v>100</v>
      </c>
      <c r="G1265" s="311"/>
      <c r="H1265" s="312">
        <f t="shared" si="176"/>
        <v>0</v>
      </c>
      <c r="I1265" s="313"/>
      <c r="J1265" s="456"/>
      <c r="K1265" s="16"/>
      <c r="L1265" s="17"/>
      <c r="M1265" s="20"/>
      <c r="N1265" s="14"/>
      <c r="O1265" s="15"/>
      <c r="P1265" s="55"/>
    </row>
    <row r="1266" spans="1:16" s="54" customFormat="1" ht="15" customHeight="1" x14ac:dyDescent="0.3">
      <c r="A1266" s="305" t="s">
        <v>681</v>
      </c>
      <c r="B1266" s="306"/>
      <c r="C1266" s="390"/>
      <c r="D1266" s="308" t="s">
        <v>1116</v>
      </c>
      <c r="E1266" s="309">
        <v>1</v>
      </c>
      <c r="F1266" s="310" t="s">
        <v>100</v>
      </c>
      <c r="G1266" s="311"/>
      <c r="H1266" s="312">
        <f t="shared" si="176"/>
        <v>0</v>
      </c>
      <c r="I1266" s="313"/>
      <c r="J1266" s="456"/>
      <c r="K1266" s="16"/>
      <c r="L1266" s="17"/>
      <c r="M1266" s="20"/>
      <c r="N1266" s="14"/>
      <c r="O1266" s="15"/>
      <c r="P1266" s="55"/>
    </row>
    <row r="1267" spans="1:16" s="54" customFormat="1" ht="15" customHeight="1" x14ac:dyDescent="0.3">
      <c r="A1267" s="305" t="s">
        <v>683</v>
      </c>
      <c r="B1267" s="306"/>
      <c r="C1267" s="390"/>
      <c r="D1267" s="308" t="s">
        <v>1117</v>
      </c>
      <c r="E1267" s="309">
        <v>1</v>
      </c>
      <c r="F1267" s="310" t="s">
        <v>100</v>
      </c>
      <c r="G1267" s="311"/>
      <c r="H1267" s="312">
        <f t="shared" si="176"/>
        <v>0</v>
      </c>
      <c r="I1267" s="313"/>
      <c r="J1267" s="456"/>
      <c r="K1267" s="16"/>
      <c r="L1267" s="17"/>
      <c r="M1267" s="20"/>
      <c r="N1267" s="14"/>
      <c r="O1267" s="15"/>
      <c r="P1267" s="55"/>
    </row>
    <row r="1268" spans="1:16" s="54" customFormat="1" ht="15" customHeight="1" x14ac:dyDescent="0.3">
      <c r="A1268" s="305" t="s">
        <v>685</v>
      </c>
      <c r="B1268" s="306"/>
      <c r="C1268" s="390"/>
      <c r="D1268" s="308" t="s">
        <v>1118</v>
      </c>
      <c r="E1268" s="309">
        <v>1</v>
      </c>
      <c r="F1268" s="310" t="s">
        <v>100</v>
      </c>
      <c r="G1268" s="311"/>
      <c r="H1268" s="312">
        <f t="shared" si="176"/>
        <v>0</v>
      </c>
      <c r="I1268" s="313"/>
      <c r="J1268" s="456"/>
      <c r="K1268" s="16"/>
      <c r="L1268" s="17"/>
      <c r="M1268" s="20"/>
      <c r="N1268" s="14"/>
      <c r="O1268" s="15"/>
      <c r="P1268" s="55"/>
    </row>
    <row r="1269" spans="1:16" s="54" customFormat="1" ht="15" customHeight="1" x14ac:dyDescent="0.3">
      <c r="A1269" s="305" t="s">
        <v>688</v>
      </c>
      <c r="B1269" s="306"/>
      <c r="C1269" s="390"/>
      <c r="D1269" s="308" t="s">
        <v>1119</v>
      </c>
      <c r="E1269" s="309">
        <v>1</v>
      </c>
      <c r="F1269" s="310" t="s">
        <v>100</v>
      </c>
      <c r="G1269" s="311"/>
      <c r="H1269" s="312">
        <f t="shared" si="176"/>
        <v>0</v>
      </c>
      <c r="I1269" s="313"/>
      <c r="J1269" s="456"/>
      <c r="K1269" s="16"/>
      <c r="L1269" s="17"/>
      <c r="M1269" s="20"/>
      <c r="N1269" s="14"/>
      <c r="O1269" s="15"/>
      <c r="P1269" s="55"/>
    </row>
    <row r="1270" spans="1:16" s="54" customFormat="1" ht="15" customHeight="1" x14ac:dyDescent="0.3">
      <c r="A1270" s="305" t="s">
        <v>835</v>
      </c>
      <c r="B1270" s="306"/>
      <c r="C1270" s="390"/>
      <c r="D1270" s="308" t="s">
        <v>1120</v>
      </c>
      <c r="E1270" s="309">
        <v>1</v>
      </c>
      <c r="F1270" s="310" t="s">
        <v>100</v>
      </c>
      <c r="G1270" s="311"/>
      <c r="H1270" s="312">
        <f t="shared" si="176"/>
        <v>0</v>
      </c>
      <c r="I1270" s="313"/>
      <c r="J1270" s="456"/>
      <c r="K1270" s="16"/>
      <c r="L1270" s="17"/>
      <c r="M1270" s="20"/>
      <c r="N1270" s="14"/>
      <c r="O1270" s="15"/>
      <c r="P1270" s="55"/>
    </row>
    <row r="1271" spans="1:16" s="54" customFormat="1" ht="15" customHeight="1" x14ac:dyDescent="0.3">
      <c r="A1271" s="305" t="s">
        <v>837</v>
      </c>
      <c r="B1271" s="306"/>
      <c r="C1271" s="390"/>
      <c r="D1271" s="308" t="s">
        <v>1121</v>
      </c>
      <c r="E1271" s="309">
        <v>1</v>
      </c>
      <c r="F1271" s="310" t="s">
        <v>100</v>
      </c>
      <c r="G1271" s="311"/>
      <c r="H1271" s="312">
        <f t="shared" si="176"/>
        <v>0</v>
      </c>
      <c r="I1271" s="313"/>
      <c r="J1271" s="456"/>
      <c r="K1271" s="16"/>
      <c r="L1271" s="17"/>
      <c r="M1271" s="20"/>
      <c r="N1271" s="14"/>
      <c r="O1271" s="15"/>
      <c r="P1271" s="55"/>
    </row>
    <row r="1272" spans="1:16" s="54" customFormat="1" ht="15" customHeight="1" x14ac:dyDescent="0.3">
      <c r="A1272" s="305" t="s">
        <v>839</v>
      </c>
      <c r="B1272" s="306"/>
      <c r="C1272" s="390"/>
      <c r="D1272" s="308" t="s">
        <v>1122</v>
      </c>
      <c r="E1272" s="309">
        <v>2</v>
      </c>
      <c r="F1272" s="310" t="s">
        <v>100</v>
      </c>
      <c r="G1272" s="311"/>
      <c r="H1272" s="312">
        <f t="shared" si="176"/>
        <v>0</v>
      </c>
      <c r="I1272" s="313"/>
      <c r="J1272" s="456"/>
      <c r="K1272" s="16"/>
      <c r="L1272" s="17"/>
      <c r="M1272" s="20"/>
      <c r="N1272" s="14"/>
      <c r="O1272" s="15"/>
      <c r="P1272" s="55"/>
    </row>
    <row r="1273" spans="1:16" s="54" customFormat="1" ht="15" customHeight="1" x14ac:dyDescent="0.3">
      <c r="A1273" s="305" t="s">
        <v>841</v>
      </c>
      <c r="B1273" s="306"/>
      <c r="C1273" s="390"/>
      <c r="D1273" s="308" t="s">
        <v>1123</v>
      </c>
      <c r="E1273" s="309">
        <v>1</v>
      </c>
      <c r="F1273" s="310" t="s">
        <v>100</v>
      </c>
      <c r="G1273" s="311"/>
      <c r="H1273" s="312">
        <f t="shared" si="176"/>
        <v>0</v>
      </c>
      <c r="I1273" s="313"/>
      <c r="J1273" s="456"/>
      <c r="K1273" s="16"/>
      <c r="L1273" s="17"/>
      <c r="M1273" s="20"/>
      <c r="N1273" s="14"/>
      <c r="O1273" s="15"/>
      <c r="P1273" s="55"/>
    </row>
    <row r="1274" spans="1:16" s="54" customFormat="1" ht="15" customHeight="1" x14ac:dyDescent="0.3">
      <c r="A1274" s="305" t="s">
        <v>843</v>
      </c>
      <c r="B1274" s="306"/>
      <c r="C1274" s="390"/>
      <c r="D1274" s="308" t="s">
        <v>1124</v>
      </c>
      <c r="E1274" s="309">
        <v>1</v>
      </c>
      <c r="F1274" s="310" t="s">
        <v>100</v>
      </c>
      <c r="G1274" s="311"/>
      <c r="H1274" s="312">
        <f t="shared" si="176"/>
        <v>0</v>
      </c>
      <c r="I1274" s="313"/>
      <c r="J1274" s="456"/>
      <c r="K1274" s="16"/>
      <c r="L1274" s="17"/>
      <c r="M1274" s="20"/>
      <c r="N1274" s="14"/>
      <c r="O1274" s="15"/>
      <c r="P1274" s="55"/>
    </row>
    <row r="1275" spans="1:16" s="5" customFormat="1" ht="15" customHeight="1" x14ac:dyDescent="0.3">
      <c r="A1275" s="305"/>
      <c r="B1275" s="306"/>
      <c r="C1275" s="390"/>
      <c r="D1275" s="308"/>
      <c r="E1275" s="309"/>
      <c r="F1275" s="310"/>
      <c r="G1275" s="311"/>
      <c r="H1275" s="312"/>
      <c r="I1275" s="313"/>
      <c r="J1275" s="307"/>
      <c r="K1275" s="16"/>
      <c r="L1275" s="17"/>
      <c r="M1275" s="20"/>
      <c r="N1275" s="14"/>
      <c r="O1275" s="15"/>
      <c r="P1275" s="22"/>
    </row>
    <row r="1276" spans="1:16" s="5" customFormat="1" ht="15" customHeight="1" x14ac:dyDescent="0.3">
      <c r="A1276" s="305"/>
      <c r="B1276" s="306"/>
      <c r="C1276" s="390" t="s">
        <v>1125</v>
      </c>
      <c r="D1276" s="397"/>
      <c r="E1276" s="309"/>
      <c r="F1276" s="310"/>
      <c r="G1276" s="311"/>
      <c r="H1276" s="312"/>
      <c r="I1276" s="313"/>
      <c r="J1276" s="307"/>
      <c r="K1276" s="16"/>
      <c r="L1276" s="17"/>
      <c r="M1276" s="20"/>
      <c r="N1276" s="14"/>
      <c r="O1276" s="15"/>
      <c r="P1276" s="22"/>
    </row>
    <row r="1277" spans="1:16" s="5" customFormat="1" ht="48.75" customHeight="1" x14ac:dyDescent="0.3">
      <c r="A1277" s="305"/>
      <c r="B1277" s="306"/>
      <c r="C1277" s="394" t="s">
        <v>1068</v>
      </c>
      <c r="D1277" s="395"/>
      <c r="E1277" s="309"/>
      <c r="F1277" s="310"/>
      <c r="G1277" s="311"/>
      <c r="H1277" s="312"/>
      <c r="I1277" s="313"/>
      <c r="J1277" s="307"/>
      <c r="K1277" s="16"/>
      <c r="L1277" s="17"/>
      <c r="M1277" s="20"/>
      <c r="N1277" s="14"/>
      <c r="O1277" s="15"/>
      <c r="P1277" s="22"/>
    </row>
    <row r="1278" spans="1:16" s="5" customFormat="1" ht="15" customHeight="1" x14ac:dyDescent="0.3">
      <c r="A1278" s="305" t="s">
        <v>845</v>
      </c>
      <c r="B1278" s="306"/>
      <c r="C1278" s="390"/>
      <c r="D1278" s="308" t="s">
        <v>1126</v>
      </c>
      <c r="E1278" s="309">
        <v>1</v>
      </c>
      <c r="F1278" s="310" t="s">
        <v>100</v>
      </c>
      <c r="G1278" s="311"/>
      <c r="H1278" s="312">
        <f t="shared" ref="H1278" si="177">E1278*G1278</f>
        <v>0</v>
      </c>
      <c r="I1278" s="313"/>
      <c r="J1278" s="307"/>
      <c r="K1278" s="16"/>
      <c r="L1278" s="17"/>
      <c r="M1278" s="20"/>
      <c r="N1278" s="14"/>
      <c r="O1278" s="15"/>
      <c r="P1278" s="22"/>
    </row>
    <row r="1279" spans="1:16" s="5" customFormat="1" x14ac:dyDescent="0.3">
      <c r="A1279" s="305"/>
      <c r="B1279" s="306"/>
      <c r="C1279" s="390"/>
      <c r="D1279" s="308"/>
      <c r="E1279" s="309"/>
      <c r="F1279" s="310"/>
      <c r="G1279" s="311"/>
      <c r="H1279" s="312"/>
      <c r="I1279" s="313"/>
      <c r="J1279" s="307"/>
      <c r="K1279" s="16"/>
      <c r="L1279" s="17"/>
      <c r="M1279" s="20"/>
      <c r="N1279" s="14"/>
      <c r="O1279" s="15"/>
      <c r="P1279" s="22"/>
    </row>
    <row r="1280" spans="1:16" s="5" customFormat="1" ht="15" customHeight="1" x14ac:dyDescent="0.3">
      <c r="A1280" s="417"/>
      <c r="B1280" s="418"/>
      <c r="C1280" s="419" t="s">
        <v>1127</v>
      </c>
      <c r="D1280" s="378"/>
      <c r="E1280" s="459"/>
      <c r="F1280" s="460"/>
      <c r="G1280" s="423"/>
      <c r="H1280" s="424"/>
      <c r="I1280" s="425"/>
      <c r="J1280" s="307"/>
      <c r="K1280" s="16"/>
      <c r="L1280" s="17"/>
      <c r="M1280" s="20"/>
      <c r="N1280" s="14"/>
      <c r="O1280" s="15"/>
      <c r="P1280" s="22"/>
    </row>
    <row r="1281" spans="1:16" s="5" customFormat="1" ht="15" customHeight="1" x14ac:dyDescent="0.3">
      <c r="A1281" s="305" t="s">
        <v>847</v>
      </c>
      <c r="B1281" s="306"/>
      <c r="C1281" s="390"/>
      <c r="D1281" s="308" t="s">
        <v>1128</v>
      </c>
      <c r="E1281" s="309">
        <v>165</v>
      </c>
      <c r="F1281" s="310" t="s">
        <v>249</v>
      </c>
      <c r="G1281" s="311"/>
      <c r="H1281" s="312">
        <f t="shared" ref="H1281:H1283" si="178">E1281*G1281</f>
        <v>0</v>
      </c>
      <c r="I1281" s="313"/>
      <c r="J1281" s="307"/>
      <c r="K1281" s="16"/>
      <c r="L1281" s="17"/>
      <c r="M1281" s="20"/>
      <c r="N1281" s="14"/>
      <c r="O1281" s="15"/>
      <c r="P1281" s="22"/>
    </row>
    <row r="1282" spans="1:16" s="5" customFormat="1" ht="15" customHeight="1" x14ac:dyDescent="0.3">
      <c r="A1282" s="305" t="s">
        <v>849</v>
      </c>
      <c r="B1282" s="306"/>
      <c r="C1282" s="390"/>
      <c r="D1282" s="308" t="s">
        <v>1129</v>
      </c>
      <c r="E1282" s="309">
        <v>2</v>
      </c>
      <c r="F1282" s="310" t="s">
        <v>249</v>
      </c>
      <c r="G1282" s="311"/>
      <c r="H1282" s="312">
        <f t="shared" si="178"/>
        <v>0</v>
      </c>
      <c r="I1282" s="313"/>
      <c r="J1282" s="307"/>
      <c r="K1282" s="16"/>
      <c r="L1282" s="17"/>
      <c r="M1282" s="20"/>
      <c r="N1282" s="14"/>
      <c r="O1282" s="15"/>
      <c r="P1282" s="22"/>
    </row>
    <row r="1283" spans="1:16" s="5" customFormat="1" ht="15" customHeight="1" x14ac:dyDescent="0.3">
      <c r="A1283" s="305" t="s">
        <v>851</v>
      </c>
      <c r="B1283" s="306"/>
      <c r="C1283" s="390"/>
      <c r="D1283" s="308" t="s">
        <v>1130</v>
      </c>
      <c r="E1283" s="309">
        <v>165</v>
      </c>
      <c r="F1283" s="310" t="s">
        <v>249</v>
      </c>
      <c r="G1283" s="311"/>
      <c r="H1283" s="312">
        <f t="shared" si="178"/>
        <v>0</v>
      </c>
      <c r="I1283" s="313"/>
      <c r="J1283" s="307"/>
      <c r="K1283" s="16"/>
      <c r="L1283" s="17"/>
      <c r="M1283" s="20"/>
      <c r="N1283" s="14"/>
      <c r="O1283" s="15"/>
      <c r="P1283" s="22"/>
    </row>
    <row r="1284" spans="1:16" s="5" customFormat="1" ht="15" customHeight="1" x14ac:dyDescent="0.3">
      <c r="A1284" s="305"/>
      <c r="B1284" s="306"/>
      <c r="C1284" s="390"/>
      <c r="D1284" s="308"/>
      <c r="E1284" s="309"/>
      <c r="F1284" s="310"/>
      <c r="G1284" s="311"/>
      <c r="H1284" s="312"/>
      <c r="I1284" s="313"/>
      <c r="J1284" s="307"/>
      <c r="K1284" s="16"/>
      <c r="L1284" s="17"/>
      <c r="M1284" s="20"/>
      <c r="N1284" s="14"/>
      <c r="O1284" s="15"/>
      <c r="P1284" s="22"/>
    </row>
    <row r="1285" spans="1:16" s="5" customFormat="1" ht="15" customHeight="1" x14ac:dyDescent="0.3">
      <c r="A1285" s="305"/>
      <c r="B1285" s="306"/>
      <c r="C1285" s="390" t="s">
        <v>1131</v>
      </c>
      <c r="D1285" s="397"/>
      <c r="E1285" s="309"/>
      <c r="F1285" s="310"/>
      <c r="G1285" s="311"/>
      <c r="H1285" s="312"/>
      <c r="I1285" s="313"/>
      <c r="J1285" s="307"/>
      <c r="K1285" s="16"/>
      <c r="L1285" s="17"/>
      <c r="M1285" s="20"/>
      <c r="N1285" s="14"/>
      <c r="O1285" s="15"/>
      <c r="P1285" s="22"/>
    </row>
    <row r="1286" spans="1:16" s="5" customFormat="1" ht="15" customHeight="1" x14ac:dyDescent="0.3">
      <c r="A1286" s="305" t="s">
        <v>853</v>
      </c>
      <c r="B1286" s="306"/>
      <c r="C1286" s="390"/>
      <c r="D1286" s="308" t="s">
        <v>507</v>
      </c>
      <c r="E1286" s="309">
        <v>1</v>
      </c>
      <c r="F1286" s="310" t="s">
        <v>100</v>
      </c>
      <c r="G1286" s="311"/>
      <c r="H1286" s="312">
        <f t="shared" ref="H1286" si="179">E1286*G1286</f>
        <v>0</v>
      </c>
      <c r="I1286" s="313"/>
      <c r="J1286" s="307"/>
      <c r="K1286" s="16"/>
      <c r="L1286" s="17"/>
      <c r="M1286" s="20"/>
      <c r="N1286" s="14"/>
      <c r="O1286" s="15"/>
      <c r="P1286" s="22"/>
    </row>
    <row r="1287" spans="1:16" s="5" customFormat="1" ht="15" customHeight="1" x14ac:dyDescent="0.3">
      <c r="A1287" s="305"/>
      <c r="B1287" s="306"/>
      <c r="C1287" s="390"/>
      <c r="D1287" s="308"/>
      <c r="E1287" s="309"/>
      <c r="F1287" s="310"/>
      <c r="G1287" s="311"/>
      <c r="H1287" s="312"/>
      <c r="I1287" s="313"/>
      <c r="J1287" s="307"/>
      <c r="K1287" s="16"/>
      <c r="L1287" s="17"/>
      <c r="M1287" s="20"/>
      <c r="N1287" s="14"/>
      <c r="O1287" s="15"/>
      <c r="P1287" s="22"/>
    </row>
    <row r="1288" spans="1:16" s="5" customFormat="1" ht="15" customHeight="1" x14ac:dyDescent="0.3">
      <c r="A1288" s="305">
        <v>5.12</v>
      </c>
      <c r="B1288" s="306"/>
      <c r="C1288" s="461" t="s">
        <v>1132</v>
      </c>
      <c r="D1288" s="385"/>
      <c r="E1288" s="309"/>
      <c r="F1288" s="310"/>
      <c r="G1288" s="311"/>
      <c r="H1288" s="312"/>
      <c r="I1288" s="313"/>
      <c r="J1288" s="307"/>
      <c r="K1288" s="16"/>
      <c r="L1288" s="17"/>
      <c r="M1288" s="20"/>
      <c r="N1288" s="14"/>
      <c r="O1288" s="15"/>
      <c r="P1288" s="22"/>
    </row>
    <row r="1289" spans="1:16" s="5" customFormat="1" ht="15" customHeight="1" x14ac:dyDescent="0.3">
      <c r="A1289" s="305"/>
      <c r="B1289" s="306"/>
      <c r="C1289" s="390"/>
      <c r="D1289" s="308"/>
      <c r="E1289" s="309"/>
      <c r="F1289" s="310"/>
      <c r="G1289" s="311"/>
      <c r="H1289" s="312"/>
      <c r="I1289" s="313"/>
      <c r="J1289" s="307"/>
      <c r="K1289" s="16"/>
      <c r="L1289" s="17"/>
      <c r="M1289" s="20"/>
      <c r="N1289" s="14"/>
      <c r="O1289" s="15"/>
      <c r="P1289" s="22"/>
    </row>
    <row r="1290" spans="1:16" s="5" customFormat="1" ht="15" customHeight="1" x14ac:dyDescent="0.3">
      <c r="A1290" s="305" t="s">
        <v>19</v>
      </c>
      <c r="B1290" s="306"/>
      <c r="C1290" s="390"/>
      <c r="D1290" s="308" t="s">
        <v>1133</v>
      </c>
      <c r="E1290" s="309">
        <v>1</v>
      </c>
      <c r="F1290" s="310" t="s">
        <v>100</v>
      </c>
      <c r="G1290" s="311"/>
      <c r="H1290" s="312">
        <f t="shared" ref="H1290:H1294" si="180">E1290*G1290</f>
        <v>0</v>
      </c>
      <c r="I1290" s="313"/>
      <c r="J1290" s="307"/>
      <c r="K1290" s="16"/>
      <c r="L1290" s="17"/>
      <c r="M1290" s="20"/>
      <c r="N1290" s="14"/>
      <c r="O1290" s="15"/>
      <c r="P1290" s="22"/>
    </row>
    <row r="1291" spans="1:16" s="5" customFormat="1" ht="15" customHeight="1" x14ac:dyDescent="0.3">
      <c r="A1291" s="305" t="s">
        <v>22</v>
      </c>
      <c r="B1291" s="306"/>
      <c r="C1291" s="390"/>
      <c r="D1291" s="308" t="s">
        <v>1134</v>
      </c>
      <c r="E1291" s="309">
        <v>1</v>
      </c>
      <c r="F1291" s="310" t="s">
        <v>100</v>
      </c>
      <c r="G1291" s="311"/>
      <c r="H1291" s="312">
        <f t="shared" si="180"/>
        <v>0</v>
      </c>
      <c r="I1291" s="313"/>
      <c r="J1291" s="307"/>
      <c r="K1291" s="16"/>
      <c r="L1291" s="17"/>
      <c r="M1291" s="20"/>
      <c r="N1291" s="14"/>
      <c r="O1291" s="15"/>
      <c r="P1291" s="22"/>
    </row>
    <row r="1292" spans="1:16" s="5" customFormat="1" ht="15" customHeight="1" x14ac:dyDescent="0.3">
      <c r="A1292" s="305" t="s">
        <v>25</v>
      </c>
      <c r="B1292" s="306"/>
      <c r="C1292" s="390"/>
      <c r="D1292" s="308" t="s">
        <v>1135</v>
      </c>
      <c r="E1292" s="309">
        <v>1</v>
      </c>
      <c r="F1292" s="310" t="s">
        <v>100</v>
      </c>
      <c r="G1292" s="311"/>
      <c r="H1292" s="312">
        <f t="shared" si="180"/>
        <v>0</v>
      </c>
      <c r="I1292" s="313"/>
      <c r="J1292" s="307"/>
      <c r="K1292" s="16"/>
      <c r="L1292" s="17"/>
      <c r="M1292" s="20"/>
      <c r="N1292" s="14"/>
      <c r="O1292" s="15"/>
      <c r="P1292" s="22"/>
    </row>
    <row r="1293" spans="1:16" s="5" customFormat="1" ht="15" customHeight="1" x14ac:dyDescent="0.3">
      <c r="A1293" s="305"/>
      <c r="B1293" s="306"/>
      <c r="C1293" s="390"/>
      <c r="D1293" s="308"/>
      <c r="E1293" s="309"/>
      <c r="F1293" s="310"/>
      <c r="G1293" s="311"/>
      <c r="H1293" s="312"/>
      <c r="I1293" s="313"/>
      <c r="J1293" s="307"/>
      <c r="K1293" s="16"/>
      <c r="L1293" s="17"/>
      <c r="M1293" s="20"/>
      <c r="N1293" s="14"/>
      <c r="O1293" s="15"/>
      <c r="P1293" s="22"/>
    </row>
    <row r="1294" spans="1:16" s="5" customFormat="1" ht="15" customHeight="1" x14ac:dyDescent="0.3">
      <c r="A1294" s="305" t="s">
        <v>28</v>
      </c>
      <c r="B1294" s="306"/>
      <c r="C1294" s="390" t="s">
        <v>1136</v>
      </c>
      <c r="D1294" s="385"/>
      <c r="E1294" s="309">
        <v>1</v>
      </c>
      <c r="F1294" s="310" t="s">
        <v>100</v>
      </c>
      <c r="G1294" s="311"/>
      <c r="H1294" s="312">
        <f t="shared" si="180"/>
        <v>0</v>
      </c>
      <c r="I1294" s="313"/>
      <c r="J1294" s="307"/>
      <c r="K1294" s="16"/>
      <c r="L1294" s="17"/>
      <c r="M1294" s="20"/>
      <c r="N1294" s="14"/>
      <c r="O1294" s="15"/>
      <c r="P1294" s="22"/>
    </row>
    <row r="1295" spans="1:16" s="5" customFormat="1" ht="15" customHeight="1" x14ac:dyDescent="0.3">
      <c r="A1295" s="305"/>
      <c r="B1295" s="306"/>
      <c r="C1295" s="390"/>
      <c r="D1295" s="385"/>
      <c r="E1295" s="309"/>
      <c r="F1295" s="310"/>
      <c r="G1295" s="311"/>
      <c r="H1295" s="312"/>
      <c r="I1295" s="313"/>
      <c r="J1295" s="307"/>
      <c r="K1295" s="16"/>
      <c r="L1295" s="17"/>
      <c r="M1295" s="20"/>
      <c r="N1295" s="14"/>
      <c r="O1295" s="15"/>
      <c r="P1295" s="22"/>
    </row>
    <row r="1296" spans="1:16" s="5" customFormat="1" ht="30.75" customHeight="1" x14ac:dyDescent="0.3">
      <c r="A1296" s="305"/>
      <c r="B1296" s="306"/>
      <c r="C1296" s="394" t="s">
        <v>1137</v>
      </c>
      <c r="D1296" s="395"/>
      <c r="E1296" s="309"/>
      <c r="F1296" s="310"/>
      <c r="G1296" s="311"/>
      <c r="H1296" s="312"/>
      <c r="I1296" s="313"/>
      <c r="J1296" s="307"/>
      <c r="K1296" s="16"/>
      <c r="L1296" s="17"/>
      <c r="M1296" s="20"/>
      <c r="N1296" s="14"/>
      <c r="O1296" s="15"/>
      <c r="P1296" s="22"/>
    </row>
    <row r="1297" spans="1:16" s="5" customFormat="1" x14ac:dyDescent="0.3">
      <c r="A1297" s="305"/>
      <c r="B1297" s="306"/>
      <c r="C1297" s="394" t="s">
        <v>1138</v>
      </c>
      <c r="D1297" s="395"/>
      <c r="E1297" s="309"/>
      <c r="F1297" s="310"/>
      <c r="G1297" s="311"/>
      <c r="H1297" s="312"/>
      <c r="I1297" s="313"/>
      <c r="J1297" s="307"/>
      <c r="K1297" s="16"/>
      <c r="L1297" s="17"/>
      <c r="M1297" s="20"/>
      <c r="N1297" s="14"/>
      <c r="O1297" s="15"/>
      <c r="P1297" s="22"/>
    </row>
    <row r="1298" spans="1:16" s="5" customFormat="1" ht="15" customHeight="1" x14ac:dyDescent="0.25">
      <c r="A1298" s="305" t="s">
        <v>30</v>
      </c>
      <c r="B1298" s="306"/>
      <c r="C1298" s="390"/>
      <c r="D1298" s="473" t="s">
        <v>1139</v>
      </c>
      <c r="E1298" s="309">
        <v>4400</v>
      </c>
      <c r="F1298" s="310" t="s">
        <v>46</v>
      </c>
      <c r="G1298" s="311"/>
      <c r="H1298" s="312">
        <f t="shared" ref="H1298:H1301" si="181">E1298*G1298</f>
        <v>0</v>
      </c>
      <c r="I1298" s="313"/>
      <c r="J1298" s="307"/>
      <c r="K1298" s="16"/>
      <c r="L1298" s="17"/>
      <c r="M1298" s="20"/>
      <c r="N1298" s="14"/>
      <c r="O1298" s="15"/>
      <c r="P1298" s="22"/>
    </row>
    <row r="1299" spans="1:16" s="5" customFormat="1" ht="15" customHeight="1" x14ac:dyDescent="0.25">
      <c r="A1299" s="305" t="s">
        <v>32</v>
      </c>
      <c r="B1299" s="306"/>
      <c r="C1299" s="390"/>
      <c r="D1299" s="473" t="s">
        <v>1140</v>
      </c>
      <c r="E1299" s="309">
        <v>4</v>
      </c>
      <c r="F1299" s="310" t="s">
        <v>46</v>
      </c>
      <c r="G1299" s="311"/>
      <c r="H1299" s="312">
        <f t="shared" si="181"/>
        <v>0</v>
      </c>
      <c r="I1299" s="313"/>
      <c r="J1299" s="307"/>
      <c r="K1299" s="16"/>
      <c r="L1299" s="17"/>
      <c r="M1299" s="20"/>
      <c r="N1299" s="14"/>
      <c r="O1299" s="15"/>
      <c r="P1299" s="22"/>
    </row>
    <row r="1300" spans="1:16" s="5" customFormat="1" ht="15" customHeight="1" x14ac:dyDescent="0.25">
      <c r="A1300" s="305" t="s">
        <v>34</v>
      </c>
      <c r="B1300" s="306"/>
      <c r="C1300" s="390"/>
      <c r="D1300" s="473" t="s">
        <v>1141</v>
      </c>
      <c r="E1300" s="309">
        <v>8003</v>
      </c>
      <c r="F1300" s="310" t="s">
        <v>46</v>
      </c>
      <c r="G1300" s="311"/>
      <c r="H1300" s="312">
        <f t="shared" si="181"/>
        <v>0</v>
      </c>
      <c r="I1300" s="313"/>
      <c r="J1300" s="307"/>
      <c r="K1300" s="16"/>
      <c r="L1300" s="17"/>
      <c r="M1300" s="20"/>
      <c r="N1300" s="14"/>
      <c r="O1300" s="15"/>
      <c r="P1300" s="22"/>
    </row>
    <row r="1301" spans="1:16" s="5" customFormat="1" ht="15" customHeight="1" x14ac:dyDescent="0.25">
      <c r="A1301" s="305" t="s">
        <v>36</v>
      </c>
      <c r="B1301" s="306"/>
      <c r="C1301" s="390"/>
      <c r="D1301" s="473" t="s">
        <v>1142</v>
      </c>
      <c r="E1301" s="309">
        <v>72</v>
      </c>
      <c r="F1301" s="310" t="s">
        <v>46</v>
      </c>
      <c r="G1301" s="311"/>
      <c r="H1301" s="312">
        <f t="shared" si="181"/>
        <v>0</v>
      </c>
      <c r="I1301" s="313"/>
      <c r="J1301" s="307"/>
      <c r="K1301" s="16"/>
      <c r="L1301" s="17"/>
      <c r="M1301" s="20"/>
      <c r="N1301" s="14"/>
      <c r="O1301" s="15"/>
      <c r="P1301" s="22"/>
    </row>
    <row r="1302" spans="1:16" s="5" customFormat="1" ht="15" customHeight="1" x14ac:dyDescent="0.3">
      <c r="A1302" s="305"/>
      <c r="B1302" s="306"/>
      <c r="C1302" s="390"/>
      <c r="D1302" s="385"/>
      <c r="E1302" s="309"/>
      <c r="F1302" s="310"/>
      <c r="G1302" s="311"/>
      <c r="H1302" s="312"/>
      <c r="I1302" s="313"/>
      <c r="J1302" s="307"/>
      <c r="K1302" s="16"/>
      <c r="L1302" s="17"/>
      <c r="M1302" s="20"/>
      <c r="N1302" s="14"/>
      <c r="O1302" s="15"/>
      <c r="P1302" s="22"/>
    </row>
    <row r="1303" spans="1:16" s="5" customFormat="1" x14ac:dyDescent="0.3">
      <c r="A1303" s="319"/>
      <c r="B1303" s="306"/>
      <c r="C1303" s="436" t="s">
        <v>1143</v>
      </c>
      <c r="D1303" s="400"/>
      <c r="E1303" s="309"/>
      <c r="F1303" s="310"/>
      <c r="G1303" s="311"/>
      <c r="H1303" s="312"/>
      <c r="I1303" s="313"/>
      <c r="J1303" s="307"/>
      <c r="K1303" s="16"/>
      <c r="L1303" s="17"/>
      <c r="M1303" s="20"/>
      <c r="N1303" s="14"/>
      <c r="O1303" s="15"/>
      <c r="P1303" s="22"/>
    </row>
    <row r="1304" spans="1:16" s="5" customFormat="1" ht="30" customHeight="1" x14ac:dyDescent="0.3">
      <c r="A1304" s="305"/>
      <c r="B1304" s="306"/>
      <c r="C1304" s="394" t="s">
        <v>966</v>
      </c>
      <c r="D1304" s="395"/>
      <c r="E1304" s="309"/>
      <c r="F1304" s="310"/>
      <c r="G1304" s="311"/>
      <c r="H1304" s="312"/>
      <c r="I1304" s="313"/>
      <c r="J1304" s="307"/>
      <c r="K1304" s="16"/>
      <c r="L1304" s="17"/>
      <c r="M1304" s="20"/>
      <c r="N1304" s="14"/>
      <c r="O1304" s="15"/>
      <c r="P1304" s="22"/>
    </row>
    <row r="1305" spans="1:16" s="5" customFormat="1" ht="15" customHeight="1" x14ac:dyDescent="0.25">
      <c r="A1305" s="305" t="s">
        <v>39</v>
      </c>
      <c r="B1305" s="306"/>
      <c r="C1305" s="390"/>
      <c r="D1305" s="473" t="s">
        <v>1144</v>
      </c>
      <c r="E1305" s="309">
        <v>15</v>
      </c>
      <c r="F1305" s="310" t="s">
        <v>249</v>
      </c>
      <c r="G1305" s="311"/>
      <c r="H1305" s="312">
        <f t="shared" ref="H1305:H1308" si="182">E1305*G1305</f>
        <v>0</v>
      </c>
      <c r="I1305" s="313"/>
      <c r="J1305" s="307"/>
      <c r="K1305" s="16"/>
      <c r="L1305" s="17"/>
      <c r="M1305" s="20"/>
      <c r="N1305" s="14"/>
      <c r="O1305" s="15"/>
      <c r="P1305" s="22"/>
    </row>
    <row r="1306" spans="1:16" s="5" customFormat="1" ht="15" customHeight="1" x14ac:dyDescent="0.25">
      <c r="A1306" s="305" t="s">
        <v>42</v>
      </c>
      <c r="B1306" s="306"/>
      <c r="C1306" s="390"/>
      <c r="D1306" s="473" t="s">
        <v>1145</v>
      </c>
      <c r="E1306" s="309">
        <v>14</v>
      </c>
      <c r="F1306" s="310" t="s">
        <v>249</v>
      </c>
      <c r="G1306" s="311"/>
      <c r="H1306" s="312">
        <f t="shared" si="182"/>
        <v>0</v>
      </c>
      <c r="I1306" s="313"/>
      <c r="J1306" s="307"/>
      <c r="K1306" s="16"/>
      <c r="L1306" s="17"/>
      <c r="M1306" s="20"/>
      <c r="N1306" s="14"/>
      <c r="O1306" s="15"/>
      <c r="P1306" s="22"/>
    </row>
    <row r="1307" spans="1:16" s="5" customFormat="1" ht="15" customHeight="1" x14ac:dyDescent="0.25">
      <c r="A1307" s="305" t="s">
        <v>44</v>
      </c>
      <c r="B1307" s="306"/>
      <c r="C1307" s="390"/>
      <c r="D1307" s="473" t="s">
        <v>1146</v>
      </c>
      <c r="E1307" s="309">
        <v>9</v>
      </c>
      <c r="F1307" s="310" t="s">
        <v>249</v>
      </c>
      <c r="G1307" s="311"/>
      <c r="H1307" s="312">
        <f t="shared" si="182"/>
        <v>0</v>
      </c>
      <c r="I1307" s="313"/>
      <c r="J1307" s="307"/>
      <c r="K1307" s="16"/>
      <c r="L1307" s="17"/>
      <c r="M1307" s="20"/>
      <c r="N1307" s="14"/>
      <c r="O1307" s="15"/>
      <c r="P1307" s="22"/>
    </row>
    <row r="1308" spans="1:16" s="5" customFormat="1" ht="15" customHeight="1" x14ac:dyDescent="0.25">
      <c r="A1308" s="305" t="s">
        <v>46</v>
      </c>
      <c r="B1308" s="306"/>
      <c r="C1308" s="390"/>
      <c r="D1308" s="473" t="s">
        <v>1147</v>
      </c>
      <c r="E1308" s="309">
        <v>2</v>
      </c>
      <c r="F1308" s="310" t="s">
        <v>249</v>
      </c>
      <c r="G1308" s="311"/>
      <c r="H1308" s="312">
        <f t="shared" si="182"/>
        <v>0</v>
      </c>
      <c r="I1308" s="313"/>
      <c r="J1308" s="307"/>
      <c r="K1308" s="16"/>
      <c r="L1308" s="17"/>
      <c r="M1308" s="20"/>
      <c r="N1308" s="14"/>
      <c r="O1308" s="15"/>
      <c r="P1308" s="22"/>
    </row>
    <row r="1309" spans="1:16" s="5" customFormat="1" x14ac:dyDescent="0.3">
      <c r="A1309" s="305"/>
      <c r="B1309" s="306"/>
      <c r="C1309" s="396"/>
      <c r="D1309" s="398"/>
      <c r="E1309" s="309"/>
      <c r="F1309" s="310"/>
      <c r="G1309" s="311"/>
      <c r="H1309" s="312"/>
      <c r="I1309" s="313"/>
      <c r="J1309" s="307"/>
      <c r="K1309" s="16"/>
      <c r="L1309" s="17"/>
      <c r="M1309" s="20"/>
      <c r="N1309" s="14"/>
      <c r="O1309" s="15"/>
      <c r="P1309" s="22"/>
    </row>
    <row r="1310" spans="1:16" s="5" customFormat="1" x14ac:dyDescent="0.3">
      <c r="A1310" s="305"/>
      <c r="B1310" s="306"/>
      <c r="C1310" s="436" t="s">
        <v>1148</v>
      </c>
      <c r="D1310" s="398"/>
      <c r="E1310" s="309"/>
      <c r="F1310" s="310"/>
      <c r="G1310" s="311"/>
      <c r="H1310" s="312"/>
      <c r="I1310" s="313"/>
      <c r="J1310" s="307"/>
      <c r="K1310" s="16"/>
      <c r="L1310" s="17"/>
      <c r="M1310" s="20"/>
      <c r="N1310" s="14"/>
      <c r="O1310" s="15"/>
      <c r="P1310" s="39"/>
    </row>
    <row r="1311" spans="1:16" s="5" customFormat="1" ht="55.2" x14ac:dyDescent="0.3">
      <c r="A1311" s="305" t="s">
        <v>48</v>
      </c>
      <c r="B1311" s="306"/>
      <c r="C1311" s="396"/>
      <c r="D1311" s="398" t="s">
        <v>1149</v>
      </c>
      <c r="E1311" s="309">
        <v>1</v>
      </c>
      <c r="F1311" s="310" t="s">
        <v>100</v>
      </c>
      <c r="G1311" s="311"/>
      <c r="H1311" s="312">
        <f t="shared" ref="H1311" si="183">E1311*G1311</f>
        <v>0</v>
      </c>
      <c r="I1311" s="313"/>
      <c r="J1311" s="307"/>
      <c r="K1311" s="16"/>
      <c r="L1311" s="17"/>
      <c r="M1311" s="20"/>
      <c r="N1311" s="14"/>
      <c r="O1311" s="15"/>
      <c r="P1311" s="22"/>
    </row>
    <row r="1312" spans="1:16" s="5" customFormat="1" x14ac:dyDescent="0.3">
      <c r="A1312" s="305"/>
      <c r="B1312" s="306"/>
      <c r="C1312" s="396"/>
      <c r="D1312" s="398"/>
      <c r="E1312" s="309"/>
      <c r="F1312" s="310"/>
      <c r="G1312" s="311"/>
      <c r="H1312" s="312"/>
      <c r="I1312" s="313"/>
      <c r="J1312" s="307"/>
      <c r="K1312" s="16"/>
      <c r="L1312" s="17"/>
      <c r="M1312" s="20"/>
      <c r="N1312" s="14"/>
      <c r="O1312" s="15"/>
      <c r="P1312" s="22"/>
    </row>
    <row r="1313" spans="1:16" s="5" customFormat="1" ht="48.75" customHeight="1" x14ac:dyDescent="0.3">
      <c r="A1313" s="305"/>
      <c r="B1313" s="306"/>
      <c r="C1313" s="394" t="s">
        <v>1150</v>
      </c>
      <c r="D1313" s="395"/>
      <c r="E1313" s="309"/>
      <c r="F1313" s="310"/>
      <c r="G1313" s="311"/>
      <c r="H1313" s="312"/>
      <c r="I1313" s="313"/>
      <c r="J1313" s="307"/>
      <c r="K1313" s="16"/>
      <c r="L1313" s="17"/>
      <c r="M1313" s="20"/>
      <c r="N1313" s="14"/>
      <c r="O1313" s="15"/>
      <c r="P1313" s="22"/>
    </row>
    <row r="1314" spans="1:16" s="5" customFormat="1" ht="15" customHeight="1" x14ac:dyDescent="0.3">
      <c r="A1314" s="305" t="s">
        <v>50</v>
      </c>
      <c r="B1314" s="306"/>
      <c r="C1314" s="390"/>
      <c r="D1314" s="385" t="s">
        <v>1151</v>
      </c>
      <c r="E1314" s="309">
        <v>1</v>
      </c>
      <c r="F1314" s="310" t="s">
        <v>100</v>
      </c>
      <c r="G1314" s="311"/>
      <c r="H1314" s="312">
        <f t="shared" ref="H1314" si="184">E1314*G1314</f>
        <v>0</v>
      </c>
      <c r="I1314" s="313"/>
      <c r="J1314" s="307"/>
      <c r="K1314" s="16"/>
      <c r="L1314" s="17"/>
      <c r="M1314" s="20"/>
      <c r="N1314" s="14"/>
      <c r="O1314" s="15"/>
      <c r="P1314" s="22"/>
    </row>
    <row r="1315" spans="1:16" s="5" customFormat="1" ht="15" customHeight="1" x14ac:dyDescent="0.3">
      <c r="A1315" s="305"/>
      <c r="B1315" s="306"/>
      <c r="C1315" s="390"/>
      <c r="D1315" s="385"/>
      <c r="E1315" s="309"/>
      <c r="F1315" s="310"/>
      <c r="G1315" s="311"/>
      <c r="H1315" s="312"/>
      <c r="I1315" s="313"/>
      <c r="J1315" s="307"/>
      <c r="K1315" s="16"/>
      <c r="L1315" s="17"/>
      <c r="M1315" s="20"/>
      <c r="N1315" s="14"/>
      <c r="O1315" s="15"/>
      <c r="P1315" s="22"/>
    </row>
    <row r="1316" spans="1:16" s="5" customFormat="1" x14ac:dyDescent="0.3">
      <c r="A1316" s="319"/>
      <c r="B1316" s="306"/>
      <c r="C1316" s="436" t="s">
        <v>1152</v>
      </c>
      <c r="D1316" s="400"/>
      <c r="E1316" s="309"/>
      <c r="F1316" s="310"/>
      <c r="G1316" s="311"/>
      <c r="H1316" s="312"/>
      <c r="I1316" s="313"/>
      <c r="J1316" s="307"/>
      <c r="K1316" s="16"/>
      <c r="L1316" s="17"/>
      <c r="M1316" s="20"/>
      <c r="N1316" s="14"/>
      <c r="O1316" s="15"/>
      <c r="P1316" s="22"/>
    </row>
    <row r="1317" spans="1:16" s="5" customFormat="1" ht="30" customHeight="1" x14ac:dyDescent="0.3">
      <c r="A1317" s="305"/>
      <c r="B1317" s="306"/>
      <c r="C1317" s="394" t="s">
        <v>899</v>
      </c>
      <c r="D1317" s="395"/>
      <c r="E1317" s="309"/>
      <c r="F1317" s="310"/>
      <c r="G1317" s="311"/>
      <c r="H1317" s="312"/>
      <c r="I1317" s="313"/>
      <c r="J1317" s="307"/>
      <c r="K1317" s="16"/>
      <c r="L1317" s="17"/>
      <c r="M1317" s="20"/>
      <c r="N1317" s="14"/>
      <c r="O1317" s="15"/>
      <c r="P1317" s="22"/>
    </row>
    <row r="1318" spans="1:16" s="5" customFormat="1" ht="15" customHeight="1" x14ac:dyDescent="0.25">
      <c r="A1318" s="305" t="s">
        <v>52</v>
      </c>
      <c r="B1318" s="306"/>
      <c r="C1318" s="390"/>
      <c r="D1318" s="473" t="s">
        <v>1153</v>
      </c>
      <c r="E1318" s="309">
        <f>73+2+2</f>
        <v>77</v>
      </c>
      <c r="F1318" s="310" t="s">
        <v>249</v>
      </c>
      <c r="G1318" s="311"/>
      <c r="H1318" s="312">
        <f t="shared" ref="H1318" si="185">E1318*G1318</f>
        <v>0</v>
      </c>
      <c r="I1318" s="313"/>
      <c r="J1318" s="307"/>
      <c r="K1318" s="16"/>
      <c r="L1318" s="17"/>
      <c r="M1318" s="20"/>
      <c r="N1318" s="14"/>
      <c r="O1318" s="15"/>
      <c r="P1318" s="22"/>
    </row>
    <row r="1319" spans="1:16" s="5" customFormat="1" x14ac:dyDescent="0.3">
      <c r="A1319" s="305"/>
      <c r="B1319" s="306"/>
      <c r="C1319" s="396"/>
      <c r="D1319" s="398"/>
      <c r="E1319" s="309"/>
      <c r="F1319" s="310"/>
      <c r="G1319" s="311"/>
      <c r="H1319" s="312"/>
      <c r="I1319" s="313"/>
      <c r="J1319" s="307"/>
      <c r="K1319" s="16"/>
      <c r="L1319" s="17"/>
      <c r="M1319" s="20"/>
      <c r="N1319" s="14"/>
      <c r="O1319" s="15"/>
      <c r="P1319" s="22"/>
    </row>
    <row r="1320" spans="1:16" s="5" customFormat="1" ht="30" customHeight="1" x14ac:dyDescent="0.3">
      <c r="A1320" s="305"/>
      <c r="B1320" s="306"/>
      <c r="C1320" s="394" t="s">
        <v>922</v>
      </c>
      <c r="D1320" s="395" t="s">
        <v>922</v>
      </c>
      <c r="E1320" s="309"/>
      <c r="F1320" s="310"/>
      <c r="G1320" s="311"/>
      <c r="H1320" s="312"/>
      <c r="I1320" s="313"/>
      <c r="J1320" s="307"/>
      <c r="K1320" s="16"/>
      <c r="L1320" s="17"/>
      <c r="M1320" s="20"/>
      <c r="N1320" s="14"/>
      <c r="O1320" s="15"/>
      <c r="P1320" s="22"/>
    </row>
    <row r="1321" spans="1:16" s="5" customFormat="1" ht="15" customHeight="1" x14ac:dyDescent="0.25">
      <c r="A1321" s="305" t="s">
        <v>54</v>
      </c>
      <c r="B1321" s="306"/>
      <c r="C1321" s="390"/>
      <c r="D1321" s="473" t="s">
        <v>1154</v>
      </c>
      <c r="E1321" s="309">
        <f>73+2+2</f>
        <v>77</v>
      </c>
      <c r="F1321" s="310" t="s">
        <v>249</v>
      </c>
      <c r="G1321" s="311"/>
      <c r="H1321" s="312">
        <f t="shared" ref="H1321" si="186">E1321*G1321</f>
        <v>0</v>
      </c>
      <c r="I1321" s="313"/>
      <c r="J1321" s="307"/>
      <c r="K1321" s="16"/>
      <c r="L1321" s="17"/>
      <c r="M1321" s="20"/>
      <c r="N1321" s="14"/>
      <c r="O1321" s="15"/>
      <c r="P1321" s="22"/>
    </row>
    <row r="1322" spans="1:16" s="5" customFormat="1" x14ac:dyDescent="0.3">
      <c r="A1322" s="319"/>
      <c r="B1322" s="306"/>
      <c r="C1322" s="436"/>
      <c r="D1322" s="400"/>
      <c r="E1322" s="309"/>
      <c r="F1322" s="310"/>
      <c r="G1322" s="311"/>
      <c r="H1322" s="312"/>
      <c r="I1322" s="313"/>
      <c r="J1322" s="307"/>
      <c r="K1322" s="16"/>
      <c r="L1322" s="17"/>
      <c r="M1322" s="20"/>
      <c r="N1322" s="14"/>
      <c r="O1322" s="15"/>
      <c r="P1322" s="22"/>
    </row>
    <row r="1323" spans="1:16" s="5" customFormat="1" x14ac:dyDescent="0.3">
      <c r="A1323" s="319"/>
      <c r="B1323" s="306"/>
      <c r="C1323" s="436" t="s">
        <v>1155</v>
      </c>
      <c r="D1323" s="400"/>
      <c r="E1323" s="309"/>
      <c r="F1323" s="310"/>
      <c r="G1323" s="311"/>
      <c r="H1323" s="312"/>
      <c r="I1323" s="313"/>
      <c r="J1323" s="307"/>
      <c r="K1323" s="16"/>
      <c r="L1323" s="17"/>
      <c r="M1323" s="20"/>
      <c r="N1323" s="14"/>
      <c r="O1323" s="15"/>
      <c r="P1323" s="22"/>
    </row>
    <row r="1324" spans="1:16" s="5" customFormat="1" ht="30" customHeight="1" x14ac:dyDescent="0.3">
      <c r="A1324" s="305"/>
      <c r="B1324" s="306"/>
      <c r="C1324" s="394" t="s">
        <v>899</v>
      </c>
      <c r="D1324" s="395"/>
      <c r="E1324" s="309"/>
      <c r="F1324" s="310"/>
      <c r="G1324" s="311"/>
      <c r="H1324" s="312"/>
      <c r="I1324" s="313"/>
      <c r="J1324" s="307"/>
      <c r="K1324" s="16"/>
      <c r="L1324" s="17"/>
      <c r="M1324" s="20"/>
      <c r="N1324" s="14"/>
      <c r="O1324" s="15"/>
      <c r="P1324" s="22"/>
    </row>
    <row r="1325" spans="1:16" s="5" customFormat="1" ht="15" customHeight="1" x14ac:dyDescent="0.25">
      <c r="A1325" s="305" t="s">
        <v>56</v>
      </c>
      <c r="B1325" s="306"/>
      <c r="C1325" s="390"/>
      <c r="D1325" s="473" t="s">
        <v>1156</v>
      </c>
      <c r="E1325" s="309">
        <v>21</v>
      </c>
      <c r="F1325" s="310" t="s">
        <v>249</v>
      </c>
      <c r="G1325" s="311"/>
      <c r="H1325" s="312">
        <f>E1325*G1325</f>
        <v>0</v>
      </c>
      <c r="I1325" s="313"/>
      <c r="J1325" s="307"/>
      <c r="K1325" s="16"/>
      <c r="L1325" s="17"/>
      <c r="M1325" s="20"/>
      <c r="N1325" s="14"/>
      <c r="O1325" s="15"/>
      <c r="P1325" s="22"/>
    </row>
    <row r="1326" spans="1:16" s="5" customFormat="1" ht="15" customHeight="1" x14ac:dyDescent="0.25">
      <c r="A1326" s="305" t="s">
        <v>58</v>
      </c>
      <c r="B1326" s="306"/>
      <c r="C1326" s="390"/>
      <c r="D1326" s="473" t="s">
        <v>1157</v>
      </c>
      <c r="E1326" s="309">
        <v>368</v>
      </c>
      <c r="F1326" s="310" t="s">
        <v>249</v>
      </c>
      <c r="G1326" s="311"/>
      <c r="H1326" s="312">
        <f>E1326*G1326</f>
        <v>0</v>
      </c>
      <c r="I1326" s="313"/>
      <c r="J1326" s="307"/>
      <c r="K1326" s="16"/>
      <c r="L1326" s="17"/>
      <c r="M1326" s="20"/>
      <c r="N1326" s="14"/>
      <c r="O1326" s="15"/>
      <c r="P1326" s="22"/>
    </row>
    <row r="1327" spans="1:16" s="5" customFormat="1" x14ac:dyDescent="0.3">
      <c r="A1327" s="305"/>
      <c r="B1327" s="306"/>
      <c r="C1327" s="396"/>
      <c r="D1327" s="398"/>
      <c r="E1327" s="309"/>
      <c r="F1327" s="310"/>
      <c r="G1327" s="311"/>
      <c r="H1327" s="312"/>
      <c r="I1327" s="313"/>
      <c r="J1327" s="307"/>
      <c r="K1327" s="16"/>
      <c r="L1327" s="17"/>
      <c r="M1327" s="20"/>
      <c r="N1327" s="14"/>
      <c r="O1327" s="15"/>
      <c r="P1327" s="22"/>
    </row>
    <row r="1328" spans="1:16" s="5" customFormat="1" ht="30" customHeight="1" x14ac:dyDescent="0.3">
      <c r="A1328" s="305"/>
      <c r="B1328" s="306"/>
      <c r="C1328" s="394" t="s">
        <v>922</v>
      </c>
      <c r="D1328" s="395" t="s">
        <v>922</v>
      </c>
      <c r="E1328" s="309"/>
      <c r="F1328" s="310"/>
      <c r="G1328" s="311"/>
      <c r="H1328" s="312"/>
      <c r="I1328" s="313"/>
      <c r="J1328" s="307"/>
      <c r="K1328" s="16"/>
      <c r="L1328" s="17"/>
      <c r="M1328" s="20"/>
      <c r="N1328" s="14"/>
      <c r="O1328" s="15"/>
      <c r="P1328" s="22"/>
    </row>
    <row r="1329" spans="1:16" s="5" customFormat="1" ht="15" customHeight="1" x14ac:dyDescent="0.25">
      <c r="A1329" s="305" t="s">
        <v>60</v>
      </c>
      <c r="B1329" s="306"/>
      <c r="C1329" s="390"/>
      <c r="D1329" s="473" t="s">
        <v>1158</v>
      </c>
      <c r="E1329" s="309">
        <v>21</v>
      </c>
      <c r="F1329" s="310" t="s">
        <v>249</v>
      </c>
      <c r="G1329" s="311"/>
      <c r="H1329" s="312">
        <f>E1329*G1329</f>
        <v>0</v>
      </c>
      <c r="I1329" s="313"/>
      <c r="J1329" s="307"/>
      <c r="K1329" s="16"/>
      <c r="L1329" s="17"/>
      <c r="M1329" s="20"/>
      <c r="N1329" s="14"/>
      <c r="O1329" s="15"/>
      <c r="P1329" s="22"/>
    </row>
    <row r="1330" spans="1:16" s="5" customFormat="1" ht="15" customHeight="1" x14ac:dyDescent="0.25">
      <c r="A1330" s="305" t="s">
        <v>62</v>
      </c>
      <c r="B1330" s="306"/>
      <c r="C1330" s="390"/>
      <c r="D1330" s="473" t="s">
        <v>1159</v>
      </c>
      <c r="E1330" s="309">
        <v>368</v>
      </c>
      <c r="F1330" s="310" t="s">
        <v>249</v>
      </c>
      <c r="G1330" s="311"/>
      <c r="H1330" s="312">
        <f>E1330*G1330</f>
        <v>0</v>
      </c>
      <c r="I1330" s="313"/>
      <c r="J1330" s="307"/>
      <c r="K1330" s="16"/>
      <c r="L1330" s="17"/>
      <c r="M1330" s="20"/>
      <c r="N1330" s="14"/>
      <c r="O1330" s="15"/>
      <c r="P1330" s="22"/>
    </row>
    <row r="1331" spans="1:16" s="5" customFormat="1" x14ac:dyDescent="0.3">
      <c r="A1331" s="319"/>
      <c r="B1331" s="306"/>
      <c r="C1331" s="436"/>
      <c r="D1331" s="400"/>
      <c r="E1331" s="309"/>
      <c r="F1331" s="310"/>
      <c r="G1331" s="311"/>
      <c r="H1331" s="312"/>
      <c r="I1331" s="313"/>
      <c r="J1331" s="307"/>
      <c r="K1331" s="16"/>
      <c r="L1331" s="17"/>
      <c r="M1331" s="20"/>
      <c r="N1331" s="14"/>
      <c r="O1331" s="15"/>
      <c r="P1331" s="22"/>
    </row>
    <row r="1332" spans="1:16" s="34" customFormat="1" x14ac:dyDescent="0.3">
      <c r="A1332" s="482"/>
      <c r="B1332" s="462"/>
      <c r="C1332" s="436" t="s">
        <v>1160</v>
      </c>
      <c r="D1332" s="483"/>
      <c r="E1332" s="470"/>
      <c r="F1332" s="471"/>
      <c r="G1332" s="311"/>
      <c r="H1332" s="312"/>
      <c r="I1332" s="313"/>
      <c r="J1332" s="472"/>
      <c r="K1332" s="57"/>
      <c r="L1332" s="56"/>
      <c r="M1332" s="20"/>
      <c r="N1332" s="14"/>
      <c r="O1332" s="15"/>
      <c r="P1332" s="33"/>
    </row>
    <row r="1333" spans="1:16" s="5" customFormat="1" ht="45.15" customHeight="1" x14ac:dyDescent="0.3">
      <c r="A1333" s="305" t="s">
        <v>64</v>
      </c>
      <c r="B1333" s="306"/>
      <c r="C1333" s="436"/>
      <c r="D1333" s="308" t="s">
        <v>1161</v>
      </c>
      <c r="E1333" s="309">
        <v>1</v>
      </c>
      <c r="F1333" s="310" t="s">
        <v>100</v>
      </c>
      <c r="G1333" s="311"/>
      <c r="H1333" s="312"/>
      <c r="I1333" s="313"/>
      <c r="J1333" s="307"/>
      <c r="K1333" s="16"/>
      <c r="L1333" s="17"/>
      <c r="M1333" s="20"/>
      <c r="N1333" s="14"/>
      <c r="O1333" s="15"/>
      <c r="P1333" s="22"/>
    </row>
    <row r="1334" spans="1:16" s="5" customFormat="1" ht="15" customHeight="1" x14ac:dyDescent="0.3">
      <c r="A1334" s="401"/>
      <c r="B1334" s="402"/>
      <c r="C1334" s="403"/>
      <c r="D1334" s="468"/>
      <c r="E1334" s="432"/>
      <c r="F1334" s="433"/>
      <c r="G1334" s="407"/>
      <c r="H1334" s="408"/>
      <c r="I1334" s="409"/>
      <c r="J1334" s="307"/>
      <c r="K1334" s="16"/>
      <c r="L1334" s="17"/>
      <c r="M1334" s="20"/>
      <c r="N1334" s="14"/>
      <c r="O1334" s="15"/>
      <c r="P1334" s="22"/>
    </row>
    <row r="1335" spans="1:16" s="34" customFormat="1" x14ac:dyDescent="0.3">
      <c r="A1335" s="482"/>
      <c r="B1335" s="462"/>
      <c r="C1335" s="394" t="s">
        <v>1162</v>
      </c>
      <c r="D1335" s="395"/>
      <c r="E1335" s="470"/>
      <c r="F1335" s="471"/>
      <c r="G1335" s="311"/>
      <c r="H1335" s="312"/>
      <c r="I1335" s="313"/>
      <c r="J1335" s="472"/>
      <c r="K1335" s="57"/>
      <c r="L1335" s="56"/>
      <c r="M1335" s="20"/>
      <c r="N1335" s="14"/>
      <c r="O1335" s="15"/>
      <c r="P1335" s="33"/>
    </row>
    <row r="1336" spans="1:16" s="5" customFormat="1" ht="30" customHeight="1" x14ac:dyDescent="0.3">
      <c r="A1336" s="305"/>
      <c r="B1336" s="306"/>
      <c r="C1336" s="394" t="s">
        <v>899</v>
      </c>
      <c r="D1336" s="395"/>
      <c r="E1336" s="309"/>
      <c r="F1336" s="310"/>
      <c r="G1336" s="311"/>
      <c r="H1336" s="312"/>
      <c r="I1336" s="313"/>
      <c r="J1336" s="307"/>
      <c r="K1336" s="16"/>
      <c r="L1336" s="17"/>
      <c r="M1336" s="20"/>
      <c r="N1336" s="14"/>
      <c r="O1336" s="15"/>
      <c r="P1336" s="22"/>
    </row>
    <row r="1337" spans="1:16" s="5" customFormat="1" x14ac:dyDescent="0.25">
      <c r="A1337" s="305" t="s">
        <v>66</v>
      </c>
      <c r="B1337" s="306"/>
      <c r="C1337" s="390"/>
      <c r="D1337" s="466" t="s">
        <v>1163</v>
      </c>
      <c r="E1337" s="309">
        <f>185+2+2+1</f>
        <v>190</v>
      </c>
      <c r="F1337" s="310" t="s">
        <v>249</v>
      </c>
      <c r="G1337" s="311"/>
      <c r="H1337" s="312">
        <f t="shared" ref="H1337:H1341" si="187">E1337*G1337</f>
        <v>0</v>
      </c>
      <c r="I1337" s="313"/>
      <c r="J1337" s="307"/>
      <c r="K1337" s="16"/>
      <c r="L1337" s="17"/>
      <c r="M1337" s="20"/>
      <c r="N1337" s="14"/>
      <c r="O1337" s="15"/>
      <c r="P1337" s="22"/>
    </row>
    <row r="1338" spans="1:16" s="5" customFormat="1" x14ac:dyDescent="0.25">
      <c r="A1338" s="305" t="s">
        <v>68</v>
      </c>
      <c r="B1338" s="306"/>
      <c r="C1338" s="390"/>
      <c r="D1338" s="466" t="s">
        <v>1164</v>
      </c>
      <c r="E1338" s="309">
        <f>28+2+1</f>
        <v>31</v>
      </c>
      <c r="F1338" s="310" t="s">
        <v>249</v>
      </c>
      <c r="G1338" s="311"/>
      <c r="H1338" s="312">
        <f t="shared" si="187"/>
        <v>0</v>
      </c>
      <c r="I1338" s="313"/>
      <c r="J1338" s="307"/>
      <c r="K1338" s="16"/>
      <c r="L1338" s="17"/>
      <c r="M1338" s="20"/>
      <c r="N1338" s="14"/>
      <c r="O1338" s="15"/>
      <c r="P1338" s="22"/>
    </row>
    <row r="1339" spans="1:16" s="5" customFormat="1" x14ac:dyDescent="0.25">
      <c r="A1339" s="305" t="s">
        <v>71</v>
      </c>
      <c r="B1339" s="306"/>
      <c r="C1339" s="390"/>
      <c r="D1339" s="466" t="s">
        <v>1165</v>
      </c>
      <c r="E1339" s="309">
        <f>31+2+1</f>
        <v>34</v>
      </c>
      <c r="F1339" s="310" t="s">
        <v>249</v>
      </c>
      <c r="G1339" s="311"/>
      <c r="H1339" s="312">
        <f t="shared" si="187"/>
        <v>0</v>
      </c>
      <c r="I1339" s="313"/>
      <c r="J1339" s="307"/>
      <c r="K1339" s="16"/>
      <c r="L1339" s="17"/>
      <c r="M1339" s="20"/>
      <c r="N1339" s="14"/>
      <c r="O1339" s="15"/>
      <c r="P1339" s="22"/>
    </row>
    <row r="1340" spans="1:16" s="5" customFormat="1" x14ac:dyDescent="0.25">
      <c r="A1340" s="305" t="s">
        <v>73</v>
      </c>
      <c r="B1340" s="306"/>
      <c r="C1340" s="390"/>
      <c r="D1340" s="466" t="s">
        <v>1166</v>
      </c>
      <c r="E1340" s="309">
        <v>34</v>
      </c>
      <c r="F1340" s="310" t="s">
        <v>249</v>
      </c>
      <c r="G1340" s="311"/>
      <c r="H1340" s="312">
        <f t="shared" si="187"/>
        <v>0</v>
      </c>
      <c r="I1340" s="313"/>
      <c r="J1340" s="307"/>
      <c r="K1340" s="16"/>
      <c r="L1340" s="17"/>
      <c r="M1340" s="20"/>
      <c r="N1340" s="14"/>
      <c r="O1340" s="15"/>
      <c r="P1340" s="22"/>
    </row>
    <row r="1341" spans="1:16" s="5" customFormat="1" x14ac:dyDescent="0.25">
      <c r="A1341" s="305" t="s">
        <v>75</v>
      </c>
      <c r="B1341" s="306"/>
      <c r="C1341" s="390"/>
      <c r="D1341" s="466" t="s">
        <v>1167</v>
      </c>
      <c r="E1341" s="309">
        <v>1</v>
      </c>
      <c r="F1341" s="310" t="s">
        <v>100</v>
      </c>
      <c r="G1341" s="311"/>
      <c r="H1341" s="312">
        <f t="shared" si="187"/>
        <v>0</v>
      </c>
      <c r="I1341" s="313"/>
      <c r="J1341" s="307"/>
      <c r="K1341" s="16"/>
      <c r="L1341" s="17"/>
      <c r="M1341" s="20"/>
      <c r="N1341" s="14"/>
      <c r="O1341" s="15"/>
      <c r="P1341" s="22"/>
    </row>
    <row r="1342" spans="1:16" s="5" customFormat="1" x14ac:dyDescent="0.3">
      <c r="A1342" s="305"/>
      <c r="B1342" s="306"/>
      <c r="C1342" s="396"/>
      <c r="D1342" s="398"/>
      <c r="E1342" s="309"/>
      <c r="F1342" s="310"/>
      <c r="G1342" s="311"/>
      <c r="H1342" s="312"/>
      <c r="I1342" s="313"/>
      <c r="J1342" s="307"/>
      <c r="K1342" s="16"/>
      <c r="L1342" s="17"/>
      <c r="M1342" s="20"/>
      <c r="N1342" s="14"/>
      <c r="O1342" s="15"/>
      <c r="P1342" s="22"/>
    </row>
    <row r="1343" spans="1:16" s="5" customFormat="1" ht="30" customHeight="1" x14ac:dyDescent="0.3">
      <c r="A1343" s="305"/>
      <c r="B1343" s="306"/>
      <c r="C1343" s="394" t="s">
        <v>922</v>
      </c>
      <c r="D1343" s="395" t="s">
        <v>922</v>
      </c>
      <c r="E1343" s="309"/>
      <c r="F1343" s="310"/>
      <c r="G1343" s="311"/>
      <c r="H1343" s="312"/>
      <c r="I1343" s="313"/>
      <c r="J1343" s="307"/>
      <c r="K1343" s="16"/>
      <c r="L1343" s="17"/>
      <c r="M1343" s="20"/>
      <c r="N1343" s="14"/>
      <c r="O1343" s="15"/>
      <c r="P1343" s="22"/>
    </row>
    <row r="1344" spans="1:16" s="5" customFormat="1" x14ac:dyDescent="0.25">
      <c r="A1344" s="305" t="s">
        <v>77</v>
      </c>
      <c r="B1344" s="306"/>
      <c r="C1344" s="390"/>
      <c r="D1344" s="466" t="s">
        <v>1163</v>
      </c>
      <c r="E1344" s="309">
        <f>185+2+2+1</f>
        <v>190</v>
      </c>
      <c r="F1344" s="310" t="s">
        <v>249</v>
      </c>
      <c r="G1344" s="311"/>
      <c r="H1344" s="312">
        <f t="shared" ref="H1344:H1348" si="188">E1344*G1344</f>
        <v>0</v>
      </c>
      <c r="I1344" s="313"/>
      <c r="J1344" s="307"/>
      <c r="K1344" s="16"/>
      <c r="L1344" s="17"/>
      <c r="M1344" s="20"/>
      <c r="N1344" s="14"/>
      <c r="O1344" s="15"/>
      <c r="P1344" s="22"/>
    </row>
    <row r="1345" spans="1:16" s="5" customFormat="1" x14ac:dyDescent="0.25">
      <c r="A1345" s="305" t="s">
        <v>80</v>
      </c>
      <c r="B1345" s="306"/>
      <c r="C1345" s="390"/>
      <c r="D1345" s="466" t="s">
        <v>1164</v>
      </c>
      <c r="E1345" s="309">
        <f>28+2+1</f>
        <v>31</v>
      </c>
      <c r="F1345" s="310" t="s">
        <v>249</v>
      </c>
      <c r="G1345" s="311"/>
      <c r="H1345" s="312">
        <f t="shared" si="188"/>
        <v>0</v>
      </c>
      <c r="I1345" s="313"/>
      <c r="J1345" s="307"/>
      <c r="K1345" s="16"/>
      <c r="L1345" s="17"/>
      <c r="M1345" s="20"/>
      <c r="N1345" s="14"/>
      <c r="O1345" s="15"/>
      <c r="P1345" s="22"/>
    </row>
    <row r="1346" spans="1:16" s="5" customFormat="1" x14ac:dyDescent="0.25">
      <c r="A1346" s="305" t="s">
        <v>81</v>
      </c>
      <c r="B1346" s="306"/>
      <c r="C1346" s="390"/>
      <c r="D1346" s="466" t="s">
        <v>1165</v>
      </c>
      <c r="E1346" s="309">
        <f>31+2+1</f>
        <v>34</v>
      </c>
      <c r="F1346" s="310" t="s">
        <v>249</v>
      </c>
      <c r="G1346" s="311"/>
      <c r="H1346" s="312">
        <f t="shared" si="188"/>
        <v>0</v>
      </c>
      <c r="I1346" s="313"/>
      <c r="J1346" s="307"/>
      <c r="K1346" s="16"/>
      <c r="L1346" s="17"/>
      <c r="M1346" s="20"/>
      <c r="N1346" s="14"/>
      <c r="O1346" s="15"/>
      <c r="P1346" s="22"/>
    </row>
    <row r="1347" spans="1:16" s="5" customFormat="1" x14ac:dyDescent="0.25">
      <c r="A1347" s="305" t="s">
        <v>83</v>
      </c>
      <c r="B1347" s="306"/>
      <c r="C1347" s="390"/>
      <c r="D1347" s="466" t="s">
        <v>1166</v>
      </c>
      <c r="E1347" s="309">
        <v>34</v>
      </c>
      <c r="F1347" s="310" t="s">
        <v>249</v>
      </c>
      <c r="G1347" s="311"/>
      <c r="H1347" s="312">
        <f t="shared" si="188"/>
        <v>0</v>
      </c>
      <c r="I1347" s="313"/>
      <c r="J1347" s="307"/>
      <c r="K1347" s="16"/>
      <c r="L1347" s="17"/>
      <c r="M1347" s="20"/>
      <c r="N1347" s="14"/>
      <c r="O1347" s="15"/>
      <c r="P1347" s="22"/>
    </row>
    <row r="1348" spans="1:16" s="5" customFormat="1" x14ac:dyDescent="0.25">
      <c r="A1348" s="305" t="s">
        <v>85</v>
      </c>
      <c r="B1348" s="306"/>
      <c r="C1348" s="390"/>
      <c r="D1348" s="466" t="s">
        <v>1168</v>
      </c>
      <c r="E1348" s="309">
        <v>1</v>
      </c>
      <c r="F1348" s="310" t="s">
        <v>100</v>
      </c>
      <c r="G1348" s="311"/>
      <c r="H1348" s="312">
        <f t="shared" si="188"/>
        <v>0</v>
      </c>
      <c r="I1348" s="313"/>
      <c r="J1348" s="307"/>
      <c r="K1348" s="16"/>
      <c r="L1348" s="17"/>
      <c r="M1348" s="20"/>
      <c r="N1348" s="14"/>
      <c r="O1348" s="15"/>
      <c r="P1348" s="22"/>
    </row>
    <row r="1349" spans="1:16" s="5" customFormat="1" x14ac:dyDescent="0.3">
      <c r="A1349" s="319"/>
      <c r="B1349" s="306"/>
      <c r="C1349" s="307"/>
      <c r="D1349" s="308"/>
      <c r="E1349" s="309"/>
      <c r="F1349" s="310"/>
      <c r="G1349" s="311"/>
      <c r="H1349" s="312"/>
      <c r="I1349" s="313"/>
      <c r="J1349" s="307"/>
      <c r="K1349" s="16"/>
      <c r="L1349" s="17"/>
      <c r="M1349" s="20"/>
      <c r="N1349" s="14"/>
      <c r="O1349" s="15"/>
      <c r="P1349" s="22"/>
    </row>
    <row r="1350" spans="1:16" s="34" customFormat="1" x14ac:dyDescent="0.3">
      <c r="A1350" s="482"/>
      <c r="B1350" s="462"/>
      <c r="C1350" s="394" t="s">
        <v>1169</v>
      </c>
      <c r="D1350" s="395"/>
      <c r="E1350" s="470"/>
      <c r="F1350" s="471"/>
      <c r="G1350" s="311"/>
      <c r="H1350" s="312"/>
      <c r="I1350" s="313"/>
      <c r="J1350" s="472"/>
      <c r="K1350" s="57"/>
      <c r="L1350" s="56"/>
      <c r="M1350" s="20"/>
      <c r="N1350" s="14"/>
      <c r="O1350" s="15"/>
      <c r="P1350" s="33"/>
    </row>
    <row r="1351" spans="1:16" s="5" customFormat="1" ht="30" customHeight="1" x14ac:dyDescent="0.3">
      <c r="A1351" s="305"/>
      <c r="B1351" s="306"/>
      <c r="C1351" s="394" t="s">
        <v>899</v>
      </c>
      <c r="D1351" s="395"/>
      <c r="E1351" s="309"/>
      <c r="F1351" s="310"/>
      <c r="G1351" s="311"/>
      <c r="H1351" s="312"/>
      <c r="I1351" s="313"/>
      <c r="J1351" s="307"/>
      <c r="K1351" s="16"/>
      <c r="L1351" s="17"/>
      <c r="M1351" s="20"/>
      <c r="N1351" s="14"/>
      <c r="O1351" s="15"/>
      <c r="P1351" s="22"/>
    </row>
    <row r="1352" spans="1:16" s="5" customFormat="1" x14ac:dyDescent="0.3">
      <c r="A1352" s="319" t="s">
        <v>87</v>
      </c>
      <c r="B1352" s="306"/>
      <c r="C1352" s="307"/>
      <c r="D1352" s="308" t="s">
        <v>1170</v>
      </c>
      <c r="E1352" s="309">
        <f>125+2</f>
        <v>127</v>
      </c>
      <c r="F1352" s="310" t="s">
        <v>249</v>
      </c>
      <c r="G1352" s="311"/>
      <c r="H1352" s="312">
        <f t="shared" ref="H1352:H1363" si="189">E1352*G1352</f>
        <v>0</v>
      </c>
      <c r="I1352" s="313"/>
      <c r="J1352" s="307"/>
      <c r="K1352" s="16"/>
      <c r="L1352" s="17"/>
      <c r="M1352" s="20"/>
      <c r="N1352" s="14"/>
      <c r="O1352" s="15"/>
      <c r="P1352" s="22"/>
    </row>
    <row r="1353" spans="1:16" s="5" customFormat="1" x14ac:dyDescent="0.3">
      <c r="A1353" s="319" t="s">
        <v>89</v>
      </c>
      <c r="B1353" s="306"/>
      <c r="C1353" s="307"/>
      <c r="D1353" s="308" t="s">
        <v>1171</v>
      </c>
      <c r="E1353" s="309">
        <f>85+1</f>
        <v>86</v>
      </c>
      <c r="F1353" s="310" t="s">
        <v>249</v>
      </c>
      <c r="G1353" s="311"/>
      <c r="H1353" s="312">
        <f t="shared" si="189"/>
        <v>0</v>
      </c>
      <c r="I1353" s="313"/>
      <c r="J1353" s="307"/>
      <c r="K1353" s="16"/>
      <c r="L1353" s="17"/>
      <c r="M1353" s="20"/>
      <c r="N1353" s="14"/>
      <c r="O1353" s="15"/>
      <c r="P1353" s="22"/>
    </row>
    <row r="1354" spans="1:16" s="5" customFormat="1" x14ac:dyDescent="0.3">
      <c r="A1354" s="319" t="s">
        <v>91</v>
      </c>
      <c r="B1354" s="306"/>
      <c r="C1354" s="307"/>
      <c r="D1354" s="308" t="s">
        <v>1172</v>
      </c>
      <c r="E1354" s="309">
        <v>18</v>
      </c>
      <c r="F1354" s="310" t="s">
        <v>249</v>
      </c>
      <c r="G1354" s="311"/>
      <c r="H1354" s="312">
        <f t="shared" si="189"/>
        <v>0</v>
      </c>
      <c r="I1354" s="313"/>
      <c r="J1354" s="307"/>
      <c r="K1354" s="16"/>
      <c r="L1354" s="17"/>
      <c r="M1354" s="20"/>
      <c r="N1354" s="14"/>
      <c r="O1354" s="15"/>
      <c r="P1354" s="22"/>
    </row>
    <row r="1355" spans="1:16" s="5" customFormat="1" x14ac:dyDescent="0.3">
      <c r="A1355" s="319" t="s">
        <v>92</v>
      </c>
      <c r="B1355" s="306"/>
      <c r="C1355" s="307"/>
      <c r="D1355" s="308" t="s">
        <v>1173</v>
      </c>
      <c r="E1355" s="309">
        <v>48</v>
      </c>
      <c r="F1355" s="310" t="s">
        <v>249</v>
      </c>
      <c r="G1355" s="311"/>
      <c r="H1355" s="312">
        <f t="shared" si="189"/>
        <v>0</v>
      </c>
      <c r="I1355" s="313"/>
      <c r="J1355" s="307"/>
      <c r="K1355" s="16"/>
      <c r="L1355" s="17"/>
      <c r="M1355" s="20"/>
      <c r="N1355" s="14"/>
      <c r="O1355" s="15"/>
      <c r="P1355" s="22"/>
    </row>
    <row r="1356" spans="1:16" s="5" customFormat="1" x14ac:dyDescent="0.3">
      <c r="A1356" s="319" t="s">
        <v>94</v>
      </c>
      <c r="B1356" s="306"/>
      <c r="C1356" s="307"/>
      <c r="D1356" s="308" t="s">
        <v>1174</v>
      </c>
      <c r="E1356" s="309">
        <v>4</v>
      </c>
      <c r="F1356" s="310" t="s">
        <v>249</v>
      </c>
      <c r="G1356" s="311"/>
      <c r="H1356" s="312">
        <f t="shared" si="189"/>
        <v>0</v>
      </c>
      <c r="I1356" s="313"/>
      <c r="J1356" s="307"/>
      <c r="K1356" s="16"/>
      <c r="L1356" s="17"/>
      <c r="M1356" s="20"/>
      <c r="N1356" s="14"/>
      <c r="O1356" s="15"/>
      <c r="P1356" s="22"/>
    </row>
    <row r="1357" spans="1:16" s="5" customFormat="1" x14ac:dyDescent="0.3">
      <c r="A1357" s="319" t="s">
        <v>95</v>
      </c>
      <c r="B1357" s="306"/>
      <c r="C1357" s="307"/>
      <c r="D1357" s="308" t="s">
        <v>1175</v>
      </c>
      <c r="E1357" s="309">
        <v>43</v>
      </c>
      <c r="F1357" s="310" t="s">
        <v>249</v>
      </c>
      <c r="G1357" s="311"/>
      <c r="H1357" s="312">
        <f t="shared" si="189"/>
        <v>0</v>
      </c>
      <c r="I1357" s="313"/>
      <c r="J1357" s="307"/>
      <c r="K1357" s="16"/>
      <c r="L1357" s="17"/>
      <c r="M1357" s="20"/>
      <c r="N1357" s="14"/>
      <c r="O1357" s="15"/>
      <c r="P1357" s="22"/>
    </row>
    <row r="1358" spans="1:16" s="5" customFormat="1" x14ac:dyDescent="0.3">
      <c r="A1358" s="319" t="s">
        <v>98</v>
      </c>
      <c r="B1358" s="306"/>
      <c r="C1358" s="307"/>
      <c r="D1358" s="308" t="s">
        <v>1176</v>
      </c>
      <c r="E1358" s="309">
        <v>1</v>
      </c>
      <c r="F1358" s="310" t="s">
        <v>249</v>
      </c>
      <c r="G1358" s="311"/>
      <c r="H1358" s="312">
        <f t="shared" si="189"/>
        <v>0</v>
      </c>
      <c r="I1358" s="313"/>
      <c r="J1358" s="307"/>
      <c r="K1358" s="16"/>
      <c r="L1358" s="17"/>
      <c r="M1358" s="20"/>
      <c r="N1358" s="14"/>
      <c r="O1358" s="15"/>
      <c r="P1358" s="22"/>
    </row>
    <row r="1359" spans="1:16" s="5" customFormat="1" x14ac:dyDescent="0.3">
      <c r="A1359" s="319" t="s">
        <v>101</v>
      </c>
      <c r="B1359" s="306"/>
      <c r="C1359" s="307"/>
      <c r="D1359" s="308" t="s">
        <v>1177</v>
      </c>
      <c r="E1359" s="309">
        <v>1</v>
      </c>
      <c r="F1359" s="310" t="s">
        <v>249</v>
      </c>
      <c r="G1359" s="311"/>
      <c r="H1359" s="312">
        <f t="shared" si="189"/>
        <v>0</v>
      </c>
      <c r="I1359" s="313"/>
      <c r="J1359" s="307"/>
      <c r="K1359" s="16"/>
      <c r="L1359" s="17"/>
      <c r="M1359" s="20"/>
      <c r="N1359" s="14"/>
      <c r="O1359" s="15"/>
      <c r="P1359" s="22"/>
    </row>
    <row r="1360" spans="1:16" s="5" customFormat="1" x14ac:dyDescent="0.3">
      <c r="A1360" s="319" t="s">
        <v>104</v>
      </c>
      <c r="B1360" s="306"/>
      <c r="C1360" s="307"/>
      <c r="D1360" s="308" t="s">
        <v>1178</v>
      </c>
      <c r="E1360" s="309">
        <v>1</v>
      </c>
      <c r="F1360" s="310" t="s">
        <v>249</v>
      </c>
      <c r="G1360" s="311"/>
      <c r="H1360" s="312">
        <f t="shared" si="189"/>
        <v>0</v>
      </c>
      <c r="I1360" s="313"/>
      <c r="J1360" s="307"/>
      <c r="K1360" s="16"/>
      <c r="L1360" s="17"/>
      <c r="M1360" s="20"/>
      <c r="N1360" s="14"/>
      <c r="O1360" s="15"/>
      <c r="P1360" s="22"/>
    </row>
    <row r="1361" spans="1:16" s="5" customFormat="1" x14ac:dyDescent="0.3">
      <c r="A1361" s="319" t="s">
        <v>106</v>
      </c>
      <c r="B1361" s="306"/>
      <c r="C1361" s="307"/>
      <c r="D1361" s="308" t="s">
        <v>1179</v>
      </c>
      <c r="E1361" s="309">
        <v>1</v>
      </c>
      <c r="F1361" s="310" t="s">
        <v>100</v>
      </c>
      <c r="G1361" s="311"/>
      <c r="H1361" s="312">
        <f t="shared" si="189"/>
        <v>0</v>
      </c>
      <c r="I1361" s="313"/>
      <c r="J1361" s="307"/>
      <c r="K1361" s="16"/>
      <c r="L1361" s="17"/>
      <c r="M1361" s="20"/>
      <c r="N1361" s="14"/>
      <c r="O1361" s="15"/>
      <c r="P1361" s="22"/>
    </row>
    <row r="1362" spans="1:16" s="5" customFormat="1" x14ac:dyDescent="0.3">
      <c r="A1362" s="319" t="s">
        <v>108</v>
      </c>
      <c r="B1362" s="306"/>
      <c r="C1362" s="307"/>
      <c r="D1362" s="308" t="s">
        <v>1180</v>
      </c>
      <c r="E1362" s="309">
        <v>1</v>
      </c>
      <c r="F1362" s="310" t="s">
        <v>100</v>
      </c>
      <c r="G1362" s="311"/>
      <c r="H1362" s="312">
        <f t="shared" si="189"/>
        <v>0</v>
      </c>
      <c r="I1362" s="313"/>
      <c r="J1362" s="307"/>
      <c r="K1362" s="16"/>
      <c r="L1362" s="17"/>
      <c r="M1362" s="20"/>
      <c r="N1362" s="14"/>
      <c r="O1362" s="15"/>
      <c r="P1362" s="22"/>
    </row>
    <row r="1363" spans="1:16" s="5" customFormat="1" x14ac:dyDescent="0.3">
      <c r="A1363" s="319" t="s">
        <v>110</v>
      </c>
      <c r="B1363" s="306"/>
      <c r="C1363" s="307"/>
      <c r="D1363" s="308" t="s">
        <v>1181</v>
      </c>
      <c r="E1363" s="309">
        <v>1</v>
      </c>
      <c r="F1363" s="310" t="s">
        <v>100</v>
      </c>
      <c r="G1363" s="311"/>
      <c r="H1363" s="312">
        <f t="shared" si="189"/>
        <v>0</v>
      </c>
      <c r="I1363" s="313"/>
      <c r="J1363" s="307"/>
      <c r="K1363" s="16"/>
      <c r="L1363" s="17"/>
      <c r="M1363" s="20"/>
      <c r="N1363" s="14"/>
      <c r="O1363" s="15"/>
      <c r="P1363" s="22"/>
    </row>
    <row r="1364" spans="1:16" s="5" customFormat="1" x14ac:dyDescent="0.3">
      <c r="A1364" s="319"/>
      <c r="B1364" s="306"/>
      <c r="C1364" s="307"/>
      <c r="D1364" s="308"/>
      <c r="E1364" s="309"/>
      <c r="F1364" s="310"/>
      <c r="G1364" s="311"/>
      <c r="H1364" s="312"/>
      <c r="I1364" s="313"/>
      <c r="J1364" s="307"/>
      <c r="K1364" s="16"/>
      <c r="L1364" s="17"/>
      <c r="M1364" s="20"/>
      <c r="N1364" s="14"/>
      <c r="O1364" s="15"/>
      <c r="P1364" s="22"/>
    </row>
    <row r="1365" spans="1:16" s="5" customFormat="1" ht="30" customHeight="1" x14ac:dyDescent="0.3">
      <c r="A1365" s="305"/>
      <c r="B1365" s="306"/>
      <c r="C1365" s="394" t="s">
        <v>922</v>
      </c>
      <c r="D1365" s="395" t="s">
        <v>922</v>
      </c>
      <c r="E1365" s="309"/>
      <c r="F1365" s="310"/>
      <c r="G1365" s="311"/>
      <c r="H1365" s="312"/>
      <c r="I1365" s="313"/>
      <c r="J1365" s="307"/>
      <c r="K1365" s="16"/>
      <c r="L1365" s="17"/>
      <c r="M1365" s="20"/>
      <c r="N1365" s="14"/>
      <c r="O1365" s="15"/>
      <c r="P1365" s="22"/>
    </row>
    <row r="1366" spans="1:16" s="5" customFormat="1" x14ac:dyDescent="0.3">
      <c r="A1366" s="319" t="s">
        <v>112</v>
      </c>
      <c r="B1366" s="306"/>
      <c r="C1366" s="307"/>
      <c r="D1366" s="308" t="s">
        <v>1170</v>
      </c>
      <c r="E1366" s="309">
        <f>125+2</f>
        <v>127</v>
      </c>
      <c r="F1366" s="310" t="s">
        <v>249</v>
      </c>
      <c r="G1366" s="311"/>
      <c r="H1366" s="312">
        <f t="shared" ref="H1366:H1377" si="190">E1366*G1366</f>
        <v>0</v>
      </c>
      <c r="I1366" s="313"/>
      <c r="J1366" s="307"/>
      <c r="K1366" s="16"/>
      <c r="L1366" s="17"/>
      <c r="M1366" s="20"/>
      <c r="N1366" s="14"/>
      <c r="O1366" s="15"/>
      <c r="P1366" s="22"/>
    </row>
    <row r="1367" spans="1:16" s="5" customFormat="1" x14ac:dyDescent="0.3">
      <c r="A1367" s="319" t="s">
        <v>115</v>
      </c>
      <c r="B1367" s="306"/>
      <c r="C1367" s="307"/>
      <c r="D1367" s="308" t="s">
        <v>1171</v>
      </c>
      <c r="E1367" s="309">
        <f>85+1</f>
        <v>86</v>
      </c>
      <c r="F1367" s="310" t="s">
        <v>249</v>
      </c>
      <c r="G1367" s="311"/>
      <c r="H1367" s="312">
        <f t="shared" si="190"/>
        <v>0</v>
      </c>
      <c r="I1367" s="313"/>
      <c r="J1367" s="307"/>
      <c r="K1367" s="16"/>
      <c r="L1367" s="17"/>
      <c r="M1367" s="20"/>
      <c r="N1367" s="14"/>
      <c r="O1367" s="15"/>
      <c r="P1367" s="22"/>
    </row>
    <row r="1368" spans="1:16" s="5" customFormat="1" x14ac:dyDescent="0.3">
      <c r="A1368" s="319" t="s">
        <v>619</v>
      </c>
      <c r="B1368" s="306"/>
      <c r="C1368" s="307"/>
      <c r="D1368" s="308" t="s">
        <v>1172</v>
      </c>
      <c r="E1368" s="309">
        <v>18</v>
      </c>
      <c r="F1368" s="310" t="s">
        <v>249</v>
      </c>
      <c r="G1368" s="311"/>
      <c r="H1368" s="312">
        <f t="shared" si="190"/>
        <v>0</v>
      </c>
      <c r="I1368" s="313"/>
      <c r="J1368" s="307"/>
      <c r="K1368" s="16"/>
      <c r="L1368" s="17"/>
      <c r="M1368" s="20"/>
      <c r="N1368" s="14"/>
      <c r="O1368" s="15"/>
      <c r="P1368" s="22"/>
    </row>
    <row r="1369" spans="1:16" s="5" customFormat="1" x14ac:dyDescent="0.3">
      <c r="A1369" s="319" t="s">
        <v>622</v>
      </c>
      <c r="B1369" s="306"/>
      <c r="C1369" s="307"/>
      <c r="D1369" s="308" t="s">
        <v>1173</v>
      </c>
      <c r="E1369" s="309">
        <v>48</v>
      </c>
      <c r="F1369" s="310" t="s">
        <v>249</v>
      </c>
      <c r="G1369" s="311"/>
      <c r="H1369" s="312">
        <f t="shared" si="190"/>
        <v>0</v>
      </c>
      <c r="I1369" s="313"/>
      <c r="J1369" s="307"/>
      <c r="K1369" s="16"/>
      <c r="L1369" s="17"/>
      <c r="M1369" s="20"/>
      <c r="N1369" s="14"/>
      <c r="O1369" s="15"/>
      <c r="P1369" s="22"/>
    </row>
    <row r="1370" spans="1:16" s="5" customFormat="1" x14ac:dyDescent="0.3">
      <c r="A1370" s="319" t="s">
        <v>624</v>
      </c>
      <c r="B1370" s="306"/>
      <c r="C1370" s="307"/>
      <c r="D1370" s="308" t="s">
        <v>1174</v>
      </c>
      <c r="E1370" s="309">
        <v>4</v>
      </c>
      <c r="F1370" s="310" t="s">
        <v>249</v>
      </c>
      <c r="G1370" s="311"/>
      <c r="H1370" s="312">
        <f t="shared" si="190"/>
        <v>0</v>
      </c>
      <c r="I1370" s="313"/>
      <c r="J1370" s="307"/>
      <c r="K1370" s="16"/>
      <c r="L1370" s="17"/>
      <c r="M1370" s="20"/>
      <c r="N1370" s="14"/>
      <c r="O1370" s="15"/>
      <c r="P1370" s="22"/>
    </row>
    <row r="1371" spans="1:16" s="5" customFormat="1" x14ac:dyDescent="0.3">
      <c r="A1371" s="319" t="s">
        <v>626</v>
      </c>
      <c r="B1371" s="306"/>
      <c r="C1371" s="307"/>
      <c r="D1371" s="308" t="s">
        <v>1175</v>
      </c>
      <c r="E1371" s="309">
        <v>43</v>
      </c>
      <c r="F1371" s="310" t="s">
        <v>249</v>
      </c>
      <c r="G1371" s="311"/>
      <c r="H1371" s="312">
        <f t="shared" si="190"/>
        <v>0</v>
      </c>
      <c r="I1371" s="313"/>
      <c r="J1371" s="307"/>
      <c r="K1371" s="16"/>
      <c r="L1371" s="17"/>
      <c r="M1371" s="20"/>
      <c r="N1371" s="14"/>
      <c r="O1371" s="15"/>
      <c r="P1371" s="22"/>
    </row>
    <row r="1372" spans="1:16" s="5" customFormat="1" x14ac:dyDescent="0.3">
      <c r="A1372" s="319" t="s">
        <v>628</v>
      </c>
      <c r="B1372" s="306"/>
      <c r="C1372" s="307"/>
      <c r="D1372" s="308" t="s">
        <v>1176</v>
      </c>
      <c r="E1372" s="309">
        <v>1</v>
      </c>
      <c r="F1372" s="310" t="s">
        <v>249</v>
      </c>
      <c r="G1372" s="311"/>
      <c r="H1372" s="312">
        <f t="shared" si="190"/>
        <v>0</v>
      </c>
      <c r="I1372" s="313"/>
      <c r="J1372" s="307"/>
      <c r="K1372" s="16"/>
      <c r="L1372" s="17"/>
      <c r="M1372" s="20"/>
      <c r="N1372" s="14"/>
      <c r="O1372" s="15"/>
      <c r="P1372" s="22"/>
    </row>
    <row r="1373" spans="1:16" s="5" customFormat="1" x14ac:dyDescent="0.3">
      <c r="A1373" s="319" t="s">
        <v>629</v>
      </c>
      <c r="B1373" s="306"/>
      <c r="C1373" s="307"/>
      <c r="D1373" s="308" t="s">
        <v>1177</v>
      </c>
      <c r="E1373" s="309">
        <v>1</v>
      </c>
      <c r="F1373" s="310" t="s">
        <v>249</v>
      </c>
      <c r="G1373" s="311"/>
      <c r="H1373" s="312">
        <f t="shared" si="190"/>
        <v>0</v>
      </c>
      <c r="I1373" s="313"/>
      <c r="J1373" s="307"/>
      <c r="K1373" s="16"/>
      <c r="L1373" s="17"/>
      <c r="M1373" s="20"/>
      <c r="N1373" s="14"/>
      <c r="O1373" s="15"/>
      <c r="P1373" s="22"/>
    </row>
    <row r="1374" spans="1:16" s="5" customFormat="1" x14ac:dyDescent="0.3">
      <c r="A1374" s="319" t="s">
        <v>630</v>
      </c>
      <c r="B1374" s="306"/>
      <c r="C1374" s="307"/>
      <c r="D1374" s="308" t="s">
        <v>1178</v>
      </c>
      <c r="E1374" s="309">
        <v>1</v>
      </c>
      <c r="F1374" s="310" t="s">
        <v>249</v>
      </c>
      <c r="G1374" s="311"/>
      <c r="H1374" s="312">
        <f t="shared" si="190"/>
        <v>0</v>
      </c>
      <c r="I1374" s="313"/>
      <c r="J1374" s="307"/>
      <c r="K1374" s="16"/>
      <c r="L1374" s="17"/>
      <c r="M1374" s="20"/>
      <c r="N1374" s="14"/>
      <c r="O1374" s="15"/>
      <c r="P1374" s="22"/>
    </row>
    <row r="1375" spans="1:16" s="5" customFormat="1" x14ac:dyDescent="0.3">
      <c r="A1375" s="319" t="s">
        <v>631</v>
      </c>
      <c r="B1375" s="306"/>
      <c r="C1375" s="307"/>
      <c r="D1375" s="308" t="s">
        <v>1179</v>
      </c>
      <c r="E1375" s="309">
        <v>1</v>
      </c>
      <c r="F1375" s="310" t="s">
        <v>100</v>
      </c>
      <c r="G1375" s="311"/>
      <c r="H1375" s="312">
        <f t="shared" si="190"/>
        <v>0</v>
      </c>
      <c r="I1375" s="313"/>
      <c r="J1375" s="307"/>
      <c r="K1375" s="16"/>
      <c r="L1375" s="17"/>
      <c r="M1375" s="20"/>
      <c r="N1375" s="14"/>
      <c r="O1375" s="15"/>
      <c r="P1375" s="22"/>
    </row>
    <row r="1376" spans="1:16" s="5" customFormat="1" x14ac:dyDescent="0.3">
      <c r="A1376" s="319" t="s">
        <v>633</v>
      </c>
      <c r="B1376" s="306"/>
      <c r="C1376" s="307"/>
      <c r="D1376" s="308" t="s">
        <v>1180</v>
      </c>
      <c r="E1376" s="309">
        <v>1</v>
      </c>
      <c r="F1376" s="310" t="s">
        <v>100</v>
      </c>
      <c r="G1376" s="311"/>
      <c r="H1376" s="312">
        <f t="shared" si="190"/>
        <v>0</v>
      </c>
      <c r="I1376" s="313"/>
      <c r="J1376" s="307"/>
      <c r="K1376" s="16"/>
      <c r="L1376" s="17"/>
      <c r="M1376" s="20"/>
      <c r="N1376" s="14"/>
      <c r="O1376" s="15"/>
      <c r="P1376" s="22"/>
    </row>
    <row r="1377" spans="1:16" s="5" customFormat="1" x14ac:dyDescent="0.3">
      <c r="A1377" s="319" t="s">
        <v>635</v>
      </c>
      <c r="B1377" s="306"/>
      <c r="C1377" s="307"/>
      <c r="D1377" s="308" t="s">
        <v>1181</v>
      </c>
      <c r="E1377" s="309">
        <v>1</v>
      </c>
      <c r="F1377" s="310" t="s">
        <v>100</v>
      </c>
      <c r="G1377" s="311"/>
      <c r="H1377" s="312">
        <f t="shared" si="190"/>
        <v>0</v>
      </c>
      <c r="I1377" s="313"/>
      <c r="J1377" s="307"/>
      <c r="K1377" s="16"/>
      <c r="L1377" s="17"/>
      <c r="M1377" s="20"/>
      <c r="N1377" s="14"/>
      <c r="O1377" s="15"/>
      <c r="P1377" s="22"/>
    </row>
    <row r="1378" spans="1:16" s="5" customFormat="1" x14ac:dyDescent="0.3">
      <c r="A1378" s="305"/>
      <c r="B1378" s="306"/>
      <c r="C1378" s="396"/>
      <c r="D1378" s="398"/>
      <c r="E1378" s="309"/>
      <c r="F1378" s="310"/>
      <c r="G1378" s="311"/>
      <c r="H1378" s="312"/>
      <c r="I1378" s="313"/>
      <c r="J1378" s="307"/>
      <c r="K1378" s="16"/>
      <c r="L1378" s="17"/>
      <c r="M1378" s="20"/>
      <c r="N1378" s="14"/>
      <c r="O1378" s="15"/>
      <c r="P1378" s="22"/>
    </row>
    <row r="1379" spans="1:16" s="34" customFormat="1" x14ac:dyDescent="0.3">
      <c r="A1379" s="482"/>
      <c r="B1379" s="462"/>
      <c r="C1379" s="436" t="s">
        <v>1182</v>
      </c>
      <c r="D1379" s="483"/>
      <c r="E1379" s="470"/>
      <c r="F1379" s="471"/>
      <c r="G1379" s="311"/>
      <c r="H1379" s="312"/>
      <c r="I1379" s="313"/>
      <c r="J1379" s="472"/>
      <c r="K1379" s="57"/>
      <c r="L1379" s="56"/>
      <c r="M1379" s="20"/>
      <c r="N1379" s="14"/>
      <c r="O1379" s="15"/>
      <c r="P1379" s="33"/>
    </row>
    <row r="1380" spans="1:16" s="5" customFormat="1" ht="30" customHeight="1" x14ac:dyDescent="0.3">
      <c r="A1380" s="305"/>
      <c r="B1380" s="306"/>
      <c r="C1380" s="394" t="s">
        <v>899</v>
      </c>
      <c r="D1380" s="395"/>
      <c r="E1380" s="309"/>
      <c r="F1380" s="310"/>
      <c r="G1380" s="311"/>
      <c r="H1380" s="312"/>
      <c r="I1380" s="313"/>
      <c r="J1380" s="307"/>
      <c r="K1380" s="16"/>
      <c r="L1380" s="17"/>
      <c r="M1380" s="20"/>
      <c r="N1380" s="14"/>
      <c r="O1380" s="15"/>
      <c r="P1380" s="22"/>
    </row>
    <row r="1381" spans="1:16" s="5" customFormat="1" ht="15" customHeight="1" x14ac:dyDescent="0.25">
      <c r="A1381" s="305" t="s">
        <v>637</v>
      </c>
      <c r="B1381" s="306"/>
      <c r="C1381" s="390"/>
      <c r="D1381" s="473" t="s">
        <v>1183</v>
      </c>
      <c r="E1381" s="309">
        <f>51+1</f>
        <v>52</v>
      </c>
      <c r="F1381" s="310" t="s">
        <v>249</v>
      </c>
      <c r="G1381" s="311"/>
      <c r="H1381" s="312">
        <f t="shared" ref="H1381:H1387" si="191">E1381*G1381</f>
        <v>0</v>
      </c>
      <c r="I1381" s="313"/>
      <c r="J1381" s="307"/>
      <c r="K1381" s="16"/>
      <c r="L1381" s="17"/>
      <c r="M1381" s="20"/>
      <c r="N1381" s="14"/>
      <c r="O1381" s="15"/>
      <c r="P1381" s="22"/>
    </row>
    <row r="1382" spans="1:16" s="5" customFormat="1" ht="15" customHeight="1" x14ac:dyDescent="0.25">
      <c r="A1382" s="305" t="s">
        <v>639</v>
      </c>
      <c r="B1382" s="306"/>
      <c r="C1382" s="390"/>
      <c r="D1382" s="473" t="s">
        <v>1184</v>
      </c>
      <c r="E1382" s="309">
        <v>99</v>
      </c>
      <c r="F1382" s="310" t="s">
        <v>249</v>
      </c>
      <c r="G1382" s="311"/>
      <c r="H1382" s="312">
        <f t="shared" si="191"/>
        <v>0</v>
      </c>
      <c r="I1382" s="313"/>
      <c r="J1382" s="307"/>
      <c r="K1382" s="16"/>
      <c r="L1382" s="17"/>
      <c r="M1382" s="20"/>
      <c r="N1382" s="14"/>
      <c r="O1382" s="15"/>
      <c r="P1382" s="22"/>
    </row>
    <row r="1383" spans="1:16" s="5" customFormat="1" ht="15" customHeight="1" x14ac:dyDescent="0.25">
      <c r="A1383" s="305" t="s">
        <v>641</v>
      </c>
      <c r="B1383" s="306"/>
      <c r="C1383" s="390"/>
      <c r="D1383" s="473" t="s">
        <v>1185</v>
      </c>
      <c r="E1383" s="309">
        <v>271</v>
      </c>
      <c r="F1383" s="310" t="s">
        <v>249</v>
      </c>
      <c r="G1383" s="311"/>
      <c r="H1383" s="312">
        <f t="shared" si="191"/>
        <v>0</v>
      </c>
      <c r="I1383" s="313"/>
      <c r="J1383" s="307"/>
      <c r="K1383" s="16"/>
      <c r="L1383" s="17"/>
      <c r="M1383" s="20"/>
      <c r="N1383" s="14"/>
      <c r="O1383" s="15"/>
      <c r="P1383" s="22"/>
    </row>
    <row r="1384" spans="1:16" s="5" customFormat="1" ht="15" customHeight="1" x14ac:dyDescent="0.25">
      <c r="A1384" s="305" t="s">
        <v>643</v>
      </c>
      <c r="B1384" s="306"/>
      <c r="C1384" s="390"/>
      <c r="D1384" s="473" t="s">
        <v>1186</v>
      </c>
      <c r="E1384" s="309">
        <v>1</v>
      </c>
      <c r="F1384" s="310" t="s">
        <v>249</v>
      </c>
      <c r="G1384" s="311"/>
      <c r="H1384" s="312">
        <f t="shared" si="191"/>
        <v>0</v>
      </c>
      <c r="I1384" s="313"/>
      <c r="J1384" s="307"/>
      <c r="K1384" s="16"/>
      <c r="L1384" s="17"/>
      <c r="M1384" s="20"/>
      <c r="N1384" s="14"/>
      <c r="O1384" s="15"/>
      <c r="P1384" s="22"/>
    </row>
    <row r="1385" spans="1:16" s="5" customFormat="1" ht="15" customHeight="1" x14ac:dyDescent="0.25">
      <c r="A1385" s="305" t="s">
        <v>645</v>
      </c>
      <c r="B1385" s="306"/>
      <c r="C1385" s="390"/>
      <c r="D1385" s="473" t="s">
        <v>1187</v>
      </c>
      <c r="E1385" s="309">
        <v>1</v>
      </c>
      <c r="F1385" s="310" t="s">
        <v>249</v>
      </c>
      <c r="G1385" s="311"/>
      <c r="H1385" s="312">
        <f t="shared" si="191"/>
        <v>0</v>
      </c>
      <c r="I1385" s="313"/>
      <c r="J1385" s="307"/>
      <c r="K1385" s="16"/>
      <c r="L1385" s="17"/>
      <c r="M1385" s="20"/>
      <c r="N1385" s="14"/>
      <c r="O1385" s="15"/>
      <c r="P1385" s="22"/>
    </row>
    <row r="1386" spans="1:16" s="5" customFormat="1" ht="15" customHeight="1" x14ac:dyDescent="0.25">
      <c r="A1386" s="305" t="s">
        <v>647</v>
      </c>
      <c r="B1386" s="306"/>
      <c r="C1386" s="390"/>
      <c r="D1386" s="473" t="s">
        <v>1188</v>
      </c>
      <c r="E1386" s="309">
        <v>1</v>
      </c>
      <c r="F1386" s="310" t="s">
        <v>249</v>
      </c>
      <c r="G1386" s="311"/>
      <c r="H1386" s="312">
        <f t="shared" si="191"/>
        <v>0</v>
      </c>
      <c r="I1386" s="313"/>
      <c r="J1386" s="307"/>
      <c r="K1386" s="16"/>
      <c r="L1386" s="17"/>
      <c r="M1386" s="20"/>
      <c r="N1386" s="14"/>
      <c r="O1386" s="15"/>
      <c r="P1386" s="22"/>
    </row>
    <row r="1387" spans="1:16" s="5" customFormat="1" ht="15" customHeight="1" x14ac:dyDescent="0.25">
      <c r="A1387" s="305" t="s">
        <v>649</v>
      </c>
      <c r="B1387" s="306"/>
      <c r="C1387" s="390"/>
      <c r="D1387" s="473" t="s">
        <v>1189</v>
      </c>
      <c r="E1387" s="309">
        <v>1</v>
      </c>
      <c r="F1387" s="310" t="s">
        <v>249</v>
      </c>
      <c r="G1387" s="311"/>
      <c r="H1387" s="312">
        <f t="shared" si="191"/>
        <v>0</v>
      </c>
      <c r="I1387" s="313"/>
      <c r="J1387" s="307"/>
      <c r="K1387" s="16"/>
      <c r="L1387" s="17"/>
      <c r="M1387" s="20"/>
      <c r="N1387" s="14"/>
      <c r="O1387" s="15"/>
      <c r="P1387" s="22"/>
    </row>
    <row r="1388" spans="1:16" s="5" customFormat="1" ht="9.75" customHeight="1" x14ac:dyDescent="0.3">
      <c r="A1388" s="305"/>
      <c r="B1388" s="306"/>
      <c r="C1388" s="396"/>
      <c r="D1388" s="398"/>
      <c r="E1388" s="309"/>
      <c r="F1388" s="310"/>
      <c r="G1388" s="311"/>
      <c r="H1388" s="312"/>
      <c r="I1388" s="313"/>
      <c r="J1388" s="307"/>
      <c r="K1388" s="16"/>
      <c r="L1388" s="17"/>
      <c r="M1388" s="20"/>
      <c r="N1388" s="14"/>
      <c r="O1388" s="15"/>
      <c r="P1388" s="22"/>
    </row>
    <row r="1389" spans="1:16" s="5" customFormat="1" ht="30" customHeight="1" x14ac:dyDescent="0.3">
      <c r="A1389" s="305"/>
      <c r="B1389" s="306"/>
      <c r="C1389" s="394" t="s">
        <v>922</v>
      </c>
      <c r="D1389" s="395"/>
      <c r="E1389" s="309"/>
      <c r="F1389" s="310"/>
      <c r="G1389" s="311"/>
      <c r="H1389" s="312"/>
      <c r="I1389" s="313"/>
      <c r="J1389" s="307"/>
      <c r="K1389" s="16"/>
      <c r="L1389" s="17"/>
      <c r="M1389" s="20"/>
      <c r="N1389" s="14"/>
      <c r="O1389" s="15"/>
      <c r="P1389" s="22"/>
    </row>
    <row r="1390" spans="1:16" s="5" customFormat="1" ht="15" customHeight="1" x14ac:dyDescent="0.25">
      <c r="A1390" s="305" t="s">
        <v>651</v>
      </c>
      <c r="B1390" s="306"/>
      <c r="C1390" s="390"/>
      <c r="D1390" s="473" t="s">
        <v>1183</v>
      </c>
      <c r="E1390" s="309">
        <f>51+1</f>
        <v>52</v>
      </c>
      <c r="F1390" s="310" t="s">
        <v>249</v>
      </c>
      <c r="G1390" s="311"/>
      <c r="H1390" s="312">
        <f t="shared" ref="H1390:H1396" si="192">E1390*G1390</f>
        <v>0</v>
      </c>
      <c r="I1390" s="313"/>
      <c r="J1390" s="307"/>
      <c r="K1390" s="16"/>
      <c r="L1390" s="17"/>
      <c r="M1390" s="20"/>
      <c r="N1390" s="14"/>
      <c r="O1390" s="15"/>
      <c r="P1390" s="22"/>
    </row>
    <row r="1391" spans="1:16" s="5" customFormat="1" ht="15" customHeight="1" x14ac:dyDescent="0.25">
      <c r="A1391" s="305" t="s">
        <v>653</v>
      </c>
      <c r="B1391" s="306"/>
      <c r="C1391" s="390"/>
      <c r="D1391" s="473" t="s">
        <v>1184</v>
      </c>
      <c r="E1391" s="309">
        <v>99</v>
      </c>
      <c r="F1391" s="310" t="s">
        <v>249</v>
      </c>
      <c r="G1391" s="311"/>
      <c r="H1391" s="312">
        <f t="shared" si="192"/>
        <v>0</v>
      </c>
      <c r="I1391" s="313"/>
      <c r="J1391" s="307"/>
      <c r="K1391" s="16"/>
      <c r="L1391" s="17"/>
      <c r="M1391" s="20"/>
      <c r="N1391" s="14"/>
      <c r="O1391" s="15"/>
      <c r="P1391" s="22"/>
    </row>
    <row r="1392" spans="1:16" s="5" customFormat="1" ht="15" customHeight="1" x14ac:dyDescent="0.25">
      <c r="A1392" s="305" t="s">
        <v>655</v>
      </c>
      <c r="B1392" s="306"/>
      <c r="C1392" s="390"/>
      <c r="D1392" s="473" t="s">
        <v>1185</v>
      </c>
      <c r="E1392" s="309">
        <v>271</v>
      </c>
      <c r="F1392" s="310" t="s">
        <v>249</v>
      </c>
      <c r="G1392" s="311"/>
      <c r="H1392" s="312">
        <f t="shared" si="192"/>
        <v>0</v>
      </c>
      <c r="I1392" s="313"/>
      <c r="J1392" s="307"/>
      <c r="K1392" s="16"/>
      <c r="L1392" s="17"/>
      <c r="M1392" s="20"/>
      <c r="N1392" s="14"/>
      <c r="O1392" s="15"/>
      <c r="P1392" s="22"/>
    </row>
    <row r="1393" spans="1:16" s="5" customFormat="1" ht="15" customHeight="1" x14ac:dyDescent="0.25">
      <c r="A1393" s="305" t="s">
        <v>657</v>
      </c>
      <c r="B1393" s="306"/>
      <c r="C1393" s="390"/>
      <c r="D1393" s="473" t="s">
        <v>1186</v>
      </c>
      <c r="E1393" s="309">
        <v>1</v>
      </c>
      <c r="F1393" s="310" t="s">
        <v>249</v>
      </c>
      <c r="G1393" s="311"/>
      <c r="H1393" s="312">
        <f t="shared" si="192"/>
        <v>0</v>
      </c>
      <c r="I1393" s="313"/>
      <c r="J1393" s="307"/>
      <c r="K1393" s="16"/>
      <c r="L1393" s="17"/>
      <c r="M1393" s="20"/>
      <c r="N1393" s="14"/>
      <c r="O1393" s="15"/>
      <c r="P1393" s="22"/>
    </row>
    <row r="1394" spans="1:16" s="5" customFormat="1" ht="15" customHeight="1" x14ac:dyDescent="0.25">
      <c r="A1394" s="305" t="s">
        <v>659</v>
      </c>
      <c r="B1394" s="306"/>
      <c r="C1394" s="390"/>
      <c r="D1394" s="473" t="s">
        <v>1187</v>
      </c>
      <c r="E1394" s="309">
        <v>1</v>
      </c>
      <c r="F1394" s="310" t="s">
        <v>249</v>
      </c>
      <c r="G1394" s="311"/>
      <c r="H1394" s="312">
        <f t="shared" si="192"/>
        <v>0</v>
      </c>
      <c r="I1394" s="313"/>
      <c r="J1394" s="307"/>
      <c r="K1394" s="16"/>
      <c r="L1394" s="17"/>
      <c r="M1394" s="20"/>
      <c r="N1394" s="14"/>
      <c r="O1394" s="15"/>
      <c r="P1394" s="22"/>
    </row>
    <row r="1395" spans="1:16" s="5" customFormat="1" ht="15" customHeight="1" x14ac:dyDescent="0.25">
      <c r="A1395" s="305" t="s">
        <v>661</v>
      </c>
      <c r="B1395" s="306"/>
      <c r="C1395" s="390"/>
      <c r="D1395" s="473" t="s">
        <v>1188</v>
      </c>
      <c r="E1395" s="309">
        <v>1</v>
      </c>
      <c r="F1395" s="310" t="s">
        <v>249</v>
      </c>
      <c r="G1395" s="311"/>
      <c r="H1395" s="312">
        <f t="shared" si="192"/>
        <v>0</v>
      </c>
      <c r="I1395" s="313"/>
      <c r="J1395" s="307"/>
      <c r="K1395" s="16"/>
      <c r="L1395" s="17"/>
      <c r="M1395" s="20"/>
      <c r="N1395" s="14"/>
      <c r="O1395" s="15"/>
      <c r="P1395" s="22"/>
    </row>
    <row r="1396" spans="1:16" s="5" customFormat="1" ht="15" customHeight="1" x14ac:dyDescent="0.25">
      <c r="A1396" s="305" t="s">
        <v>663</v>
      </c>
      <c r="B1396" s="306"/>
      <c r="C1396" s="390"/>
      <c r="D1396" s="473" t="s">
        <v>1189</v>
      </c>
      <c r="E1396" s="309">
        <v>1</v>
      </c>
      <c r="F1396" s="310" t="s">
        <v>249</v>
      </c>
      <c r="G1396" s="311"/>
      <c r="H1396" s="312">
        <f t="shared" si="192"/>
        <v>0</v>
      </c>
      <c r="I1396" s="313"/>
      <c r="J1396" s="307"/>
      <c r="K1396" s="16"/>
      <c r="L1396" s="17"/>
      <c r="M1396" s="20"/>
      <c r="N1396" s="14"/>
      <c r="O1396" s="15"/>
      <c r="P1396" s="22"/>
    </row>
    <row r="1397" spans="1:16" s="5" customFormat="1" ht="11.1" customHeight="1" x14ac:dyDescent="0.3">
      <c r="A1397" s="305"/>
      <c r="B1397" s="306"/>
      <c r="C1397" s="396"/>
      <c r="D1397" s="398"/>
      <c r="E1397" s="309"/>
      <c r="F1397" s="310"/>
      <c r="G1397" s="311"/>
      <c r="H1397" s="312"/>
      <c r="I1397" s="313"/>
      <c r="J1397" s="307"/>
      <c r="K1397" s="16"/>
      <c r="L1397" s="17"/>
      <c r="M1397" s="20"/>
      <c r="N1397" s="14"/>
      <c r="O1397" s="15"/>
      <c r="P1397" s="22"/>
    </row>
    <row r="1398" spans="1:16" s="34" customFormat="1" x14ac:dyDescent="0.3">
      <c r="A1398" s="482"/>
      <c r="B1398" s="462"/>
      <c r="C1398" s="436" t="s">
        <v>1190</v>
      </c>
      <c r="D1398" s="483"/>
      <c r="E1398" s="470"/>
      <c r="F1398" s="471"/>
      <c r="G1398" s="311"/>
      <c r="H1398" s="312"/>
      <c r="I1398" s="313"/>
      <c r="J1398" s="472"/>
      <c r="K1398" s="57"/>
      <c r="L1398" s="56"/>
      <c r="M1398" s="20"/>
      <c r="N1398" s="14"/>
      <c r="O1398" s="15"/>
      <c r="P1398" s="33"/>
    </row>
    <row r="1399" spans="1:16" s="5" customFormat="1" ht="30" customHeight="1" x14ac:dyDescent="0.3">
      <c r="A1399" s="305"/>
      <c r="B1399" s="306"/>
      <c r="C1399" s="394" t="s">
        <v>899</v>
      </c>
      <c r="D1399" s="395"/>
      <c r="E1399" s="309"/>
      <c r="F1399" s="310"/>
      <c r="G1399" s="311"/>
      <c r="H1399" s="312"/>
      <c r="I1399" s="313"/>
      <c r="J1399" s="307"/>
      <c r="K1399" s="16"/>
      <c r="L1399" s="17"/>
      <c r="M1399" s="20"/>
      <c r="N1399" s="14"/>
      <c r="O1399" s="15"/>
      <c r="P1399" s="22"/>
    </row>
    <row r="1400" spans="1:16" s="5" customFormat="1" ht="15" customHeight="1" x14ac:dyDescent="0.25">
      <c r="A1400" s="305" t="s">
        <v>664</v>
      </c>
      <c r="B1400" s="306"/>
      <c r="C1400" s="390"/>
      <c r="D1400" s="466" t="s">
        <v>1191</v>
      </c>
      <c r="E1400" s="309">
        <v>4</v>
      </c>
      <c r="F1400" s="310" t="s">
        <v>249</v>
      </c>
      <c r="G1400" s="311"/>
      <c r="H1400" s="312">
        <f t="shared" ref="H1400:H1403" si="193">E1400*G1400</f>
        <v>0</v>
      </c>
      <c r="I1400" s="313"/>
      <c r="J1400" s="307"/>
      <c r="K1400" s="16"/>
      <c r="L1400" s="17"/>
      <c r="M1400" s="20"/>
      <c r="N1400" s="14"/>
      <c r="O1400" s="15"/>
      <c r="P1400" s="22"/>
    </row>
    <row r="1401" spans="1:16" s="5" customFormat="1" ht="15" customHeight="1" x14ac:dyDescent="0.25">
      <c r="A1401" s="305" t="s">
        <v>821</v>
      </c>
      <c r="B1401" s="306"/>
      <c r="C1401" s="390"/>
      <c r="D1401" s="466" t="s">
        <v>1192</v>
      </c>
      <c r="E1401" s="309">
        <v>4</v>
      </c>
      <c r="F1401" s="310" t="s">
        <v>249</v>
      </c>
      <c r="G1401" s="311"/>
      <c r="H1401" s="312">
        <f t="shared" si="193"/>
        <v>0</v>
      </c>
      <c r="I1401" s="313"/>
      <c r="J1401" s="307"/>
      <c r="K1401" s="16"/>
      <c r="L1401" s="17"/>
      <c r="M1401" s="20"/>
      <c r="N1401" s="14"/>
      <c r="O1401" s="15"/>
      <c r="P1401" s="22"/>
    </row>
    <row r="1402" spans="1:16" s="5" customFormat="1" ht="15" customHeight="1" x14ac:dyDescent="0.25">
      <c r="A1402" s="305" t="s">
        <v>667</v>
      </c>
      <c r="B1402" s="306"/>
      <c r="C1402" s="390"/>
      <c r="D1402" s="466" t="s">
        <v>1193</v>
      </c>
      <c r="E1402" s="309">
        <v>4</v>
      </c>
      <c r="F1402" s="310" t="s">
        <v>249</v>
      </c>
      <c r="G1402" s="311"/>
      <c r="H1402" s="312">
        <f t="shared" si="193"/>
        <v>0</v>
      </c>
      <c r="I1402" s="313"/>
      <c r="J1402" s="307"/>
      <c r="K1402" s="16"/>
      <c r="L1402" s="17"/>
      <c r="M1402" s="20"/>
      <c r="N1402" s="14"/>
      <c r="O1402" s="15"/>
      <c r="P1402" s="22"/>
    </row>
    <row r="1403" spans="1:16" s="5" customFormat="1" ht="15" customHeight="1" x14ac:dyDescent="0.25">
      <c r="A1403" s="305" t="s">
        <v>670</v>
      </c>
      <c r="B1403" s="306"/>
      <c r="C1403" s="390"/>
      <c r="D1403" s="466" t="s">
        <v>1194</v>
      </c>
      <c r="E1403" s="309">
        <v>1</v>
      </c>
      <c r="F1403" s="310" t="s">
        <v>249</v>
      </c>
      <c r="G1403" s="311"/>
      <c r="H1403" s="312">
        <f t="shared" si="193"/>
        <v>0</v>
      </c>
      <c r="I1403" s="313"/>
      <c r="J1403" s="307"/>
      <c r="K1403" s="16"/>
      <c r="L1403" s="17"/>
      <c r="M1403" s="20"/>
      <c r="N1403" s="14"/>
      <c r="O1403" s="15"/>
      <c r="P1403" s="22"/>
    </row>
    <row r="1404" spans="1:16" s="5" customFormat="1" x14ac:dyDescent="0.3">
      <c r="A1404" s="401"/>
      <c r="B1404" s="402"/>
      <c r="C1404" s="484"/>
      <c r="D1404" s="413"/>
      <c r="E1404" s="432"/>
      <c r="F1404" s="433"/>
      <c r="G1404" s="407"/>
      <c r="H1404" s="408"/>
      <c r="I1404" s="409"/>
      <c r="J1404" s="307"/>
      <c r="K1404" s="16"/>
      <c r="L1404" s="17"/>
      <c r="M1404" s="20"/>
      <c r="N1404" s="14"/>
      <c r="O1404" s="15"/>
      <c r="P1404" s="22"/>
    </row>
    <row r="1405" spans="1:16" s="5" customFormat="1" ht="30" customHeight="1" x14ac:dyDescent="0.3">
      <c r="A1405" s="305"/>
      <c r="B1405" s="306"/>
      <c r="C1405" s="394" t="s">
        <v>922</v>
      </c>
      <c r="D1405" s="395" t="s">
        <v>922</v>
      </c>
      <c r="E1405" s="309"/>
      <c r="F1405" s="310"/>
      <c r="G1405" s="311"/>
      <c r="H1405" s="312"/>
      <c r="I1405" s="313"/>
      <c r="J1405" s="307"/>
      <c r="K1405" s="16"/>
      <c r="L1405" s="17"/>
      <c r="M1405" s="20"/>
      <c r="N1405" s="14"/>
      <c r="O1405" s="15"/>
      <c r="P1405" s="22"/>
    </row>
    <row r="1406" spans="1:16" s="5" customFormat="1" ht="15" customHeight="1" x14ac:dyDescent="0.25">
      <c r="A1406" s="305" t="s">
        <v>672</v>
      </c>
      <c r="B1406" s="306"/>
      <c r="C1406" s="390"/>
      <c r="D1406" s="466" t="s">
        <v>1191</v>
      </c>
      <c r="E1406" s="309">
        <v>4</v>
      </c>
      <c r="F1406" s="310" t="s">
        <v>249</v>
      </c>
      <c r="G1406" s="311"/>
      <c r="H1406" s="312">
        <f t="shared" ref="H1406:H1409" si="194">E1406*G1406</f>
        <v>0</v>
      </c>
      <c r="I1406" s="313"/>
      <c r="J1406" s="307"/>
      <c r="K1406" s="16"/>
      <c r="L1406" s="17"/>
      <c r="M1406" s="20"/>
      <c r="N1406" s="14"/>
      <c r="O1406" s="15"/>
      <c r="P1406" s="22"/>
    </row>
    <row r="1407" spans="1:16" s="5" customFormat="1" ht="15" customHeight="1" x14ac:dyDescent="0.25">
      <c r="A1407" s="305" t="s">
        <v>674</v>
      </c>
      <c r="B1407" s="306"/>
      <c r="C1407" s="390"/>
      <c r="D1407" s="466" t="s">
        <v>1192</v>
      </c>
      <c r="E1407" s="309">
        <v>4</v>
      </c>
      <c r="F1407" s="310" t="s">
        <v>249</v>
      </c>
      <c r="G1407" s="311"/>
      <c r="H1407" s="312">
        <f t="shared" si="194"/>
        <v>0</v>
      </c>
      <c r="I1407" s="313"/>
      <c r="J1407" s="307"/>
      <c r="K1407" s="16"/>
      <c r="L1407" s="17"/>
      <c r="M1407" s="20"/>
      <c r="N1407" s="14"/>
      <c r="O1407" s="15"/>
      <c r="P1407" s="22"/>
    </row>
    <row r="1408" spans="1:16" s="5" customFormat="1" ht="32.1" customHeight="1" x14ac:dyDescent="0.25">
      <c r="A1408" s="319" t="s">
        <v>676</v>
      </c>
      <c r="B1408" s="306"/>
      <c r="C1408" s="390"/>
      <c r="D1408" s="466" t="s">
        <v>1193</v>
      </c>
      <c r="E1408" s="309">
        <v>4</v>
      </c>
      <c r="F1408" s="310" t="s">
        <v>249</v>
      </c>
      <c r="G1408" s="311"/>
      <c r="H1408" s="312">
        <f t="shared" si="194"/>
        <v>0</v>
      </c>
      <c r="I1408" s="313"/>
      <c r="J1408" s="307"/>
      <c r="K1408" s="16"/>
      <c r="L1408" s="17"/>
      <c r="M1408" s="20"/>
      <c r="N1408" s="14"/>
      <c r="O1408" s="15"/>
      <c r="P1408" s="22"/>
    </row>
    <row r="1409" spans="1:16" s="5" customFormat="1" ht="15" customHeight="1" x14ac:dyDescent="0.25">
      <c r="A1409" s="319" t="s">
        <v>678</v>
      </c>
      <c r="B1409" s="306"/>
      <c r="C1409" s="390"/>
      <c r="D1409" s="466" t="s">
        <v>1194</v>
      </c>
      <c r="E1409" s="309">
        <v>1</v>
      </c>
      <c r="F1409" s="310" t="s">
        <v>249</v>
      </c>
      <c r="G1409" s="311"/>
      <c r="H1409" s="312">
        <f t="shared" si="194"/>
        <v>0</v>
      </c>
      <c r="I1409" s="313"/>
      <c r="J1409" s="307"/>
      <c r="K1409" s="16"/>
      <c r="L1409" s="17"/>
      <c r="M1409" s="20"/>
      <c r="N1409" s="14"/>
      <c r="O1409" s="15"/>
      <c r="P1409" s="22"/>
    </row>
    <row r="1410" spans="1:16" s="5" customFormat="1" x14ac:dyDescent="0.3">
      <c r="A1410" s="305"/>
      <c r="B1410" s="306"/>
      <c r="C1410" s="396"/>
      <c r="D1410" s="398"/>
      <c r="E1410" s="309"/>
      <c r="F1410" s="310"/>
      <c r="G1410" s="311"/>
      <c r="H1410" s="312"/>
      <c r="I1410" s="313"/>
      <c r="J1410" s="307"/>
      <c r="K1410" s="16"/>
      <c r="L1410" s="17"/>
      <c r="M1410" s="20"/>
      <c r="N1410" s="14"/>
      <c r="O1410" s="15"/>
      <c r="P1410" s="22"/>
    </row>
    <row r="1411" spans="1:16" s="5" customFormat="1" x14ac:dyDescent="0.3">
      <c r="A1411" s="319"/>
      <c r="B1411" s="306"/>
      <c r="C1411" s="436" t="s">
        <v>1195</v>
      </c>
      <c r="D1411" s="483"/>
      <c r="E1411" s="309"/>
      <c r="F1411" s="310"/>
      <c r="G1411" s="311"/>
      <c r="H1411" s="312"/>
      <c r="I1411" s="313"/>
      <c r="J1411" s="307"/>
      <c r="K1411" s="16"/>
      <c r="L1411" s="17"/>
      <c r="M1411" s="20"/>
      <c r="N1411" s="14"/>
      <c r="O1411" s="15"/>
      <c r="P1411" s="22"/>
    </row>
    <row r="1412" spans="1:16" s="5" customFormat="1" ht="30" customHeight="1" x14ac:dyDescent="0.3">
      <c r="A1412" s="319"/>
      <c r="B1412" s="306"/>
      <c r="C1412" s="394" t="s">
        <v>899</v>
      </c>
      <c r="D1412" s="395"/>
      <c r="E1412" s="309"/>
      <c r="F1412" s="310"/>
      <c r="G1412" s="311"/>
      <c r="H1412" s="312"/>
      <c r="I1412" s="313"/>
      <c r="J1412" s="307"/>
      <c r="K1412" s="16"/>
      <c r="L1412" s="17"/>
      <c r="M1412" s="20"/>
      <c r="N1412" s="14"/>
      <c r="O1412" s="15"/>
      <c r="P1412" s="22"/>
    </row>
    <row r="1413" spans="1:16" s="5" customFormat="1" x14ac:dyDescent="0.3">
      <c r="A1413" s="319" t="s">
        <v>681</v>
      </c>
      <c r="B1413" s="306"/>
      <c r="C1413" s="307"/>
      <c r="D1413" s="308" t="s">
        <v>1196</v>
      </c>
      <c r="E1413" s="309">
        <v>51</v>
      </c>
      <c r="F1413" s="310" t="s">
        <v>249</v>
      </c>
      <c r="G1413" s="311"/>
      <c r="H1413" s="312">
        <f t="shared" ref="H1413" si="195">E1413*G1413</f>
        <v>0</v>
      </c>
      <c r="I1413" s="313"/>
      <c r="J1413" s="307"/>
      <c r="K1413" s="16"/>
      <c r="L1413" s="17"/>
      <c r="M1413" s="20"/>
      <c r="N1413" s="14"/>
      <c r="O1413" s="15"/>
      <c r="P1413" s="22"/>
    </row>
    <row r="1414" spans="1:16" s="5" customFormat="1" x14ac:dyDescent="0.3">
      <c r="A1414" s="319"/>
      <c r="B1414" s="306"/>
      <c r="C1414" s="307"/>
      <c r="D1414" s="308"/>
      <c r="E1414" s="309"/>
      <c r="F1414" s="310"/>
      <c r="G1414" s="311"/>
      <c r="H1414" s="312"/>
      <c r="I1414" s="313"/>
      <c r="J1414" s="307"/>
      <c r="K1414" s="16"/>
      <c r="L1414" s="17"/>
      <c r="M1414" s="20"/>
      <c r="N1414" s="14"/>
      <c r="O1414" s="15"/>
      <c r="P1414" s="22"/>
    </row>
    <row r="1415" spans="1:16" s="5" customFormat="1" ht="30" customHeight="1" x14ac:dyDescent="0.3">
      <c r="A1415" s="319"/>
      <c r="B1415" s="306"/>
      <c r="C1415" s="394" t="s">
        <v>922</v>
      </c>
      <c r="D1415" s="395" t="s">
        <v>922</v>
      </c>
      <c r="E1415" s="309"/>
      <c r="F1415" s="310"/>
      <c r="G1415" s="311"/>
      <c r="H1415" s="312"/>
      <c r="I1415" s="313"/>
      <c r="J1415" s="307"/>
      <c r="K1415" s="16"/>
      <c r="L1415" s="17"/>
      <c r="M1415" s="20"/>
      <c r="N1415" s="14"/>
      <c r="O1415" s="15"/>
      <c r="P1415" s="22"/>
    </row>
    <row r="1416" spans="1:16" s="5" customFormat="1" x14ac:dyDescent="0.3">
      <c r="A1416" s="319" t="s">
        <v>683</v>
      </c>
      <c r="B1416" s="306"/>
      <c r="C1416" s="307"/>
      <c r="D1416" s="308" t="s">
        <v>1196</v>
      </c>
      <c r="E1416" s="309">
        <v>51</v>
      </c>
      <c r="F1416" s="310" t="s">
        <v>249</v>
      </c>
      <c r="G1416" s="311"/>
      <c r="H1416" s="312">
        <f t="shared" ref="H1416" si="196">E1416*G1416</f>
        <v>0</v>
      </c>
      <c r="I1416" s="313"/>
      <c r="J1416" s="307"/>
      <c r="K1416" s="16"/>
      <c r="L1416" s="17"/>
      <c r="M1416" s="20"/>
      <c r="N1416" s="14"/>
      <c r="O1416" s="15"/>
      <c r="P1416" s="22"/>
    </row>
    <row r="1417" spans="1:16" s="5" customFormat="1" x14ac:dyDescent="0.3">
      <c r="A1417" s="319"/>
      <c r="B1417" s="306"/>
      <c r="C1417" s="307"/>
      <c r="D1417" s="308"/>
      <c r="E1417" s="309"/>
      <c r="F1417" s="310"/>
      <c r="G1417" s="311"/>
      <c r="H1417" s="312"/>
      <c r="I1417" s="313"/>
      <c r="J1417" s="307"/>
      <c r="K1417" s="16"/>
      <c r="L1417" s="17"/>
      <c r="M1417" s="20"/>
      <c r="N1417" s="14"/>
      <c r="O1417" s="15"/>
      <c r="P1417" s="22"/>
    </row>
    <row r="1418" spans="1:16" s="5" customFormat="1" ht="30" customHeight="1" x14ac:dyDescent="0.3">
      <c r="A1418" s="319"/>
      <c r="B1418" s="306"/>
      <c r="C1418" s="394" t="s">
        <v>966</v>
      </c>
      <c r="D1418" s="395"/>
      <c r="E1418" s="309"/>
      <c r="F1418" s="310"/>
      <c r="G1418" s="311"/>
      <c r="H1418" s="312"/>
      <c r="I1418" s="313"/>
      <c r="J1418" s="307"/>
      <c r="K1418" s="16"/>
      <c r="L1418" s="17"/>
      <c r="M1418" s="20"/>
      <c r="N1418" s="14"/>
      <c r="O1418" s="15"/>
      <c r="P1418" s="22"/>
    </row>
    <row r="1419" spans="1:16" s="5" customFormat="1" ht="27.6" x14ac:dyDescent="0.3">
      <c r="A1419" s="319" t="s">
        <v>685</v>
      </c>
      <c r="B1419" s="306"/>
      <c r="C1419" s="307"/>
      <c r="D1419" s="308" t="s">
        <v>1197</v>
      </c>
      <c r="E1419" s="309">
        <v>1</v>
      </c>
      <c r="F1419" s="310" t="s">
        <v>100</v>
      </c>
      <c r="G1419" s="311"/>
      <c r="H1419" s="312">
        <f t="shared" ref="H1419" si="197">E1419*G1419</f>
        <v>0</v>
      </c>
      <c r="I1419" s="313"/>
      <c r="J1419" s="307"/>
      <c r="K1419" s="16"/>
      <c r="L1419" s="17"/>
      <c r="M1419" s="20"/>
      <c r="N1419" s="14"/>
      <c r="O1419" s="15"/>
      <c r="P1419" s="22"/>
    </row>
    <row r="1420" spans="1:16" s="5" customFormat="1" x14ac:dyDescent="0.3">
      <c r="A1420" s="319"/>
      <c r="B1420" s="306"/>
      <c r="C1420" s="307"/>
      <c r="D1420" s="308"/>
      <c r="E1420" s="309"/>
      <c r="F1420" s="310"/>
      <c r="G1420" s="311"/>
      <c r="H1420" s="312"/>
      <c r="I1420" s="313"/>
      <c r="J1420" s="307"/>
      <c r="K1420" s="16"/>
      <c r="L1420" s="17"/>
      <c r="M1420" s="20"/>
      <c r="N1420" s="14"/>
      <c r="O1420" s="15"/>
      <c r="P1420" s="22"/>
    </row>
    <row r="1421" spans="1:16" s="5" customFormat="1" ht="15" customHeight="1" x14ac:dyDescent="0.3">
      <c r="A1421" s="305">
        <v>5.13</v>
      </c>
      <c r="B1421" s="306"/>
      <c r="C1421" s="390" t="s">
        <v>1198</v>
      </c>
      <c r="D1421" s="385"/>
      <c r="E1421" s="309"/>
      <c r="F1421" s="310"/>
      <c r="G1421" s="311"/>
      <c r="H1421" s="312"/>
      <c r="I1421" s="313"/>
      <c r="J1421" s="307"/>
      <c r="K1421" s="16"/>
      <c r="L1421" s="17"/>
      <c r="M1421" s="20"/>
      <c r="N1421" s="14"/>
      <c r="O1421" s="15"/>
      <c r="P1421" s="22"/>
    </row>
    <row r="1422" spans="1:16" s="5" customFormat="1" ht="15" customHeight="1" x14ac:dyDescent="0.3">
      <c r="A1422" s="305"/>
      <c r="B1422" s="306"/>
      <c r="C1422" s="436" t="s">
        <v>1199</v>
      </c>
      <c r="D1422" s="385"/>
      <c r="E1422" s="309"/>
      <c r="F1422" s="310"/>
      <c r="G1422" s="311"/>
      <c r="H1422" s="312"/>
      <c r="I1422" s="313"/>
      <c r="J1422" s="307"/>
      <c r="K1422" s="16"/>
      <c r="L1422" s="17"/>
      <c r="M1422" s="20"/>
      <c r="N1422" s="14"/>
      <c r="O1422" s="15"/>
      <c r="P1422" s="22"/>
    </row>
    <row r="1423" spans="1:16" s="5" customFormat="1" ht="27.6" x14ac:dyDescent="0.3">
      <c r="A1423" s="319" t="s">
        <v>19</v>
      </c>
      <c r="B1423" s="306"/>
      <c r="C1423" s="307"/>
      <c r="D1423" s="308" t="s">
        <v>1200</v>
      </c>
      <c r="E1423" s="309">
        <v>1</v>
      </c>
      <c r="F1423" s="310" t="s">
        <v>100</v>
      </c>
      <c r="G1423" s="311"/>
      <c r="H1423" s="312"/>
      <c r="I1423" s="313"/>
      <c r="J1423" s="307"/>
      <c r="K1423" s="16"/>
      <c r="L1423" s="17"/>
      <c r="M1423" s="20"/>
      <c r="N1423" s="14"/>
      <c r="O1423" s="15"/>
      <c r="P1423" s="22"/>
    </row>
    <row r="1424" spans="1:16" s="5" customFormat="1" ht="15" customHeight="1" x14ac:dyDescent="0.3">
      <c r="A1424" s="319"/>
      <c r="B1424" s="306"/>
      <c r="C1424" s="307"/>
      <c r="D1424" s="308"/>
      <c r="E1424" s="309"/>
      <c r="F1424" s="310"/>
      <c r="G1424" s="311"/>
      <c r="H1424" s="312"/>
      <c r="I1424" s="313"/>
      <c r="J1424" s="307"/>
      <c r="K1424" s="16"/>
      <c r="L1424" s="17"/>
      <c r="M1424" s="20"/>
      <c r="N1424" s="14"/>
      <c r="O1424" s="15"/>
      <c r="P1424" s="22"/>
    </row>
    <row r="1425" spans="1:16" s="5" customFormat="1" ht="15" customHeight="1" x14ac:dyDescent="0.3">
      <c r="A1425" s="319"/>
      <c r="B1425" s="306"/>
      <c r="C1425" s="436" t="s">
        <v>1201</v>
      </c>
      <c r="D1425" s="400"/>
      <c r="E1425" s="309"/>
      <c r="F1425" s="310"/>
      <c r="G1425" s="311"/>
      <c r="H1425" s="312"/>
      <c r="I1425" s="313"/>
      <c r="J1425" s="307"/>
      <c r="K1425" s="16"/>
      <c r="L1425" s="17"/>
      <c r="M1425" s="20"/>
      <c r="N1425" s="14"/>
      <c r="O1425" s="15"/>
      <c r="P1425" s="8"/>
    </row>
    <row r="1426" spans="1:16" s="5" customFormat="1" ht="41.4" x14ac:dyDescent="0.3">
      <c r="A1426" s="319" t="s">
        <v>22</v>
      </c>
      <c r="B1426" s="306"/>
      <c r="C1426" s="307"/>
      <c r="D1426" s="308" t="s">
        <v>1202</v>
      </c>
      <c r="E1426" s="309">
        <v>1</v>
      </c>
      <c r="F1426" s="310" t="s">
        <v>100</v>
      </c>
      <c r="G1426" s="311"/>
      <c r="H1426" s="312"/>
      <c r="I1426" s="313"/>
      <c r="J1426" s="307"/>
      <c r="K1426" s="16"/>
      <c r="L1426" s="17"/>
      <c r="M1426" s="20"/>
      <c r="N1426" s="14"/>
      <c r="O1426" s="15"/>
      <c r="P1426" s="8"/>
    </row>
    <row r="1427" spans="1:16" s="5" customFormat="1" x14ac:dyDescent="0.3">
      <c r="A1427" s="319"/>
      <c r="B1427" s="306"/>
      <c r="C1427" s="307"/>
      <c r="D1427" s="308"/>
      <c r="E1427" s="309"/>
      <c r="F1427" s="310"/>
      <c r="G1427" s="311"/>
      <c r="H1427" s="312"/>
      <c r="I1427" s="313"/>
      <c r="J1427" s="307"/>
      <c r="K1427" s="16"/>
      <c r="L1427" s="17"/>
      <c r="M1427" s="20"/>
      <c r="N1427" s="14"/>
      <c r="O1427" s="15"/>
      <c r="P1427" s="8"/>
    </row>
    <row r="1428" spans="1:16" s="5" customFormat="1" x14ac:dyDescent="0.3">
      <c r="A1428" s="319"/>
      <c r="B1428" s="306"/>
      <c r="C1428" s="436" t="s">
        <v>1203</v>
      </c>
      <c r="D1428" s="400"/>
      <c r="E1428" s="309"/>
      <c r="F1428" s="310"/>
      <c r="G1428" s="311"/>
      <c r="H1428" s="312"/>
      <c r="I1428" s="313"/>
      <c r="J1428" s="307"/>
      <c r="K1428" s="16"/>
      <c r="L1428" s="17"/>
      <c r="M1428" s="20"/>
      <c r="N1428" s="14"/>
      <c r="O1428" s="15"/>
      <c r="P1428" s="8"/>
    </row>
    <row r="1429" spans="1:16" s="5" customFormat="1" ht="27.6" x14ac:dyDescent="0.3">
      <c r="A1429" s="319" t="s">
        <v>25</v>
      </c>
      <c r="B1429" s="306"/>
      <c r="C1429" s="307"/>
      <c r="D1429" s="308" t="s">
        <v>1204</v>
      </c>
      <c r="E1429" s="309">
        <v>1</v>
      </c>
      <c r="F1429" s="310" t="s">
        <v>100</v>
      </c>
      <c r="G1429" s="311"/>
      <c r="H1429" s="312"/>
      <c r="I1429" s="313"/>
      <c r="J1429" s="307"/>
      <c r="K1429" s="16"/>
      <c r="L1429" s="17"/>
      <c r="M1429" s="20"/>
      <c r="N1429" s="14"/>
      <c r="O1429" s="15"/>
      <c r="P1429" s="8"/>
    </row>
    <row r="1430" spans="1:16" s="5" customFormat="1" x14ac:dyDescent="0.3">
      <c r="A1430" s="319"/>
      <c r="B1430" s="306"/>
      <c r="C1430" s="307"/>
      <c r="D1430" s="400"/>
      <c r="E1430" s="309"/>
      <c r="F1430" s="310"/>
      <c r="G1430" s="311"/>
      <c r="H1430" s="312"/>
      <c r="I1430" s="313"/>
      <c r="J1430" s="307"/>
      <c r="K1430" s="16"/>
      <c r="L1430" s="17"/>
      <c r="M1430" s="20"/>
      <c r="N1430" s="14"/>
      <c r="O1430" s="15"/>
      <c r="P1430" s="8"/>
    </row>
    <row r="1431" spans="1:16" s="5" customFormat="1" ht="15" customHeight="1" x14ac:dyDescent="0.3">
      <c r="A1431" s="305">
        <v>5.14</v>
      </c>
      <c r="B1431" s="306"/>
      <c r="C1431" s="390" t="s">
        <v>1205</v>
      </c>
      <c r="D1431" s="385"/>
      <c r="E1431" s="309">
        <v>1</v>
      </c>
      <c r="F1431" s="310" t="s">
        <v>100</v>
      </c>
      <c r="G1431" s="311"/>
      <c r="H1431" s="312">
        <f t="shared" ref="H1431" si="198">E1431*G1431</f>
        <v>0</v>
      </c>
      <c r="I1431" s="313"/>
      <c r="J1431" s="307"/>
      <c r="K1431" s="16"/>
      <c r="L1431" s="17"/>
      <c r="M1431" s="20"/>
      <c r="N1431" s="14"/>
      <c r="O1431" s="15"/>
      <c r="P1431" s="8"/>
    </row>
    <row r="1432" spans="1:16" s="5" customFormat="1" ht="14.25" customHeight="1" x14ac:dyDescent="0.3">
      <c r="A1432" s="305"/>
      <c r="B1432" s="306"/>
      <c r="C1432" s="390"/>
      <c r="D1432" s="397"/>
      <c r="E1432" s="309"/>
      <c r="F1432" s="310"/>
      <c r="G1432" s="311"/>
      <c r="H1432" s="312"/>
      <c r="I1432" s="313"/>
      <c r="J1432" s="307"/>
      <c r="K1432" s="16"/>
      <c r="L1432" s="17"/>
      <c r="M1432" s="20"/>
      <c r="N1432" s="14"/>
      <c r="O1432" s="15"/>
      <c r="P1432" s="8"/>
    </row>
    <row r="1433" spans="1:16" s="5" customFormat="1" ht="15" customHeight="1" x14ac:dyDescent="0.3">
      <c r="A1433" s="319"/>
      <c r="B1433" s="306"/>
      <c r="C1433" s="307"/>
      <c r="D1433" s="308"/>
      <c r="E1433" s="309"/>
      <c r="F1433" s="310"/>
      <c r="G1433" s="311"/>
      <c r="H1433" s="312"/>
      <c r="I1433" s="313"/>
      <c r="J1433" s="307"/>
      <c r="K1433" s="16"/>
      <c r="L1433" s="17"/>
      <c r="M1433" s="20"/>
      <c r="N1433" s="14"/>
      <c r="O1433" s="15"/>
      <c r="P1433" s="8"/>
    </row>
    <row r="1434" spans="1:16" s="5" customFormat="1" ht="15" customHeight="1" x14ac:dyDescent="0.3">
      <c r="A1434" s="485" t="s">
        <v>1206</v>
      </c>
      <c r="B1434" s="486" t="s">
        <v>1207</v>
      </c>
      <c r="C1434" s="487"/>
      <c r="D1434" s="488"/>
      <c r="E1434" s="459"/>
      <c r="F1434" s="460"/>
      <c r="G1434" s="423"/>
      <c r="H1434" s="424"/>
      <c r="I1434" s="425"/>
      <c r="J1434" s="307"/>
      <c r="K1434" s="16"/>
      <c r="L1434" s="17"/>
      <c r="M1434" s="20"/>
      <c r="N1434" s="14"/>
      <c r="O1434" s="15"/>
      <c r="P1434" s="22"/>
    </row>
    <row r="1435" spans="1:16" s="5" customFormat="1" ht="15" customHeight="1" x14ac:dyDescent="0.3">
      <c r="A1435" s="474"/>
      <c r="B1435" s="426"/>
      <c r="C1435" s="390"/>
      <c r="D1435" s="397"/>
      <c r="E1435" s="309"/>
      <c r="F1435" s="310"/>
      <c r="G1435" s="311"/>
      <c r="H1435" s="312"/>
      <c r="I1435" s="313"/>
      <c r="J1435" s="307"/>
      <c r="K1435" s="16"/>
      <c r="L1435" s="17"/>
      <c r="M1435" s="20"/>
      <c r="N1435" s="14"/>
      <c r="O1435" s="15"/>
      <c r="P1435" s="22"/>
    </row>
    <row r="1436" spans="1:16" s="5" customFormat="1" ht="15" customHeight="1" x14ac:dyDescent="0.3">
      <c r="A1436" s="474">
        <v>8.01</v>
      </c>
      <c r="B1436" s="426"/>
      <c r="C1436" s="390" t="s">
        <v>1208</v>
      </c>
      <c r="D1436" s="397"/>
      <c r="E1436" s="309"/>
      <c r="F1436" s="310"/>
      <c r="G1436" s="311"/>
      <c r="H1436" s="312"/>
      <c r="I1436" s="313"/>
      <c r="J1436" s="307"/>
      <c r="K1436" s="16"/>
      <c r="L1436" s="17"/>
      <c r="M1436" s="20"/>
      <c r="N1436" s="14"/>
      <c r="O1436" s="15"/>
      <c r="P1436" s="22"/>
    </row>
    <row r="1437" spans="1:16" s="5" customFormat="1" ht="27.6" x14ac:dyDescent="0.3">
      <c r="A1437" s="474" t="s">
        <v>19</v>
      </c>
      <c r="B1437" s="426"/>
      <c r="C1437" s="390"/>
      <c r="D1437" s="397" t="s">
        <v>1209</v>
      </c>
      <c r="E1437" s="309">
        <v>8670</v>
      </c>
      <c r="F1437" s="310" t="s">
        <v>21</v>
      </c>
      <c r="G1437" s="311"/>
      <c r="H1437" s="312"/>
      <c r="I1437" s="313"/>
      <c r="J1437" s="307"/>
      <c r="K1437" s="16"/>
      <c r="L1437" s="17"/>
      <c r="M1437" s="20"/>
      <c r="N1437" s="14"/>
      <c r="O1437" s="15"/>
      <c r="P1437" s="22"/>
    </row>
    <row r="1438" spans="1:16" s="5" customFormat="1" ht="15" customHeight="1" x14ac:dyDescent="0.3">
      <c r="A1438" s="474"/>
      <c r="B1438" s="426"/>
      <c r="C1438" s="390"/>
      <c r="D1438" s="397"/>
      <c r="E1438" s="309"/>
      <c r="F1438" s="310"/>
      <c r="G1438" s="311"/>
      <c r="H1438" s="312"/>
      <c r="I1438" s="313"/>
      <c r="J1438" s="307"/>
      <c r="K1438" s="16"/>
      <c r="L1438" s="17"/>
      <c r="M1438" s="20"/>
      <c r="N1438" s="14"/>
      <c r="O1438" s="15"/>
      <c r="P1438" s="22"/>
    </row>
    <row r="1439" spans="1:16" s="5" customFormat="1" ht="15" customHeight="1" x14ac:dyDescent="0.3">
      <c r="A1439" s="474">
        <v>8.02</v>
      </c>
      <c r="B1439" s="489"/>
      <c r="C1439" s="445" t="s">
        <v>1210</v>
      </c>
      <c r="D1439" s="490"/>
      <c r="E1439" s="309"/>
      <c r="F1439" s="310"/>
      <c r="G1439" s="311"/>
      <c r="H1439" s="312"/>
      <c r="I1439" s="313"/>
      <c r="J1439" s="307"/>
      <c r="K1439" s="16"/>
      <c r="L1439" s="17"/>
      <c r="M1439" s="20"/>
      <c r="N1439" s="14"/>
      <c r="O1439" s="15"/>
      <c r="P1439" s="22"/>
    </row>
    <row r="1440" spans="1:16" s="5" customFormat="1" ht="33.75" customHeight="1" x14ac:dyDescent="0.3">
      <c r="A1440" s="474" t="s">
        <v>19</v>
      </c>
      <c r="B1440" s="489"/>
      <c r="C1440" s="445"/>
      <c r="D1440" s="308" t="s">
        <v>1211</v>
      </c>
      <c r="E1440" s="309">
        <v>600</v>
      </c>
      <c r="F1440" s="310" t="s">
        <v>21</v>
      </c>
      <c r="G1440" s="311"/>
      <c r="H1440" s="312"/>
      <c r="I1440" s="313"/>
      <c r="J1440" s="307"/>
      <c r="K1440" s="16"/>
      <c r="L1440" s="17"/>
      <c r="M1440" s="20"/>
      <c r="N1440" s="14"/>
      <c r="O1440" s="15"/>
      <c r="P1440" s="22"/>
    </row>
    <row r="1441" spans="1:16" s="5" customFormat="1" x14ac:dyDescent="0.3">
      <c r="A1441" s="319" t="s">
        <v>22</v>
      </c>
      <c r="B1441" s="306"/>
      <c r="C1441" s="307"/>
      <c r="D1441" s="308" t="s">
        <v>1212</v>
      </c>
      <c r="E1441" s="309">
        <v>1</v>
      </c>
      <c r="F1441" s="310" t="s">
        <v>100</v>
      </c>
      <c r="G1441" s="311"/>
      <c r="H1441" s="312"/>
      <c r="I1441" s="313"/>
      <c r="J1441" s="307"/>
      <c r="K1441" s="37"/>
      <c r="L1441" s="25"/>
      <c r="M1441" s="28"/>
      <c r="N1441" s="29"/>
      <c r="O1441" s="15"/>
      <c r="P1441" s="22"/>
    </row>
    <row r="1442" spans="1:16" s="5" customFormat="1" ht="15" customHeight="1" x14ac:dyDescent="0.3">
      <c r="A1442" s="319"/>
      <c r="B1442" s="306"/>
      <c r="C1442" s="307"/>
      <c r="D1442" s="308"/>
      <c r="E1442" s="309"/>
      <c r="F1442" s="310"/>
      <c r="G1442" s="311"/>
      <c r="H1442" s="312"/>
      <c r="I1442" s="313"/>
      <c r="J1442" s="307"/>
      <c r="K1442" s="16"/>
      <c r="L1442" s="17"/>
      <c r="M1442" s="20"/>
      <c r="N1442" s="14"/>
      <c r="O1442" s="15"/>
      <c r="P1442" s="22"/>
    </row>
    <row r="1443" spans="1:16" s="5" customFormat="1" ht="15" customHeight="1" x14ac:dyDescent="0.3">
      <c r="A1443" s="319"/>
      <c r="B1443" s="306"/>
      <c r="C1443" s="445" t="s">
        <v>1213</v>
      </c>
      <c r="D1443" s="400"/>
      <c r="E1443" s="309"/>
      <c r="F1443" s="310"/>
      <c r="G1443" s="311"/>
      <c r="H1443" s="312"/>
      <c r="I1443" s="313"/>
      <c r="J1443" s="307"/>
      <c r="K1443" s="16"/>
      <c r="L1443" s="17"/>
      <c r="M1443" s="20"/>
      <c r="N1443" s="14"/>
      <c r="O1443" s="15"/>
      <c r="P1443" s="22"/>
    </row>
    <row r="1444" spans="1:16" s="5" customFormat="1" ht="15" customHeight="1" x14ac:dyDescent="0.3">
      <c r="A1444" s="319" t="s">
        <v>25</v>
      </c>
      <c r="B1444" s="306"/>
      <c r="C1444" s="307"/>
      <c r="D1444" s="308" t="s">
        <v>1214</v>
      </c>
      <c r="E1444" s="309">
        <v>1</v>
      </c>
      <c r="F1444" s="310" t="s">
        <v>100</v>
      </c>
      <c r="G1444" s="311"/>
      <c r="H1444" s="312"/>
      <c r="I1444" s="313"/>
      <c r="J1444" s="307"/>
      <c r="K1444" s="16"/>
      <c r="L1444" s="17"/>
      <c r="M1444" s="20"/>
      <c r="N1444" s="14"/>
      <c r="O1444" s="15"/>
      <c r="P1444" s="22"/>
    </row>
    <row r="1445" spans="1:16" s="5" customFormat="1" ht="15" customHeight="1" x14ac:dyDescent="0.3">
      <c r="A1445" s="319"/>
      <c r="B1445" s="306"/>
      <c r="C1445" s="307"/>
      <c r="D1445" s="308"/>
      <c r="E1445" s="309"/>
      <c r="F1445" s="310"/>
      <c r="G1445" s="311"/>
      <c r="H1445" s="312"/>
      <c r="I1445" s="313"/>
      <c r="J1445" s="307"/>
      <c r="K1445" s="16"/>
      <c r="L1445" s="17"/>
      <c r="M1445" s="20"/>
      <c r="N1445" s="14"/>
      <c r="O1445" s="15"/>
      <c r="P1445" s="22"/>
    </row>
    <row r="1446" spans="1:16" s="5" customFormat="1" ht="15" customHeight="1" x14ac:dyDescent="0.3">
      <c r="A1446" s="474">
        <v>8.0299999999999994</v>
      </c>
      <c r="B1446" s="489"/>
      <c r="C1446" s="445" t="s">
        <v>1215</v>
      </c>
      <c r="D1446" s="490"/>
      <c r="E1446" s="309"/>
      <c r="F1446" s="310"/>
      <c r="G1446" s="311"/>
      <c r="H1446" s="312"/>
      <c r="I1446" s="313"/>
      <c r="J1446" s="307"/>
      <c r="K1446" s="16"/>
      <c r="L1446" s="17"/>
      <c r="M1446" s="20"/>
      <c r="N1446" s="14"/>
      <c r="O1446" s="15"/>
      <c r="P1446" s="22"/>
    </row>
    <row r="1447" spans="1:16" s="5" customFormat="1" x14ac:dyDescent="0.3">
      <c r="A1447" s="474" t="s">
        <v>19</v>
      </c>
      <c r="B1447" s="489"/>
      <c r="C1447" s="445"/>
      <c r="D1447" s="308" t="s">
        <v>1216</v>
      </c>
      <c r="E1447" s="309">
        <v>1</v>
      </c>
      <c r="F1447" s="310" t="s">
        <v>100</v>
      </c>
      <c r="G1447" s="311"/>
      <c r="H1447" s="312"/>
      <c r="I1447" s="313"/>
      <c r="J1447" s="307"/>
      <c r="K1447" s="16"/>
      <c r="L1447" s="17"/>
      <c r="M1447" s="20"/>
      <c r="N1447" s="14"/>
      <c r="O1447" s="15"/>
      <c r="P1447" s="22"/>
    </row>
    <row r="1448" spans="1:16" s="5" customFormat="1" ht="15" customHeight="1" x14ac:dyDescent="0.3">
      <c r="A1448" s="474"/>
      <c r="B1448" s="489"/>
      <c r="C1448" s="445"/>
      <c r="D1448" s="490"/>
      <c r="E1448" s="309"/>
      <c r="F1448" s="310"/>
      <c r="G1448" s="311"/>
      <c r="H1448" s="312"/>
      <c r="I1448" s="313"/>
      <c r="J1448" s="307"/>
      <c r="K1448" s="16"/>
      <c r="L1448" s="17"/>
      <c r="M1448" s="20"/>
      <c r="N1448" s="14"/>
      <c r="O1448" s="15"/>
      <c r="P1448" s="22"/>
    </row>
    <row r="1449" spans="1:16" s="5" customFormat="1" ht="15" customHeight="1" x14ac:dyDescent="0.3">
      <c r="A1449" s="474">
        <v>8.0500000000000007</v>
      </c>
      <c r="B1449" s="489"/>
      <c r="C1449" s="445" t="s">
        <v>1217</v>
      </c>
      <c r="D1449" s="490"/>
      <c r="E1449" s="309"/>
      <c r="F1449" s="310"/>
      <c r="G1449" s="311"/>
      <c r="H1449" s="312"/>
      <c r="I1449" s="313"/>
      <c r="J1449" s="307"/>
      <c r="K1449" s="16"/>
      <c r="L1449" s="17"/>
      <c r="M1449" s="20"/>
      <c r="N1449" s="14"/>
      <c r="O1449" s="15"/>
      <c r="P1449" s="22"/>
    </row>
    <row r="1450" spans="1:16" s="5" customFormat="1" ht="27.6" x14ac:dyDescent="0.3">
      <c r="A1450" s="474" t="s">
        <v>19</v>
      </c>
      <c r="B1450" s="489"/>
      <c r="C1450" s="445"/>
      <c r="D1450" s="398" t="s">
        <v>1218</v>
      </c>
      <c r="E1450" s="309">
        <v>1</v>
      </c>
      <c r="F1450" s="310" t="s">
        <v>100</v>
      </c>
      <c r="G1450" s="311"/>
      <c r="H1450" s="312"/>
      <c r="I1450" s="313"/>
      <c r="J1450" s="307"/>
      <c r="K1450" s="16"/>
      <c r="L1450" s="17"/>
      <c r="M1450" s="20"/>
      <c r="N1450" s="14"/>
      <c r="O1450" s="15"/>
      <c r="P1450" s="22"/>
    </row>
    <row r="1451" spans="1:16" s="5" customFormat="1" ht="15" customHeight="1" x14ac:dyDescent="0.3">
      <c r="A1451" s="474"/>
      <c r="B1451" s="489"/>
      <c r="C1451" s="445"/>
      <c r="D1451" s="490"/>
      <c r="E1451" s="309"/>
      <c r="F1451" s="310"/>
      <c r="G1451" s="311"/>
      <c r="H1451" s="312"/>
      <c r="I1451" s="313"/>
      <c r="J1451" s="307"/>
      <c r="K1451" s="16"/>
      <c r="L1451" s="17"/>
      <c r="M1451" s="20"/>
      <c r="N1451" s="14"/>
      <c r="O1451" s="15"/>
      <c r="P1451" s="22"/>
    </row>
    <row r="1452" spans="1:16" s="5" customFormat="1" ht="15" customHeight="1" x14ac:dyDescent="0.3">
      <c r="A1452" s="474">
        <v>8.06</v>
      </c>
      <c r="B1452" s="489"/>
      <c r="C1452" s="445" t="s">
        <v>1219</v>
      </c>
      <c r="D1452" s="490"/>
      <c r="E1452" s="309"/>
      <c r="F1452" s="310"/>
      <c r="G1452" s="311"/>
      <c r="H1452" s="312"/>
      <c r="I1452" s="313"/>
      <c r="J1452" s="307"/>
      <c r="K1452" s="16"/>
      <c r="L1452" s="17"/>
      <c r="M1452" s="20"/>
      <c r="N1452" s="14"/>
      <c r="O1452" s="15"/>
      <c r="P1452" s="22"/>
    </row>
    <row r="1453" spans="1:16" s="5" customFormat="1" ht="15" customHeight="1" x14ac:dyDescent="0.3">
      <c r="A1453" s="474"/>
      <c r="B1453" s="489"/>
      <c r="C1453" s="445"/>
      <c r="D1453" s="490"/>
      <c r="E1453" s="309"/>
      <c r="F1453" s="310"/>
      <c r="G1453" s="311"/>
      <c r="H1453" s="312"/>
      <c r="I1453" s="313"/>
      <c r="J1453" s="307"/>
      <c r="K1453" s="16"/>
      <c r="L1453" s="17"/>
      <c r="M1453" s="20"/>
      <c r="N1453" s="14"/>
      <c r="O1453" s="15"/>
      <c r="P1453" s="22"/>
    </row>
    <row r="1454" spans="1:16" s="5" customFormat="1" ht="15" customHeight="1" x14ac:dyDescent="0.3">
      <c r="A1454" s="474"/>
      <c r="B1454" s="489"/>
      <c r="C1454" s="445"/>
      <c r="D1454" s="490" t="s">
        <v>1220</v>
      </c>
      <c r="E1454" s="309"/>
      <c r="F1454" s="310"/>
      <c r="G1454" s="311"/>
      <c r="H1454" s="312"/>
      <c r="I1454" s="313"/>
      <c r="J1454" s="307"/>
      <c r="K1454" s="16"/>
      <c r="L1454" s="17"/>
      <c r="M1454" s="20"/>
      <c r="N1454" s="14"/>
      <c r="O1454" s="15"/>
      <c r="P1454" s="22"/>
    </row>
    <row r="1455" spans="1:16" s="5" customFormat="1" ht="60" customHeight="1" x14ac:dyDescent="0.3">
      <c r="A1455" s="474" t="s">
        <v>19</v>
      </c>
      <c r="B1455" s="489"/>
      <c r="C1455" s="445"/>
      <c r="D1455" s="491" t="s">
        <v>1221</v>
      </c>
      <c r="E1455" s="309">
        <v>1</v>
      </c>
      <c r="F1455" s="310" t="s">
        <v>100</v>
      </c>
      <c r="G1455" s="311"/>
      <c r="H1455" s="312"/>
      <c r="I1455" s="313"/>
      <c r="J1455" s="307"/>
      <c r="K1455" s="16"/>
      <c r="L1455" s="17"/>
      <c r="M1455" s="20"/>
      <c r="N1455" s="14"/>
      <c r="O1455" s="15"/>
      <c r="P1455" s="22"/>
    </row>
    <row r="1456" spans="1:16" s="5" customFormat="1" ht="45.15" customHeight="1" x14ac:dyDescent="0.3">
      <c r="A1456" s="474" t="s">
        <v>22</v>
      </c>
      <c r="B1456" s="489"/>
      <c r="C1456" s="445"/>
      <c r="D1456" s="491" t="s">
        <v>1221</v>
      </c>
      <c r="E1456" s="309">
        <v>1</v>
      </c>
      <c r="F1456" s="310" t="s">
        <v>100</v>
      </c>
      <c r="G1456" s="311"/>
      <c r="H1456" s="312"/>
      <c r="I1456" s="313"/>
      <c r="J1456" s="307"/>
      <c r="K1456" s="16"/>
      <c r="L1456" s="17"/>
      <c r="M1456" s="20"/>
      <c r="N1456" s="14"/>
      <c r="O1456" s="15"/>
      <c r="P1456" s="22"/>
    </row>
    <row r="1457" spans="1:16" s="5" customFormat="1" ht="15" customHeight="1" x14ac:dyDescent="0.3">
      <c r="A1457" s="474"/>
      <c r="B1457" s="489"/>
      <c r="C1457" s="445"/>
      <c r="D1457" s="491"/>
      <c r="E1457" s="309"/>
      <c r="F1457" s="310"/>
      <c r="G1457" s="311"/>
      <c r="H1457" s="312"/>
      <c r="I1457" s="313"/>
      <c r="J1457" s="307"/>
      <c r="K1457" s="16"/>
      <c r="L1457" s="17"/>
      <c r="M1457" s="20"/>
      <c r="N1457" s="14"/>
      <c r="O1457" s="15"/>
      <c r="P1457" s="22"/>
    </row>
    <row r="1458" spans="1:16" s="5" customFormat="1" ht="45.15" customHeight="1" x14ac:dyDescent="0.3">
      <c r="A1458" s="474" t="s">
        <v>25</v>
      </c>
      <c r="B1458" s="489"/>
      <c r="C1458" s="445"/>
      <c r="D1458" s="491" t="s">
        <v>1221</v>
      </c>
      <c r="E1458" s="309">
        <v>1</v>
      </c>
      <c r="F1458" s="310" t="s">
        <v>100</v>
      </c>
      <c r="G1458" s="311"/>
      <c r="H1458" s="312"/>
      <c r="I1458" s="313"/>
      <c r="J1458" s="307"/>
      <c r="K1458" s="16"/>
      <c r="L1458" s="17"/>
      <c r="M1458" s="20"/>
      <c r="N1458" s="14"/>
      <c r="O1458" s="15"/>
      <c r="P1458" s="22"/>
    </row>
    <row r="1459" spans="1:16" s="5" customFormat="1" ht="15" customHeight="1" x14ac:dyDescent="0.3">
      <c r="A1459" s="474"/>
      <c r="B1459" s="489"/>
      <c r="C1459" s="445"/>
      <c r="D1459" s="491"/>
      <c r="E1459" s="309"/>
      <c r="F1459" s="310"/>
      <c r="G1459" s="311"/>
      <c r="H1459" s="312"/>
      <c r="I1459" s="313"/>
      <c r="J1459" s="307"/>
      <c r="K1459" s="16"/>
      <c r="L1459" s="17"/>
      <c r="M1459" s="20"/>
      <c r="N1459" s="14"/>
      <c r="O1459" s="15"/>
      <c r="P1459" s="22"/>
    </row>
    <row r="1460" spans="1:16" s="5" customFormat="1" ht="15" customHeight="1" x14ac:dyDescent="0.3">
      <c r="A1460" s="474"/>
      <c r="B1460" s="489"/>
      <c r="C1460" s="445"/>
      <c r="D1460" s="490" t="s">
        <v>1222</v>
      </c>
      <c r="E1460" s="309"/>
      <c r="F1460" s="310"/>
      <c r="G1460" s="311"/>
      <c r="H1460" s="312"/>
      <c r="I1460" s="313"/>
      <c r="J1460" s="307"/>
      <c r="K1460" s="16"/>
      <c r="L1460" s="17"/>
      <c r="M1460" s="20"/>
      <c r="N1460" s="14"/>
      <c r="O1460" s="15"/>
      <c r="P1460" s="22"/>
    </row>
    <row r="1461" spans="1:16" s="5" customFormat="1" ht="45.15" customHeight="1" x14ac:dyDescent="0.3">
      <c r="A1461" s="474" t="s">
        <v>28</v>
      </c>
      <c r="B1461" s="489"/>
      <c r="C1461" s="445"/>
      <c r="D1461" s="491" t="s">
        <v>1221</v>
      </c>
      <c r="E1461" s="309">
        <v>1</v>
      </c>
      <c r="F1461" s="310" t="s">
        <v>100</v>
      </c>
      <c r="G1461" s="311"/>
      <c r="H1461" s="312"/>
      <c r="I1461" s="313"/>
      <c r="J1461" s="307"/>
      <c r="K1461" s="16"/>
      <c r="L1461" s="17"/>
      <c r="M1461" s="20"/>
      <c r="N1461" s="14"/>
      <c r="O1461" s="15"/>
      <c r="P1461" s="22"/>
    </row>
    <row r="1462" spans="1:16" s="5" customFormat="1" ht="15" customHeight="1" x14ac:dyDescent="0.3">
      <c r="A1462" s="474"/>
      <c r="B1462" s="489"/>
      <c r="C1462" s="445"/>
      <c r="D1462" s="490"/>
      <c r="E1462" s="309"/>
      <c r="F1462" s="310"/>
      <c r="G1462" s="311"/>
      <c r="H1462" s="312"/>
      <c r="I1462" s="313"/>
      <c r="J1462" s="307"/>
      <c r="K1462" s="16"/>
      <c r="L1462" s="17"/>
      <c r="M1462" s="20"/>
      <c r="N1462" s="14"/>
      <c r="O1462" s="15"/>
      <c r="P1462" s="22"/>
    </row>
    <row r="1463" spans="1:16" s="5" customFormat="1" ht="15" customHeight="1" x14ac:dyDescent="0.3">
      <c r="A1463" s="474">
        <v>8.07</v>
      </c>
      <c r="B1463" s="489"/>
      <c r="C1463" s="445" t="s">
        <v>1223</v>
      </c>
      <c r="D1463" s="490"/>
      <c r="E1463" s="309"/>
      <c r="F1463" s="310"/>
      <c r="G1463" s="311"/>
      <c r="H1463" s="312"/>
      <c r="I1463" s="313"/>
      <c r="J1463" s="307"/>
      <c r="K1463" s="16"/>
      <c r="L1463" s="17"/>
      <c r="M1463" s="20"/>
      <c r="N1463" s="14"/>
      <c r="O1463" s="15"/>
      <c r="P1463" s="8"/>
    </row>
    <row r="1464" spans="1:16" s="5" customFormat="1" ht="30" customHeight="1" x14ac:dyDescent="0.3">
      <c r="A1464" s="474" t="s">
        <v>19</v>
      </c>
      <c r="B1464" s="489"/>
      <c r="C1464" s="445"/>
      <c r="D1464" s="308" t="s">
        <v>1224</v>
      </c>
      <c r="E1464" s="309">
        <v>1</v>
      </c>
      <c r="F1464" s="310" t="s">
        <v>100</v>
      </c>
      <c r="G1464" s="311"/>
      <c r="H1464" s="312"/>
      <c r="I1464" s="313"/>
      <c r="J1464" s="307"/>
      <c r="K1464" s="16"/>
      <c r="L1464" s="17"/>
      <c r="M1464" s="20"/>
      <c r="N1464" s="14"/>
      <c r="O1464" s="15"/>
      <c r="P1464" s="22"/>
    </row>
    <row r="1465" spans="1:16" s="5" customFormat="1" ht="30" customHeight="1" x14ac:dyDescent="0.3">
      <c r="A1465" s="474" t="s">
        <v>22</v>
      </c>
      <c r="B1465" s="489"/>
      <c r="C1465" s="445"/>
      <c r="D1465" s="308" t="s">
        <v>1225</v>
      </c>
      <c r="E1465" s="309">
        <v>1</v>
      </c>
      <c r="F1465" s="310" t="s">
        <v>100</v>
      </c>
      <c r="G1465" s="311"/>
      <c r="H1465" s="312"/>
      <c r="I1465" s="313"/>
      <c r="J1465" s="307"/>
      <c r="K1465" s="16"/>
      <c r="L1465" s="17"/>
      <c r="M1465" s="20"/>
      <c r="N1465" s="14"/>
      <c r="O1465" s="15"/>
      <c r="P1465" s="22"/>
    </row>
    <row r="1466" spans="1:16" s="5" customFormat="1" ht="30" customHeight="1" x14ac:dyDescent="0.3">
      <c r="A1466" s="474" t="s">
        <v>25</v>
      </c>
      <c r="B1466" s="489"/>
      <c r="C1466" s="445"/>
      <c r="D1466" s="308" t="s">
        <v>1226</v>
      </c>
      <c r="E1466" s="309">
        <v>1</v>
      </c>
      <c r="F1466" s="310" t="s">
        <v>100</v>
      </c>
      <c r="G1466" s="311"/>
      <c r="H1466" s="312"/>
      <c r="I1466" s="313"/>
      <c r="J1466" s="307"/>
      <c r="K1466" s="16"/>
      <c r="L1466" s="17"/>
      <c r="M1466" s="20"/>
      <c r="N1466" s="14"/>
      <c r="O1466" s="15"/>
      <c r="P1466" s="22"/>
    </row>
    <row r="1467" spans="1:16" s="5" customFormat="1" ht="30" customHeight="1" x14ac:dyDescent="0.3">
      <c r="A1467" s="474" t="s">
        <v>28</v>
      </c>
      <c r="B1467" s="489"/>
      <c r="C1467" s="445"/>
      <c r="D1467" s="308" t="s">
        <v>1227</v>
      </c>
      <c r="E1467" s="309">
        <v>1</v>
      </c>
      <c r="F1467" s="310" t="s">
        <v>100</v>
      </c>
      <c r="G1467" s="311"/>
      <c r="H1467" s="312"/>
      <c r="I1467" s="313"/>
      <c r="J1467" s="307"/>
      <c r="K1467" s="16"/>
      <c r="L1467" s="17"/>
      <c r="M1467" s="20"/>
      <c r="N1467" s="14"/>
      <c r="O1467" s="15"/>
      <c r="P1467" s="22"/>
    </row>
    <row r="1468" spans="1:16" s="5" customFormat="1" ht="17.100000000000001" customHeight="1" x14ac:dyDescent="0.3">
      <c r="A1468" s="474"/>
      <c r="B1468" s="489"/>
      <c r="C1468" s="445"/>
      <c r="D1468" s="308"/>
      <c r="E1468" s="309"/>
      <c r="F1468" s="310"/>
      <c r="G1468" s="311"/>
      <c r="H1468" s="312"/>
      <c r="I1468" s="313"/>
      <c r="J1468" s="307"/>
      <c r="K1468" s="16"/>
      <c r="L1468" s="17"/>
      <c r="M1468" s="20"/>
      <c r="N1468" s="14"/>
      <c r="O1468" s="15"/>
      <c r="P1468" s="22"/>
    </row>
    <row r="1469" spans="1:16" s="5" customFormat="1" ht="17.100000000000001" customHeight="1" x14ac:dyDescent="0.3">
      <c r="A1469" s="474"/>
      <c r="B1469" s="489"/>
      <c r="C1469" s="492" t="s">
        <v>1228</v>
      </c>
      <c r="D1469" s="308"/>
      <c r="E1469" s="309"/>
      <c r="F1469" s="310"/>
      <c r="G1469" s="311"/>
      <c r="H1469" s="312"/>
      <c r="I1469" s="313"/>
      <c r="J1469" s="307"/>
      <c r="K1469" s="16"/>
      <c r="L1469" s="17"/>
      <c r="M1469" s="20"/>
      <c r="N1469" s="14"/>
      <c r="O1469" s="15"/>
      <c r="P1469" s="22"/>
    </row>
    <row r="1470" spans="1:16" s="5" customFormat="1" ht="17.100000000000001" customHeight="1" x14ac:dyDescent="0.3">
      <c r="A1470" s="474"/>
      <c r="B1470" s="489"/>
      <c r="C1470" s="445"/>
      <c r="D1470" s="308"/>
      <c r="E1470" s="309"/>
      <c r="F1470" s="310"/>
      <c r="G1470" s="311"/>
      <c r="H1470" s="312"/>
      <c r="I1470" s="313"/>
      <c r="J1470" s="307"/>
      <c r="K1470" s="16"/>
      <c r="L1470" s="17"/>
      <c r="M1470" s="20"/>
      <c r="N1470" s="14"/>
      <c r="O1470" s="15"/>
      <c r="P1470" s="22"/>
    </row>
    <row r="1471" spans="1:16" s="5" customFormat="1" ht="17.100000000000001" customHeight="1" x14ac:dyDescent="0.3">
      <c r="A1471" s="474"/>
      <c r="B1471" s="489"/>
      <c r="C1471" s="445" t="s">
        <v>1229</v>
      </c>
      <c r="D1471" s="308"/>
      <c r="E1471" s="309"/>
      <c r="F1471" s="310"/>
      <c r="G1471" s="311"/>
      <c r="H1471" s="312"/>
      <c r="I1471" s="313"/>
      <c r="J1471" s="307"/>
      <c r="K1471" s="16"/>
      <c r="L1471" s="17"/>
      <c r="M1471" s="20"/>
      <c r="N1471" s="14"/>
      <c r="O1471" s="15"/>
      <c r="P1471" s="22"/>
    </row>
    <row r="1472" spans="1:16" s="5" customFormat="1" ht="17.100000000000001" customHeight="1" x14ac:dyDescent="0.3">
      <c r="A1472" s="474"/>
      <c r="B1472" s="489"/>
      <c r="C1472" s="445"/>
      <c r="D1472" s="308"/>
      <c r="E1472" s="309"/>
      <c r="F1472" s="310"/>
      <c r="G1472" s="311"/>
      <c r="H1472" s="312"/>
      <c r="I1472" s="313"/>
      <c r="J1472" s="307"/>
      <c r="K1472" s="16"/>
      <c r="L1472" s="17"/>
      <c r="M1472" s="20"/>
      <c r="N1472" s="14"/>
      <c r="O1472" s="15"/>
      <c r="P1472" s="22"/>
    </row>
    <row r="1473" spans="1:16" s="5" customFormat="1" ht="55.2" x14ac:dyDescent="0.3">
      <c r="A1473" s="474" t="s">
        <v>19</v>
      </c>
      <c r="B1473" s="489"/>
      <c r="C1473" s="445"/>
      <c r="D1473" s="308" t="s">
        <v>1230</v>
      </c>
      <c r="E1473" s="309"/>
      <c r="F1473" s="310"/>
      <c r="G1473" s="311"/>
      <c r="H1473" s="312"/>
      <c r="I1473" s="313"/>
      <c r="J1473" s="307"/>
      <c r="K1473" s="16"/>
      <c r="L1473" s="17"/>
      <c r="M1473" s="20"/>
      <c r="N1473" s="14"/>
      <c r="O1473" s="15"/>
      <c r="P1473" s="22"/>
    </row>
    <row r="1474" spans="1:16" s="5" customFormat="1" ht="17.100000000000001" customHeight="1" x14ac:dyDescent="0.3">
      <c r="A1474" s="493"/>
      <c r="B1474" s="494"/>
      <c r="C1474" s="495"/>
      <c r="D1474" s="496"/>
      <c r="E1474" s="309"/>
      <c r="F1474" s="310"/>
      <c r="G1474" s="311"/>
      <c r="H1474" s="312"/>
      <c r="I1474" s="313"/>
      <c r="J1474" s="307"/>
      <c r="K1474" s="16"/>
      <c r="L1474" s="17"/>
      <c r="M1474" s="20"/>
      <c r="N1474" s="14"/>
      <c r="O1474" s="15"/>
      <c r="P1474" s="22"/>
    </row>
    <row r="1475" spans="1:16" s="5" customFormat="1" ht="17.100000000000001" customHeight="1" x14ac:dyDescent="0.3">
      <c r="A1475" s="493"/>
      <c r="B1475" s="494"/>
      <c r="C1475" s="495"/>
      <c r="D1475" s="496"/>
      <c r="E1475" s="309"/>
      <c r="F1475" s="310"/>
      <c r="G1475" s="311"/>
      <c r="H1475" s="312"/>
      <c r="I1475" s="313"/>
      <c r="J1475" s="307"/>
      <c r="K1475" s="16"/>
      <c r="L1475" s="17"/>
      <c r="M1475" s="20"/>
      <c r="N1475" s="14"/>
      <c r="O1475" s="15"/>
      <c r="P1475" s="22"/>
    </row>
    <row r="1476" spans="1:16" s="5" customFormat="1" ht="17.100000000000001" customHeight="1" x14ac:dyDescent="0.3">
      <c r="A1476" s="493"/>
      <c r="B1476" s="494"/>
      <c r="C1476" s="495"/>
      <c r="D1476" s="496"/>
      <c r="E1476" s="309"/>
      <c r="F1476" s="310"/>
      <c r="G1476" s="311"/>
      <c r="H1476" s="312"/>
      <c r="I1476" s="313"/>
      <c r="J1476" s="307"/>
      <c r="K1476" s="16"/>
      <c r="L1476" s="17"/>
      <c r="M1476" s="20"/>
      <c r="N1476" s="14"/>
      <c r="O1476" s="15"/>
      <c r="P1476" s="22"/>
    </row>
    <row r="1477" spans="1:16" s="5" customFormat="1" ht="17.100000000000001" customHeight="1" x14ac:dyDescent="0.3">
      <c r="A1477" s="493"/>
      <c r="B1477" s="494"/>
      <c r="C1477" s="495"/>
      <c r="D1477" s="496"/>
      <c r="E1477" s="309"/>
      <c r="F1477" s="310"/>
      <c r="G1477" s="311"/>
      <c r="H1477" s="312"/>
      <c r="I1477" s="313"/>
      <c r="J1477" s="307"/>
      <c r="K1477" s="16"/>
      <c r="L1477" s="17"/>
      <c r="M1477" s="20"/>
      <c r="N1477" s="14"/>
      <c r="O1477" s="15"/>
      <c r="P1477" s="22"/>
    </row>
    <row r="1478" spans="1:16" s="5" customFormat="1" ht="17.100000000000001" customHeight="1" x14ac:dyDescent="0.3">
      <c r="A1478" s="493"/>
      <c r="B1478" s="494"/>
      <c r="C1478" s="495"/>
      <c r="D1478" s="496"/>
      <c r="E1478" s="309"/>
      <c r="F1478" s="310"/>
      <c r="G1478" s="311"/>
      <c r="H1478" s="312"/>
      <c r="I1478" s="313"/>
      <c r="J1478" s="307"/>
      <c r="K1478" s="16"/>
      <c r="L1478" s="17"/>
      <c r="M1478" s="20"/>
      <c r="N1478" s="14"/>
      <c r="O1478" s="15"/>
      <c r="P1478" s="22"/>
    </row>
    <row r="1479" spans="1:16" s="5" customFormat="1" ht="17.100000000000001" customHeight="1" x14ac:dyDescent="0.3">
      <c r="A1479" s="493"/>
      <c r="B1479" s="494"/>
      <c r="C1479" s="495"/>
      <c r="D1479" s="496"/>
      <c r="E1479" s="309"/>
      <c r="F1479" s="310"/>
      <c r="G1479" s="311"/>
      <c r="H1479" s="312"/>
      <c r="I1479" s="313"/>
      <c r="J1479" s="307"/>
      <c r="K1479" s="16"/>
      <c r="L1479" s="17"/>
      <c r="M1479" s="20"/>
      <c r="N1479" s="14"/>
      <c r="O1479" s="15"/>
      <c r="P1479" s="22"/>
    </row>
    <row r="1480" spans="1:16" s="5" customFormat="1" ht="17.100000000000001" customHeight="1" x14ac:dyDescent="0.3">
      <c r="A1480" s="493"/>
      <c r="B1480" s="494"/>
      <c r="C1480" s="495"/>
      <c r="D1480" s="496"/>
      <c r="E1480" s="309"/>
      <c r="F1480" s="310"/>
      <c r="G1480" s="311"/>
      <c r="H1480" s="312"/>
      <c r="I1480" s="313"/>
      <c r="J1480" s="307"/>
      <c r="K1480" s="16"/>
      <c r="L1480" s="17"/>
      <c r="M1480" s="20"/>
      <c r="N1480" s="14"/>
      <c r="O1480" s="15"/>
      <c r="P1480" s="22"/>
    </row>
    <row r="1481" spans="1:16" s="5" customFormat="1" ht="17.100000000000001" customHeight="1" x14ac:dyDescent="0.3">
      <c r="A1481" s="493"/>
      <c r="B1481" s="494"/>
      <c r="C1481" s="495"/>
      <c r="D1481" s="496"/>
      <c r="E1481" s="309"/>
      <c r="F1481" s="310"/>
      <c r="G1481" s="311"/>
      <c r="H1481" s="312"/>
      <c r="I1481" s="313"/>
      <c r="J1481" s="307"/>
      <c r="K1481" s="16"/>
      <c r="L1481" s="17"/>
      <c r="M1481" s="20"/>
      <c r="N1481" s="14"/>
      <c r="O1481" s="15"/>
      <c r="P1481" s="22"/>
    </row>
    <row r="1482" spans="1:16" s="5" customFormat="1" ht="17.100000000000001" customHeight="1" x14ac:dyDescent="0.3">
      <c r="A1482" s="493"/>
      <c r="B1482" s="494"/>
      <c r="C1482" s="495"/>
      <c r="D1482" s="496"/>
      <c r="E1482" s="309"/>
      <c r="F1482" s="310"/>
      <c r="G1482" s="311"/>
      <c r="H1482" s="312"/>
      <c r="I1482" s="313"/>
      <c r="J1482" s="307"/>
      <c r="K1482" s="16"/>
      <c r="L1482" s="17"/>
      <c r="M1482" s="20"/>
      <c r="N1482" s="14"/>
      <c r="O1482" s="15"/>
      <c r="P1482" s="22"/>
    </row>
    <row r="1483" spans="1:16" s="5" customFormat="1" ht="17.100000000000001" customHeight="1" x14ac:dyDescent="0.3">
      <c r="A1483" s="493"/>
      <c r="B1483" s="494"/>
      <c r="C1483" s="495"/>
      <c r="D1483" s="496"/>
      <c r="E1483" s="309"/>
      <c r="F1483" s="310"/>
      <c r="G1483" s="311"/>
      <c r="H1483" s="312"/>
      <c r="I1483" s="313"/>
      <c r="J1483" s="307"/>
      <c r="K1483" s="16"/>
      <c r="L1483" s="17"/>
      <c r="M1483" s="20"/>
      <c r="N1483" s="14"/>
      <c r="O1483" s="15"/>
      <c r="P1483" s="22"/>
    </row>
    <row r="1484" spans="1:16" s="5" customFormat="1" ht="17.100000000000001" customHeight="1" x14ac:dyDescent="0.3">
      <c r="A1484" s="493"/>
      <c r="B1484" s="494"/>
      <c r="C1484" s="495"/>
      <c r="D1484" s="496"/>
      <c r="E1484" s="309"/>
      <c r="F1484" s="310"/>
      <c r="G1484" s="311"/>
      <c r="H1484" s="312"/>
      <c r="I1484" s="313"/>
      <c r="J1484" s="307"/>
      <c r="K1484" s="16"/>
      <c r="L1484" s="17"/>
      <c r="M1484" s="20"/>
      <c r="N1484" s="14"/>
      <c r="O1484" s="15"/>
      <c r="P1484" s="22"/>
    </row>
    <row r="1485" spans="1:16" s="5" customFormat="1" ht="17.100000000000001" customHeight="1" x14ac:dyDescent="0.3">
      <c r="A1485" s="493"/>
      <c r="B1485" s="494"/>
      <c r="C1485" s="495"/>
      <c r="D1485" s="496"/>
      <c r="E1485" s="309"/>
      <c r="F1485" s="310"/>
      <c r="G1485" s="311"/>
      <c r="H1485" s="312"/>
      <c r="I1485" s="313"/>
      <c r="J1485" s="307"/>
      <c r="K1485" s="16"/>
      <c r="L1485" s="17"/>
      <c r="M1485" s="20"/>
      <c r="N1485" s="14"/>
      <c r="O1485" s="15"/>
      <c r="P1485" s="22"/>
    </row>
    <row r="1486" spans="1:16" s="5" customFormat="1" ht="17.100000000000001" customHeight="1" x14ac:dyDescent="0.3">
      <c r="A1486" s="493"/>
      <c r="B1486" s="494"/>
      <c r="C1486" s="495"/>
      <c r="D1486" s="496"/>
      <c r="E1486" s="309"/>
      <c r="F1486" s="310"/>
      <c r="G1486" s="311"/>
      <c r="H1486" s="312"/>
      <c r="I1486" s="313"/>
      <c r="J1486" s="307"/>
      <c r="K1486" s="16"/>
      <c r="L1486" s="17"/>
      <c r="M1486" s="20"/>
      <c r="N1486" s="14"/>
      <c r="O1486" s="15"/>
      <c r="P1486" s="22"/>
    </row>
    <row r="1487" spans="1:16" s="5" customFormat="1" ht="17.100000000000001" customHeight="1" x14ac:dyDescent="0.3">
      <c r="A1487" s="493"/>
      <c r="B1487" s="494"/>
      <c r="C1487" s="495"/>
      <c r="D1487" s="496"/>
      <c r="E1487" s="309"/>
      <c r="F1487" s="310"/>
      <c r="G1487" s="311"/>
      <c r="H1487" s="312"/>
      <c r="I1487" s="313"/>
      <c r="J1487" s="307"/>
      <c r="K1487" s="16"/>
      <c r="L1487" s="17"/>
      <c r="M1487" s="20"/>
      <c r="N1487" s="14"/>
      <c r="O1487" s="15"/>
      <c r="P1487" s="22"/>
    </row>
    <row r="1488" spans="1:16" s="5" customFormat="1" ht="17.100000000000001" customHeight="1" x14ac:dyDescent="0.3">
      <c r="A1488" s="493"/>
      <c r="B1488" s="494"/>
      <c r="C1488" s="495"/>
      <c r="D1488" s="496"/>
      <c r="E1488" s="309"/>
      <c r="F1488" s="310"/>
      <c r="G1488" s="311"/>
      <c r="H1488" s="312"/>
      <c r="I1488" s="313"/>
      <c r="J1488" s="307"/>
      <c r="K1488" s="16"/>
      <c r="L1488" s="17"/>
      <c r="M1488" s="20"/>
      <c r="N1488" s="14"/>
      <c r="O1488" s="15"/>
      <c r="P1488" s="22"/>
    </row>
    <row r="1489" spans="1:16" s="5" customFormat="1" ht="17.100000000000001" customHeight="1" x14ac:dyDescent="0.3">
      <c r="A1489" s="493"/>
      <c r="B1489" s="494"/>
      <c r="C1489" s="495"/>
      <c r="D1489" s="496"/>
      <c r="E1489" s="309"/>
      <c r="F1489" s="310"/>
      <c r="G1489" s="311"/>
      <c r="H1489" s="312"/>
      <c r="I1489" s="313"/>
      <c r="J1489" s="307"/>
      <c r="K1489" s="16"/>
      <c r="L1489" s="17"/>
      <c r="M1489" s="20"/>
      <c r="N1489" s="14"/>
      <c r="O1489" s="15"/>
      <c r="P1489" s="22"/>
    </row>
    <row r="1490" spans="1:16" s="5" customFormat="1" ht="17.100000000000001" customHeight="1" x14ac:dyDescent="0.3">
      <c r="A1490" s="493"/>
      <c r="B1490" s="494"/>
      <c r="C1490" s="495"/>
      <c r="D1490" s="496"/>
      <c r="E1490" s="309"/>
      <c r="F1490" s="310"/>
      <c r="G1490" s="311"/>
      <c r="H1490" s="312"/>
      <c r="I1490" s="313"/>
      <c r="J1490" s="307"/>
      <c r="K1490" s="16"/>
      <c r="L1490" s="17"/>
      <c r="M1490" s="20"/>
      <c r="N1490" s="14"/>
      <c r="O1490" s="15"/>
      <c r="P1490" s="22"/>
    </row>
    <row r="1491" spans="1:16" s="5" customFormat="1" ht="17.100000000000001" customHeight="1" x14ac:dyDescent="0.3">
      <c r="A1491" s="493"/>
      <c r="B1491" s="494"/>
      <c r="C1491" s="495"/>
      <c r="D1491" s="496"/>
      <c r="E1491" s="309"/>
      <c r="F1491" s="310"/>
      <c r="G1491" s="311"/>
      <c r="H1491" s="312"/>
      <c r="I1491" s="313"/>
      <c r="J1491" s="307"/>
      <c r="K1491" s="16"/>
      <c r="L1491" s="17"/>
      <c r="M1491" s="20"/>
      <c r="N1491" s="14"/>
      <c r="O1491" s="15"/>
      <c r="P1491" s="22"/>
    </row>
    <row r="1492" spans="1:16" s="5" customFormat="1" ht="17.100000000000001" customHeight="1" x14ac:dyDescent="0.3">
      <c r="A1492" s="493"/>
      <c r="B1492" s="494"/>
      <c r="C1492" s="495"/>
      <c r="D1492" s="496"/>
      <c r="E1492" s="309"/>
      <c r="F1492" s="310"/>
      <c r="G1492" s="311"/>
      <c r="H1492" s="312"/>
      <c r="I1492" s="313"/>
      <c r="J1492" s="307"/>
      <c r="K1492" s="16"/>
      <c r="L1492" s="17"/>
      <c r="M1492" s="20"/>
      <c r="N1492" s="14"/>
      <c r="O1492" s="15"/>
      <c r="P1492" s="22"/>
    </row>
    <row r="1493" spans="1:16" s="5" customFormat="1" ht="17.100000000000001" customHeight="1" x14ac:dyDescent="0.3">
      <c r="A1493" s="493"/>
      <c r="B1493" s="494"/>
      <c r="C1493" s="495"/>
      <c r="D1493" s="496"/>
      <c r="E1493" s="309"/>
      <c r="F1493" s="310"/>
      <c r="G1493" s="311"/>
      <c r="H1493" s="312"/>
      <c r="I1493" s="313"/>
      <c r="J1493" s="307"/>
      <c r="K1493" s="16"/>
      <c r="L1493" s="17"/>
      <c r="M1493" s="20"/>
      <c r="N1493" s="14"/>
      <c r="O1493" s="15"/>
      <c r="P1493" s="22"/>
    </row>
    <row r="1494" spans="1:16" s="5" customFormat="1" ht="17.100000000000001" customHeight="1" x14ac:dyDescent="0.3">
      <c r="A1494" s="493"/>
      <c r="B1494" s="494"/>
      <c r="C1494" s="495"/>
      <c r="D1494" s="496"/>
      <c r="E1494" s="309"/>
      <c r="F1494" s="310"/>
      <c r="G1494" s="311"/>
      <c r="H1494" s="312"/>
      <c r="I1494" s="313"/>
      <c r="J1494" s="307"/>
      <c r="K1494" s="16"/>
      <c r="L1494" s="17"/>
      <c r="M1494" s="20"/>
      <c r="N1494" s="14"/>
      <c r="O1494" s="15"/>
      <c r="P1494" s="22"/>
    </row>
    <row r="1495" spans="1:16" s="5" customFormat="1" ht="17.100000000000001" customHeight="1" x14ac:dyDescent="0.3">
      <c r="A1495" s="493"/>
      <c r="B1495" s="494"/>
      <c r="C1495" s="495"/>
      <c r="D1495" s="496"/>
      <c r="E1495" s="309"/>
      <c r="F1495" s="310"/>
      <c r="G1495" s="311"/>
      <c r="H1495" s="312"/>
      <c r="I1495" s="313"/>
      <c r="J1495" s="307"/>
      <c r="K1495" s="16"/>
      <c r="L1495" s="17"/>
      <c r="M1495" s="20"/>
      <c r="N1495" s="14"/>
      <c r="O1495" s="15"/>
      <c r="P1495" s="22"/>
    </row>
    <row r="1496" spans="1:16" s="5" customFormat="1" ht="17.100000000000001" customHeight="1" x14ac:dyDescent="0.3">
      <c r="A1496" s="493"/>
      <c r="B1496" s="494"/>
      <c r="C1496" s="495"/>
      <c r="D1496" s="496"/>
      <c r="E1496" s="309"/>
      <c r="F1496" s="310"/>
      <c r="G1496" s="311"/>
      <c r="H1496" s="312"/>
      <c r="I1496" s="313"/>
      <c r="J1496" s="307"/>
      <c r="K1496" s="16"/>
      <c r="L1496" s="17"/>
      <c r="M1496" s="20"/>
      <c r="N1496" s="14"/>
      <c r="O1496" s="15"/>
      <c r="P1496" s="22"/>
    </row>
    <row r="1497" spans="1:16" s="5" customFormat="1" ht="17.100000000000001" customHeight="1" x14ac:dyDescent="0.3">
      <c r="A1497" s="493"/>
      <c r="B1497" s="494"/>
      <c r="C1497" s="495"/>
      <c r="D1497" s="496"/>
      <c r="E1497" s="309"/>
      <c r="F1497" s="310"/>
      <c r="G1497" s="311"/>
      <c r="H1497" s="312"/>
      <c r="I1497" s="313"/>
      <c r="J1497" s="307"/>
      <c r="K1497" s="16"/>
      <c r="L1497" s="17"/>
      <c r="M1497" s="20"/>
      <c r="N1497" s="14"/>
      <c r="O1497" s="15"/>
      <c r="P1497" s="22"/>
    </row>
    <row r="1498" spans="1:16" s="5" customFormat="1" ht="17.100000000000001" customHeight="1" x14ac:dyDescent="0.3">
      <c r="A1498" s="493"/>
      <c r="B1498" s="494"/>
      <c r="C1498" s="495"/>
      <c r="D1498" s="496"/>
      <c r="E1498" s="309"/>
      <c r="F1498" s="310"/>
      <c r="G1498" s="311"/>
      <c r="H1498" s="312"/>
      <c r="I1498" s="313"/>
      <c r="J1498" s="307"/>
      <c r="K1498" s="16"/>
      <c r="L1498" s="17"/>
      <c r="M1498" s="20"/>
      <c r="N1498" s="14"/>
      <c r="O1498" s="15"/>
      <c r="P1498" s="22"/>
    </row>
    <row r="1499" spans="1:16" s="5" customFormat="1" ht="17.100000000000001" customHeight="1" x14ac:dyDescent="0.3">
      <c r="A1499" s="493"/>
      <c r="B1499" s="494"/>
      <c r="C1499" s="495"/>
      <c r="D1499" s="496"/>
      <c r="E1499" s="309"/>
      <c r="F1499" s="310"/>
      <c r="G1499" s="311"/>
      <c r="H1499" s="312"/>
      <c r="I1499" s="313"/>
      <c r="J1499" s="307"/>
      <c r="K1499" s="16"/>
      <c r="L1499" s="17"/>
      <c r="M1499" s="20"/>
      <c r="N1499" s="14"/>
      <c r="O1499" s="15"/>
      <c r="P1499" s="22"/>
    </row>
    <row r="1500" spans="1:16" s="5" customFormat="1" ht="17.100000000000001" customHeight="1" x14ac:dyDescent="0.3">
      <c r="A1500" s="493"/>
      <c r="B1500" s="494"/>
      <c r="C1500" s="495"/>
      <c r="D1500" s="496"/>
      <c r="E1500" s="309"/>
      <c r="F1500" s="310"/>
      <c r="G1500" s="311"/>
      <c r="H1500" s="312"/>
      <c r="I1500" s="313"/>
      <c r="J1500" s="307"/>
      <c r="K1500" s="16"/>
      <c r="L1500" s="17"/>
      <c r="M1500" s="20"/>
      <c r="N1500" s="14"/>
      <c r="O1500" s="15"/>
      <c r="P1500" s="22"/>
    </row>
    <row r="1501" spans="1:16" s="5" customFormat="1" ht="17.100000000000001" customHeight="1" x14ac:dyDescent="0.3">
      <c r="A1501" s="493"/>
      <c r="B1501" s="494"/>
      <c r="C1501" s="495"/>
      <c r="D1501" s="496"/>
      <c r="E1501" s="309"/>
      <c r="F1501" s="310"/>
      <c r="G1501" s="311"/>
      <c r="H1501" s="312"/>
      <c r="I1501" s="313"/>
      <c r="J1501" s="307"/>
      <c r="K1501" s="16"/>
      <c r="L1501" s="17"/>
      <c r="M1501" s="20"/>
      <c r="N1501" s="14"/>
      <c r="O1501" s="15"/>
      <c r="P1501" s="22"/>
    </row>
    <row r="1502" spans="1:16" s="5" customFormat="1" ht="17.100000000000001" customHeight="1" x14ac:dyDescent="0.3">
      <c r="A1502" s="493"/>
      <c r="B1502" s="494"/>
      <c r="C1502" s="495"/>
      <c r="D1502" s="496"/>
      <c r="E1502" s="309"/>
      <c r="F1502" s="310"/>
      <c r="G1502" s="311"/>
      <c r="H1502" s="312"/>
      <c r="I1502" s="313"/>
      <c r="J1502" s="307"/>
      <c r="K1502" s="16"/>
      <c r="L1502" s="17"/>
      <c r="M1502" s="20"/>
      <c r="N1502" s="14"/>
      <c r="O1502" s="15"/>
      <c r="P1502" s="22"/>
    </row>
    <row r="1503" spans="1:16" s="5" customFormat="1" ht="17.100000000000001" customHeight="1" x14ac:dyDescent="0.3">
      <c r="A1503" s="493"/>
      <c r="B1503" s="494"/>
      <c r="C1503" s="495"/>
      <c r="D1503" s="496"/>
      <c r="E1503" s="309"/>
      <c r="F1503" s="310"/>
      <c r="G1503" s="311"/>
      <c r="H1503" s="312"/>
      <c r="I1503" s="313"/>
      <c r="J1503" s="307"/>
      <c r="K1503" s="16"/>
      <c r="L1503" s="17"/>
      <c r="M1503" s="20"/>
      <c r="N1503" s="14"/>
      <c r="O1503" s="15"/>
      <c r="P1503" s="22"/>
    </row>
    <row r="1504" spans="1:16" s="5" customFormat="1" ht="17.100000000000001" customHeight="1" x14ac:dyDescent="0.3">
      <c r="A1504" s="493"/>
      <c r="B1504" s="494"/>
      <c r="C1504" s="495"/>
      <c r="D1504" s="496"/>
      <c r="E1504" s="309"/>
      <c r="F1504" s="310"/>
      <c r="G1504" s="311"/>
      <c r="H1504" s="312"/>
      <c r="I1504" s="313"/>
      <c r="J1504" s="307"/>
      <c r="K1504" s="16"/>
      <c r="L1504" s="17"/>
      <c r="M1504" s="20"/>
      <c r="N1504" s="14"/>
      <c r="O1504" s="15"/>
      <c r="P1504" s="22"/>
    </row>
    <row r="1505" spans="1:16" s="5" customFormat="1" ht="17.100000000000001" customHeight="1" x14ac:dyDescent="0.3">
      <c r="A1505" s="493"/>
      <c r="B1505" s="494"/>
      <c r="C1505" s="495"/>
      <c r="D1505" s="496"/>
      <c r="E1505" s="309"/>
      <c r="F1505" s="310"/>
      <c r="G1505" s="311"/>
      <c r="H1505" s="312"/>
      <c r="I1505" s="313"/>
      <c r="J1505" s="307"/>
      <c r="K1505" s="16"/>
      <c r="L1505" s="17"/>
      <c r="M1505" s="20"/>
      <c r="N1505" s="14"/>
      <c r="O1505" s="15"/>
      <c r="P1505" s="22"/>
    </row>
    <row r="1506" spans="1:16" s="5" customFormat="1" ht="17.100000000000001" customHeight="1" x14ac:dyDescent="0.3">
      <c r="A1506" s="493"/>
      <c r="B1506" s="494"/>
      <c r="C1506" s="495"/>
      <c r="D1506" s="496"/>
      <c r="E1506" s="309"/>
      <c r="F1506" s="310"/>
      <c r="G1506" s="311"/>
      <c r="H1506" s="312"/>
      <c r="I1506" s="313"/>
      <c r="J1506" s="307"/>
      <c r="K1506" s="16"/>
      <c r="L1506" s="17"/>
      <c r="M1506" s="20"/>
      <c r="N1506" s="14"/>
      <c r="O1506" s="15"/>
      <c r="P1506" s="22"/>
    </row>
    <row r="1507" spans="1:16" s="5" customFormat="1" ht="17.100000000000001" customHeight="1" x14ac:dyDescent="0.3">
      <c r="A1507" s="493"/>
      <c r="B1507" s="494"/>
      <c r="C1507" s="495"/>
      <c r="D1507" s="496"/>
      <c r="E1507" s="309"/>
      <c r="F1507" s="310"/>
      <c r="G1507" s="311"/>
      <c r="H1507" s="312"/>
      <c r="I1507" s="313"/>
      <c r="J1507" s="307"/>
      <c r="K1507" s="16"/>
      <c r="L1507" s="17"/>
      <c r="M1507" s="20"/>
      <c r="N1507" s="14"/>
      <c r="O1507" s="15"/>
      <c r="P1507" s="22"/>
    </row>
    <row r="1508" spans="1:16" s="5" customFormat="1" ht="17.100000000000001" customHeight="1" x14ac:dyDescent="0.3">
      <c r="A1508" s="493"/>
      <c r="B1508" s="494"/>
      <c r="C1508" s="495"/>
      <c r="D1508" s="496"/>
      <c r="E1508" s="309"/>
      <c r="F1508" s="310"/>
      <c r="G1508" s="311"/>
      <c r="H1508" s="312"/>
      <c r="I1508" s="313"/>
      <c r="J1508" s="307"/>
      <c r="K1508" s="16"/>
      <c r="L1508" s="17"/>
      <c r="M1508" s="20"/>
      <c r="N1508" s="14"/>
      <c r="O1508" s="15"/>
      <c r="P1508" s="22"/>
    </row>
    <row r="1509" spans="1:16" s="5" customFormat="1" ht="17.100000000000001" customHeight="1" x14ac:dyDescent="0.3">
      <c r="A1509" s="493"/>
      <c r="B1509" s="494"/>
      <c r="C1509" s="495"/>
      <c r="D1509" s="496"/>
      <c r="E1509" s="309"/>
      <c r="F1509" s="310"/>
      <c r="G1509" s="311"/>
      <c r="H1509" s="312"/>
      <c r="I1509" s="313"/>
      <c r="J1509" s="307"/>
      <c r="K1509" s="16"/>
      <c r="L1509" s="17"/>
      <c r="M1509" s="20"/>
      <c r="N1509" s="14"/>
      <c r="O1509" s="15"/>
      <c r="P1509" s="22"/>
    </row>
    <row r="1510" spans="1:16" s="5" customFormat="1" ht="17.100000000000001" customHeight="1" x14ac:dyDescent="0.3">
      <c r="A1510" s="493"/>
      <c r="B1510" s="494"/>
      <c r="C1510" s="495"/>
      <c r="D1510" s="496"/>
      <c r="E1510" s="309"/>
      <c r="F1510" s="310"/>
      <c r="G1510" s="311"/>
      <c r="H1510" s="312"/>
      <c r="I1510" s="313"/>
      <c r="J1510" s="307"/>
      <c r="K1510" s="16"/>
      <c r="L1510" s="17"/>
      <c r="M1510" s="20"/>
      <c r="N1510" s="14"/>
      <c r="O1510" s="15"/>
      <c r="P1510" s="22"/>
    </row>
    <row r="1511" spans="1:16" s="5" customFormat="1" ht="17.100000000000001" customHeight="1" x14ac:dyDescent="0.3">
      <c r="A1511" s="493"/>
      <c r="B1511" s="494"/>
      <c r="C1511" s="495"/>
      <c r="D1511" s="496"/>
      <c r="E1511" s="309"/>
      <c r="F1511" s="310"/>
      <c r="G1511" s="311"/>
      <c r="H1511" s="312"/>
      <c r="I1511" s="313"/>
      <c r="J1511" s="307"/>
      <c r="K1511" s="16"/>
      <c r="L1511" s="17"/>
      <c r="M1511" s="20"/>
      <c r="N1511" s="14"/>
      <c r="O1511" s="15"/>
      <c r="P1511" s="22"/>
    </row>
    <row r="1512" spans="1:16" s="5" customFormat="1" ht="17.100000000000001" customHeight="1" x14ac:dyDescent="0.3">
      <c r="A1512" s="493"/>
      <c r="B1512" s="494"/>
      <c r="C1512" s="495"/>
      <c r="D1512" s="496"/>
      <c r="E1512" s="309"/>
      <c r="F1512" s="310"/>
      <c r="G1512" s="311"/>
      <c r="H1512" s="312"/>
      <c r="I1512" s="313"/>
      <c r="J1512" s="307"/>
      <c r="K1512" s="16"/>
      <c r="L1512" s="17"/>
      <c r="M1512" s="20"/>
      <c r="N1512" s="14"/>
      <c r="O1512" s="15"/>
      <c r="P1512" s="22"/>
    </row>
    <row r="1513" spans="1:16" s="5" customFormat="1" ht="17.100000000000001" customHeight="1" x14ac:dyDescent="0.3">
      <c r="A1513" s="493"/>
      <c r="B1513" s="494"/>
      <c r="C1513" s="495"/>
      <c r="D1513" s="496"/>
      <c r="E1513" s="309"/>
      <c r="F1513" s="310"/>
      <c r="G1513" s="311"/>
      <c r="H1513" s="312"/>
      <c r="I1513" s="313"/>
      <c r="J1513" s="307"/>
      <c r="K1513" s="16"/>
      <c r="L1513" s="17"/>
      <c r="M1513" s="20"/>
      <c r="N1513" s="14"/>
      <c r="O1513" s="15"/>
      <c r="P1513" s="22"/>
    </row>
    <row r="1514" spans="1:16" s="5" customFormat="1" ht="17.100000000000001" customHeight="1" x14ac:dyDescent="0.3">
      <c r="A1514" s="493"/>
      <c r="B1514" s="494"/>
      <c r="C1514" s="495"/>
      <c r="D1514" s="496"/>
      <c r="E1514" s="309"/>
      <c r="F1514" s="310"/>
      <c r="G1514" s="311"/>
      <c r="H1514" s="312"/>
      <c r="I1514" s="313"/>
      <c r="J1514" s="307"/>
      <c r="K1514" s="16"/>
      <c r="L1514" s="17"/>
      <c r="M1514" s="20"/>
      <c r="N1514" s="14"/>
      <c r="O1514" s="15"/>
      <c r="P1514" s="22"/>
    </row>
    <row r="1515" spans="1:16" s="5" customFormat="1" ht="17.100000000000001" customHeight="1" x14ac:dyDescent="0.3">
      <c r="A1515" s="493"/>
      <c r="B1515" s="494"/>
      <c r="C1515" s="495"/>
      <c r="D1515" s="496"/>
      <c r="E1515" s="309"/>
      <c r="F1515" s="310"/>
      <c r="G1515" s="311"/>
      <c r="H1515" s="312"/>
      <c r="I1515" s="313"/>
      <c r="J1515" s="307"/>
      <c r="K1515" s="16"/>
      <c r="L1515" s="17"/>
      <c r="M1515" s="20"/>
      <c r="N1515" s="14"/>
      <c r="O1515" s="15"/>
      <c r="P1515" s="22"/>
    </row>
    <row r="1516" spans="1:16" s="5" customFormat="1" ht="17.100000000000001" customHeight="1" x14ac:dyDescent="0.3">
      <c r="A1516" s="493"/>
      <c r="B1516" s="494"/>
      <c r="C1516" s="495"/>
      <c r="D1516" s="496"/>
      <c r="E1516" s="309"/>
      <c r="F1516" s="310"/>
      <c r="G1516" s="311"/>
      <c r="H1516" s="312"/>
      <c r="I1516" s="313"/>
      <c r="J1516" s="307"/>
      <c r="K1516" s="16"/>
      <c r="L1516" s="17"/>
      <c r="M1516" s="20"/>
      <c r="N1516" s="14"/>
      <c r="O1516" s="15"/>
      <c r="P1516" s="22"/>
    </row>
    <row r="1517" spans="1:16" s="5" customFormat="1" ht="17.100000000000001" customHeight="1" x14ac:dyDescent="0.3">
      <c r="A1517" s="493"/>
      <c r="B1517" s="494"/>
      <c r="C1517" s="495"/>
      <c r="D1517" s="496"/>
      <c r="E1517" s="309"/>
      <c r="F1517" s="310"/>
      <c r="G1517" s="311"/>
      <c r="H1517" s="312"/>
      <c r="I1517" s="313"/>
      <c r="J1517" s="307"/>
      <c r="K1517" s="16"/>
      <c r="L1517" s="17"/>
      <c r="M1517" s="20"/>
      <c r="N1517" s="14"/>
      <c r="O1517" s="15"/>
      <c r="P1517" s="22"/>
    </row>
    <row r="1518" spans="1:16" s="5" customFormat="1" ht="17.100000000000001" customHeight="1" x14ac:dyDescent="0.3">
      <c r="A1518" s="493"/>
      <c r="B1518" s="494"/>
      <c r="C1518" s="495"/>
      <c r="D1518" s="496"/>
      <c r="E1518" s="309"/>
      <c r="F1518" s="310"/>
      <c r="G1518" s="311"/>
      <c r="H1518" s="312"/>
      <c r="I1518" s="313"/>
      <c r="J1518" s="307"/>
      <c r="K1518" s="16"/>
      <c r="L1518" s="17"/>
      <c r="M1518" s="20"/>
      <c r="N1518" s="14"/>
      <c r="O1518" s="15"/>
      <c r="P1518" s="22"/>
    </row>
    <row r="1519" spans="1:16" s="5" customFormat="1" ht="17.100000000000001" customHeight="1" x14ac:dyDescent="0.3">
      <c r="A1519" s="493"/>
      <c r="B1519" s="494"/>
      <c r="C1519" s="495"/>
      <c r="D1519" s="496"/>
      <c r="E1519" s="309"/>
      <c r="F1519" s="310"/>
      <c r="G1519" s="311"/>
      <c r="H1519" s="312"/>
      <c r="I1519" s="313"/>
      <c r="J1519" s="307"/>
      <c r="K1519" s="16"/>
      <c r="L1519" s="17"/>
      <c r="M1519" s="20"/>
      <c r="N1519" s="14"/>
      <c r="O1519" s="15"/>
      <c r="P1519" s="22"/>
    </row>
    <row r="1520" spans="1:16" s="5" customFormat="1" ht="17.100000000000001" customHeight="1" x14ac:dyDescent="0.3">
      <c r="A1520" s="493"/>
      <c r="B1520" s="494"/>
      <c r="C1520" s="495"/>
      <c r="D1520" s="496"/>
      <c r="E1520" s="309"/>
      <c r="F1520" s="310"/>
      <c r="G1520" s="311"/>
      <c r="H1520" s="312"/>
      <c r="I1520" s="313"/>
      <c r="J1520" s="307"/>
      <c r="K1520" s="16"/>
      <c r="L1520" s="17"/>
      <c r="M1520" s="20"/>
      <c r="N1520" s="14"/>
      <c r="O1520" s="15"/>
      <c r="P1520" s="22"/>
    </row>
    <row r="1521" spans="1:16" s="5" customFormat="1" ht="17.100000000000001" customHeight="1" x14ac:dyDescent="0.3">
      <c r="A1521" s="493"/>
      <c r="B1521" s="494"/>
      <c r="C1521" s="495"/>
      <c r="D1521" s="496"/>
      <c r="E1521" s="309"/>
      <c r="F1521" s="310"/>
      <c r="G1521" s="311"/>
      <c r="H1521" s="312"/>
      <c r="I1521" s="313"/>
      <c r="J1521" s="307"/>
      <c r="K1521" s="16"/>
      <c r="L1521" s="17"/>
      <c r="M1521" s="20"/>
      <c r="N1521" s="14"/>
      <c r="O1521" s="15"/>
      <c r="P1521" s="22"/>
    </row>
    <row r="1522" spans="1:16" s="5" customFormat="1" ht="17.100000000000001" customHeight="1" x14ac:dyDescent="0.3">
      <c r="A1522" s="493"/>
      <c r="B1522" s="494"/>
      <c r="C1522" s="495"/>
      <c r="D1522" s="496"/>
      <c r="E1522" s="309"/>
      <c r="F1522" s="310"/>
      <c r="G1522" s="311"/>
      <c r="H1522" s="312"/>
      <c r="I1522" s="313"/>
      <c r="J1522" s="307"/>
      <c r="K1522" s="16"/>
      <c r="L1522" s="17"/>
      <c r="M1522" s="20"/>
      <c r="N1522" s="14"/>
      <c r="O1522" s="15"/>
      <c r="P1522" s="22"/>
    </row>
    <row r="1523" spans="1:16" s="5" customFormat="1" ht="17.100000000000001" customHeight="1" x14ac:dyDescent="0.3">
      <c r="A1523" s="493"/>
      <c r="B1523" s="494"/>
      <c r="C1523" s="495"/>
      <c r="D1523" s="496"/>
      <c r="E1523" s="309"/>
      <c r="F1523" s="310"/>
      <c r="G1523" s="311"/>
      <c r="H1523" s="312"/>
      <c r="I1523" s="313"/>
      <c r="J1523" s="307"/>
      <c r="K1523" s="16"/>
      <c r="L1523" s="17"/>
      <c r="M1523" s="20"/>
      <c r="N1523" s="14"/>
      <c r="O1523" s="15"/>
      <c r="P1523" s="22"/>
    </row>
    <row r="1524" spans="1:16" s="5" customFormat="1" ht="17.100000000000001" customHeight="1" x14ac:dyDescent="0.3">
      <c r="A1524" s="493"/>
      <c r="B1524" s="494"/>
      <c r="C1524" s="495"/>
      <c r="D1524" s="496"/>
      <c r="E1524" s="309"/>
      <c r="F1524" s="310"/>
      <c r="G1524" s="311"/>
      <c r="H1524" s="312"/>
      <c r="I1524" s="313"/>
      <c r="J1524" s="307"/>
      <c r="K1524" s="16"/>
      <c r="L1524" s="17"/>
      <c r="M1524" s="20"/>
      <c r="N1524" s="14"/>
      <c r="O1524" s="15"/>
      <c r="P1524" s="22"/>
    </row>
    <row r="1525" spans="1:16" s="5" customFormat="1" ht="17.100000000000001" customHeight="1" x14ac:dyDescent="0.3">
      <c r="A1525" s="493"/>
      <c r="B1525" s="494"/>
      <c r="C1525" s="495"/>
      <c r="D1525" s="496"/>
      <c r="E1525" s="309"/>
      <c r="F1525" s="310"/>
      <c r="G1525" s="311"/>
      <c r="H1525" s="312"/>
      <c r="I1525" s="313"/>
      <c r="J1525" s="307"/>
      <c r="K1525" s="16"/>
      <c r="L1525" s="17"/>
      <c r="M1525" s="20"/>
      <c r="N1525" s="14"/>
      <c r="O1525" s="15"/>
      <c r="P1525" s="22"/>
    </row>
    <row r="1526" spans="1:16" s="5" customFormat="1" ht="17.100000000000001" customHeight="1" x14ac:dyDescent="0.3">
      <c r="A1526" s="493"/>
      <c r="B1526" s="494"/>
      <c r="C1526" s="495"/>
      <c r="D1526" s="496"/>
      <c r="E1526" s="309"/>
      <c r="F1526" s="310"/>
      <c r="G1526" s="311"/>
      <c r="H1526" s="312"/>
      <c r="I1526" s="313"/>
      <c r="J1526" s="307"/>
      <c r="K1526" s="16"/>
      <c r="L1526" s="17"/>
      <c r="M1526" s="20"/>
      <c r="N1526" s="14"/>
      <c r="O1526" s="15"/>
      <c r="P1526" s="22"/>
    </row>
    <row r="1527" spans="1:16" s="5" customFormat="1" ht="17.100000000000001" customHeight="1" x14ac:dyDescent="0.3">
      <c r="A1527" s="493"/>
      <c r="B1527" s="494"/>
      <c r="C1527" s="495"/>
      <c r="D1527" s="496"/>
      <c r="E1527" s="309"/>
      <c r="F1527" s="310"/>
      <c r="G1527" s="311"/>
      <c r="H1527" s="312"/>
      <c r="I1527" s="313"/>
      <c r="J1527" s="307"/>
      <c r="K1527" s="16"/>
      <c r="L1527" s="17"/>
      <c r="M1527" s="20"/>
      <c r="N1527" s="14"/>
      <c r="O1527" s="15"/>
      <c r="P1527" s="22"/>
    </row>
    <row r="1528" spans="1:16" s="5" customFormat="1" x14ac:dyDescent="0.3">
      <c r="A1528" s="493"/>
      <c r="B1528" s="494"/>
      <c r="C1528" s="495"/>
      <c r="D1528" s="497"/>
      <c r="E1528" s="309"/>
      <c r="F1528" s="310"/>
      <c r="G1528" s="311"/>
      <c r="H1528" s="312"/>
      <c r="I1528" s="313"/>
      <c r="J1528" s="307"/>
      <c r="K1528" s="16"/>
      <c r="L1528" s="17"/>
      <c r="M1528" s="20"/>
      <c r="N1528" s="14"/>
      <c r="O1528" s="15"/>
      <c r="P1528" s="22"/>
    </row>
    <row r="1529" spans="1:16" s="5" customFormat="1" ht="15" customHeight="1" x14ac:dyDescent="0.3">
      <c r="A1529" s="493"/>
      <c r="B1529" s="494"/>
      <c r="C1529" s="495"/>
      <c r="D1529" s="497"/>
      <c r="E1529" s="309"/>
      <c r="F1529" s="310"/>
      <c r="G1529" s="311"/>
      <c r="H1529" s="312"/>
      <c r="I1529" s="313"/>
      <c r="J1529" s="307"/>
      <c r="K1529" s="16"/>
      <c r="L1529" s="17"/>
      <c r="M1529" s="20"/>
      <c r="N1529" s="14"/>
      <c r="O1529" s="15"/>
      <c r="P1529" s="22"/>
    </row>
    <row r="1530" spans="1:16" s="5" customFormat="1" ht="15" customHeight="1" x14ac:dyDescent="0.3">
      <c r="A1530" s="493"/>
      <c r="B1530" s="498"/>
      <c r="C1530" s="499"/>
      <c r="D1530" s="500"/>
      <c r="E1530" s="309"/>
      <c r="F1530" s="310"/>
      <c r="G1530" s="311"/>
      <c r="H1530" s="312"/>
      <c r="I1530" s="313"/>
      <c r="J1530" s="307"/>
      <c r="K1530" s="16"/>
      <c r="L1530" s="17"/>
      <c r="M1530" s="20"/>
      <c r="N1530" s="14"/>
      <c r="O1530" s="15"/>
      <c r="P1530" s="8"/>
    </row>
    <row r="1531" spans="1:16" s="5" customFormat="1" ht="15" customHeight="1" x14ac:dyDescent="0.3">
      <c r="A1531" s="501"/>
      <c r="B1531" s="498"/>
      <c r="C1531" s="502"/>
      <c r="D1531" s="496"/>
      <c r="E1531" s="309"/>
      <c r="F1531" s="310"/>
      <c r="G1531" s="311"/>
      <c r="H1531" s="312"/>
      <c r="I1531" s="313"/>
      <c r="J1531" s="307"/>
      <c r="K1531" s="16"/>
      <c r="L1531" s="17"/>
      <c r="M1531" s="20"/>
      <c r="N1531" s="14"/>
      <c r="O1531" s="15"/>
      <c r="P1531" s="8"/>
    </row>
    <row r="1532" spans="1:16" s="5" customFormat="1" ht="15" customHeight="1" x14ac:dyDescent="0.3">
      <c r="A1532" s="503"/>
      <c r="B1532" s="504"/>
      <c r="C1532" s="505"/>
      <c r="D1532" s="404"/>
      <c r="E1532" s="432"/>
      <c r="F1532" s="433"/>
      <c r="G1532" s="311"/>
      <c r="H1532" s="408"/>
      <c r="I1532" s="409"/>
      <c r="J1532" s="307"/>
      <c r="K1532" s="37"/>
      <c r="L1532" s="25"/>
      <c r="M1532" s="20"/>
      <c r="N1532" s="29"/>
      <c r="O1532" s="32"/>
      <c r="P1532" s="8"/>
    </row>
    <row r="1533" spans="1:16" s="54" customFormat="1" ht="30" customHeight="1" x14ac:dyDescent="0.3">
      <c r="A1533" s="506"/>
      <c r="B1533" s="507"/>
      <c r="C1533" s="507"/>
      <c r="D1533" s="508" t="s">
        <v>1231</v>
      </c>
      <c r="E1533" s="509"/>
      <c r="F1533" s="510"/>
      <c r="G1533" s="511" t="e">
        <f>+H1533/'[1]Bill02-Summary (MW)'!H11</f>
        <v>#DIV/0!</v>
      </c>
      <c r="H1533" s="512">
        <f>SUM(H12:H1532)</f>
        <v>0</v>
      </c>
      <c r="I1533" s="513"/>
      <c r="J1533" s="456"/>
      <c r="K1533" s="58"/>
      <c r="L1533" s="59"/>
      <c r="M1533" s="60"/>
      <c r="N1533" s="61"/>
      <c r="O1533" s="61"/>
      <c r="P1533" s="62"/>
    </row>
    <row r="1534" spans="1:16" s="5" customFormat="1" ht="15" customHeight="1" x14ac:dyDescent="0.3">
      <c r="A1534" s="514"/>
      <c r="B1534" s="515"/>
      <c r="C1534" s="515"/>
      <c r="D1534" s="476"/>
      <c r="E1534" s="516"/>
      <c r="F1534" s="517"/>
      <c r="G1534" s="518"/>
      <c r="H1534" s="519"/>
      <c r="I1534" s="520"/>
      <c r="J1534" s="307"/>
      <c r="K1534" s="63"/>
      <c r="L1534" s="64"/>
      <c r="M1534" s="66"/>
      <c r="N1534" s="65"/>
      <c r="O1534" s="67"/>
      <c r="P1534" s="8"/>
    </row>
    <row r="1535" spans="1:16" s="5" customFormat="1" ht="15" customHeight="1" x14ac:dyDescent="0.3">
      <c r="A1535" s="521"/>
      <c r="B1535" s="522"/>
      <c r="C1535" s="522"/>
      <c r="D1535" s="307"/>
      <c r="E1535" s="523"/>
      <c r="F1535" s="524"/>
      <c r="G1535" s="525"/>
      <c r="H1535" s="526"/>
      <c r="I1535" s="527"/>
      <c r="J1535" s="307"/>
      <c r="K1535" s="68"/>
      <c r="L1535" s="69"/>
      <c r="M1535" s="71"/>
      <c r="N1535" s="70"/>
      <c r="O1535" s="72"/>
      <c r="P1535" s="8"/>
    </row>
    <row r="1536" spans="1:16" ht="15" customHeight="1" outlineLevel="1" x14ac:dyDescent="0.25">
      <c r="A1536" s="528"/>
      <c r="D1536" s="530"/>
      <c r="E1536" s="531"/>
      <c r="F1536" s="532"/>
      <c r="G1536" s="533"/>
      <c r="H1536" s="534"/>
      <c r="I1536" s="535"/>
      <c r="K1536" s="75"/>
      <c r="L1536" s="76"/>
      <c r="M1536" s="78"/>
      <c r="N1536" s="77"/>
      <c r="O1536" s="79"/>
    </row>
  </sheetData>
  <protectedRanges>
    <protectedRange sqref="E1:I1048576" name="Range1"/>
  </protectedRanges>
  <autoFilter ref="D1:D1536" xr:uid="{B48052B4-B8F4-45DD-AC26-B0482213561D}"/>
  <mergeCells count="132">
    <mergeCell ref="C1389:D1389"/>
    <mergeCell ref="C1399:D1399"/>
    <mergeCell ref="C1405:D1405"/>
    <mergeCell ref="C1412:D1412"/>
    <mergeCell ref="C1415:D1415"/>
    <mergeCell ref="C1418:D1418"/>
    <mergeCell ref="C1336:D1336"/>
    <mergeCell ref="C1343:D1343"/>
    <mergeCell ref="C1350:D1350"/>
    <mergeCell ref="C1351:D1351"/>
    <mergeCell ref="C1365:D1365"/>
    <mergeCell ref="C1380:D1380"/>
    <mergeCell ref="C1313:D1313"/>
    <mergeCell ref="C1317:D1317"/>
    <mergeCell ref="C1320:D1320"/>
    <mergeCell ref="C1324:D1324"/>
    <mergeCell ref="C1328:D1328"/>
    <mergeCell ref="C1335:D1335"/>
    <mergeCell ref="C1195:D1195"/>
    <mergeCell ref="C1216:D1216"/>
    <mergeCell ref="C1277:D1277"/>
    <mergeCell ref="C1296:D1296"/>
    <mergeCell ref="C1297:D1297"/>
    <mergeCell ref="C1304:D1304"/>
    <mergeCell ref="C1143:D1143"/>
    <mergeCell ref="C1152:D1152"/>
    <mergeCell ref="C1158:D1158"/>
    <mergeCell ref="C1175:D1175"/>
    <mergeCell ref="C1178:D1178"/>
    <mergeCell ref="C1190:D1190"/>
    <mergeCell ref="C1098:D1098"/>
    <mergeCell ref="C1105:D1105"/>
    <mergeCell ref="C1109:D1109"/>
    <mergeCell ref="C1112:D1112"/>
    <mergeCell ref="C1120:D1120"/>
    <mergeCell ref="C1129:D1129"/>
    <mergeCell ref="C1048:D1048"/>
    <mergeCell ref="C1052:D1052"/>
    <mergeCell ref="C1065:D1065"/>
    <mergeCell ref="C1079:D1079"/>
    <mergeCell ref="C1082:D1082"/>
    <mergeCell ref="C1091:D1091"/>
    <mergeCell ref="C1005:D1005"/>
    <mergeCell ref="C1017:D1017"/>
    <mergeCell ref="C1028:D1028"/>
    <mergeCell ref="C1038:D1038"/>
    <mergeCell ref="C1041:D1041"/>
    <mergeCell ref="C1044:D1044"/>
    <mergeCell ref="C941:D941"/>
    <mergeCell ref="C951:D951"/>
    <mergeCell ref="C961:D961"/>
    <mergeCell ref="C979:D979"/>
    <mergeCell ref="C984:D984"/>
    <mergeCell ref="C997:D997"/>
    <mergeCell ref="C908:D908"/>
    <mergeCell ref="C912:D912"/>
    <mergeCell ref="C913:D913"/>
    <mergeCell ref="C916:D916"/>
    <mergeCell ref="C917:D917"/>
    <mergeCell ref="C936:D936"/>
    <mergeCell ref="C891:D891"/>
    <mergeCell ref="C894:D894"/>
    <mergeCell ref="C898:D898"/>
    <mergeCell ref="C899:D899"/>
    <mergeCell ref="C902:D902"/>
    <mergeCell ref="C905:D905"/>
    <mergeCell ref="C876:D876"/>
    <mergeCell ref="C878:D878"/>
    <mergeCell ref="C883:D883"/>
    <mergeCell ref="C884:D884"/>
    <mergeCell ref="C887:D887"/>
    <mergeCell ref="C890:D890"/>
    <mergeCell ref="C807:D807"/>
    <mergeCell ref="C842:D842"/>
    <mergeCell ref="C845:D845"/>
    <mergeCell ref="C851:D851"/>
    <mergeCell ref="C869:D869"/>
    <mergeCell ref="C875:D875"/>
    <mergeCell ref="C721:D721"/>
    <mergeCell ref="C782:D782"/>
    <mergeCell ref="C789:D789"/>
    <mergeCell ref="C794:D794"/>
    <mergeCell ref="C799:D799"/>
    <mergeCell ref="C802:D802"/>
    <mergeCell ref="C674:D674"/>
    <mergeCell ref="C687:D687"/>
    <mergeCell ref="C691:D691"/>
    <mergeCell ref="C696:D696"/>
    <mergeCell ref="C701:D701"/>
    <mergeCell ref="C704:D704"/>
    <mergeCell ref="C641:D641"/>
    <mergeCell ref="C644:D644"/>
    <mergeCell ref="C649:D649"/>
    <mergeCell ref="C654:D654"/>
    <mergeCell ref="C655:D655"/>
    <mergeCell ref="C659:D659"/>
    <mergeCell ref="C626:D626"/>
    <mergeCell ref="C628:D628"/>
    <mergeCell ref="C631:D631"/>
    <mergeCell ref="C634:D634"/>
    <mergeCell ref="C637:D637"/>
    <mergeCell ref="C640:D640"/>
    <mergeCell ref="C590:D590"/>
    <mergeCell ref="C594:D594"/>
    <mergeCell ref="C599:D599"/>
    <mergeCell ref="C608:D608"/>
    <mergeCell ref="C609:D609"/>
    <mergeCell ref="C618:D618"/>
    <mergeCell ref="C569:D569"/>
    <mergeCell ref="C574:D574"/>
    <mergeCell ref="C577:D577"/>
    <mergeCell ref="C581:D581"/>
    <mergeCell ref="C584:D584"/>
    <mergeCell ref="C587:D587"/>
    <mergeCell ref="C20:D20"/>
    <mergeCell ref="C488:D488"/>
    <mergeCell ref="C519:D519"/>
    <mergeCell ref="C533:D533"/>
    <mergeCell ref="C539:D539"/>
    <mergeCell ref="C565:D565"/>
    <mergeCell ref="I9:I10"/>
    <mergeCell ref="K9:K10"/>
    <mergeCell ref="L9:L10"/>
    <mergeCell ref="M9:M10"/>
    <mergeCell ref="N9:N10"/>
    <mergeCell ref="O9:O10"/>
    <mergeCell ref="A9:A10"/>
    <mergeCell ref="B9:D10"/>
    <mergeCell ref="E9:E10"/>
    <mergeCell ref="F9:F10"/>
    <mergeCell ref="G9:G10"/>
    <mergeCell ref="H9:H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27EF7-9B89-4DA7-9760-21E21A127ECA}">
  <dimension ref="A1:G628"/>
  <sheetViews>
    <sheetView topLeftCell="A53" workbookViewId="0">
      <selection activeCell="B76" sqref="B76"/>
    </sheetView>
  </sheetViews>
  <sheetFormatPr defaultColWidth="9.21875" defaultRowHeight="13.8" x14ac:dyDescent="0.3"/>
  <cols>
    <col min="1" max="1" width="6.21875" style="143" customWidth="1"/>
    <col min="2" max="2" width="67.21875" style="143" bestFit="1" customWidth="1"/>
    <col min="3" max="3" width="8.44140625" style="143" customWidth="1"/>
    <col min="4" max="4" width="5.44140625" style="143" customWidth="1"/>
    <col min="5" max="5" width="11.21875" style="143" customWidth="1" collapsed="1"/>
    <col min="6" max="16384" width="9.21875" style="143"/>
  </cols>
  <sheetData>
    <row r="1" spans="1:5" x14ac:dyDescent="0.3">
      <c r="A1" s="1" t="s">
        <v>0</v>
      </c>
      <c r="B1" s="139"/>
      <c r="C1" s="140"/>
      <c r="D1" s="141"/>
      <c r="E1" s="142"/>
    </row>
    <row r="2" spans="1:5" x14ac:dyDescent="0.3">
      <c r="A2" s="1" t="s">
        <v>1</v>
      </c>
      <c r="B2" s="139"/>
      <c r="C2" s="140"/>
      <c r="D2" s="141"/>
      <c r="E2" s="144"/>
    </row>
    <row r="3" spans="1:5" x14ac:dyDescent="0.3">
      <c r="A3" s="1" t="s">
        <v>2</v>
      </c>
      <c r="B3" s="145"/>
      <c r="C3" s="140"/>
      <c r="D3" s="141"/>
      <c r="E3" s="144"/>
    </row>
    <row r="4" spans="1:5" x14ac:dyDescent="0.3">
      <c r="A4" s="1" t="s">
        <v>3</v>
      </c>
      <c r="B4" s="145"/>
      <c r="C4" s="140"/>
      <c r="D4" s="141"/>
      <c r="E4" s="144"/>
    </row>
    <row r="5" spans="1:5" x14ac:dyDescent="0.3">
      <c r="A5" s="9" t="s">
        <v>4</v>
      </c>
      <c r="B5" s="145"/>
      <c r="C5" s="140"/>
      <c r="D5" s="141"/>
      <c r="E5" s="144"/>
    </row>
    <row r="6" spans="1:5" x14ac:dyDescent="0.3">
      <c r="A6" s="146"/>
      <c r="B6" s="147"/>
      <c r="C6" s="140"/>
      <c r="D6" s="141"/>
      <c r="E6" s="148"/>
    </row>
    <row r="7" spans="1:5" x14ac:dyDescent="0.3">
      <c r="A7" s="149"/>
      <c r="B7" s="150"/>
      <c r="C7" s="151"/>
      <c r="D7" s="152"/>
      <c r="E7" s="153"/>
    </row>
    <row r="8" spans="1:5" x14ac:dyDescent="0.3">
      <c r="A8" s="154"/>
      <c r="B8" s="155"/>
      <c r="C8" s="156"/>
      <c r="D8" s="157"/>
      <c r="E8" s="158"/>
    </row>
    <row r="9" spans="1:5" ht="17.25" customHeight="1" x14ac:dyDescent="0.3">
      <c r="A9" s="154"/>
      <c r="B9" s="155"/>
      <c r="C9" s="156"/>
      <c r="D9" s="157"/>
      <c r="E9" s="158"/>
    </row>
    <row r="10" spans="1:5" x14ac:dyDescent="0.3">
      <c r="A10" s="154"/>
      <c r="B10" s="155"/>
      <c r="C10" s="156"/>
      <c r="D10" s="157"/>
      <c r="E10" s="158"/>
    </row>
    <row r="11" spans="1:5" x14ac:dyDescent="0.3">
      <c r="A11" s="154"/>
      <c r="B11" s="155"/>
      <c r="C11" s="156"/>
      <c r="D11" s="157"/>
      <c r="E11" s="158"/>
    </row>
    <row r="12" spans="1:5" x14ac:dyDescent="0.3">
      <c r="A12" s="154"/>
      <c r="B12" s="155"/>
      <c r="C12" s="156"/>
      <c r="D12" s="157"/>
      <c r="E12" s="158"/>
    </row>
    <row r="13" spans="1:5" x14ac:dyDescent="0.3">
      <c r="A13" s="154"/>
      <c r="B13" s="155"/>
      <c r="C13" s="156"/>
      <c r="D13" s="157"/>
      <c r="E13" s="158"/>
    </row>
    <row r="14" spans="1:5" x14ac:dyDescent="0.3">
      <c r="A14" s="154"/>
      <c r="B14" s="155"/>
      <c r="C14" s="156"/>
      <c r="D14" s="157"/>
      <c r="E14" s="158"/>
    </row>
    <row r="15" spans="1:5" x14ac:dyDescent="0.3">
      <c r="A15" s="154"/>
      <c r="B15" s="155"/>
      <c r="C15" s="156"/>
      <c r="D15" s="157"/>
      <c r="E15" s="158"/>
    </row>
    <row r="16" spans="1:5" x14ac:dyDescent="0.3">
      <c r="A16" s="154"/>
      <c r="B16" s="155"/>
      <c r="C16" s="156"/>
      <c r="D16" s="157"/>
      <c r="E16" s="158"/>
    </row>
    <row r="17" spans="1:5" x14ac:dyDescent="0.3">
      <c r="A17" s="154"/>
      <c r="B17" s="155"/>
      <c r="C17" s="156"/>
      <c r="D17" s="157"/>
      <c r="E17" s="158"/>
    </row>
    <row r="18" spans="1:5" x14ac:dyDescent="0.3">
      <c r="A18" s="154"/>
      <c r="B18" s="155"/>
      <c r="C18" s="156"/>
      <c r="D18" s="157"/>
      <c r="E18" s="158"/>
    </row>
    <row r="19" spans="1:5" x14ac:dyDescent="0.3">
      <c r="A19" s="154"/>
      <c r="B19" s="155"/>
      <c r="C19" s="156"/>
      <c r="D19" s="157"/>
      <c r="E19" s="158"/>
    </row>
    <row r="20" spans="1:5" x14ac:dyDescent="0.3">
      <c r="A20" s="154"/>
      <c r="B20" s="155"/>
      <c r="C20" s="156"/>
      <c r="D20" s="157"/>
      <c r="E20" s="158"/>
    </row>
    <row r="21" spans="1:5" x14ac:dyDescent="0.3">
      <c r="A21" s="154"/>
      <c r="B21" s="155"/>
      <c r="C21" s="156"/>
      <c r="D21" s="157"/>
      <c r="E21" s="158"/>
    </row>
    <row r="22" spans="1:5" x14ac:dyDescent="0.3">
      <c r="A22" s="154"/>
      <c r="B22" s="155"/>
      <c r="C22" s="156"/>
      <c r="D22" s="157"/>
      <c r="E22" s="158"/>
    </row>
    <row r="23" spans="1:5" x14ac:dyDescent="0.3">
      <c r="A23" s="154"/>
      <c r="B23" s="155"/>
      <c r="C23" s="156"/>
      <c r="D23" s="157"/>
      <c r="E23" s="158"/>
    </row>
    <row r="24" spans="1:5" x14ac:dyDescent="0.3">
      <c r="A24" s="154"/>
      <c r="B24" s="159"/>
      <c r="C24" s="156"/>
      <c r="D24" s="157"/>
      <c r="E24" s="158"/>
    </row>
    <row r="25" spans="1:5" x14ac:dyDescent="0.3">
      <c r="A25" s="154"/>
      <c r="B25" s="159"/>
      <c r="C25" s="156"/>
      <c r="D25" s="157"/>
      <c r="E25" s="158"/>
    </row>
    <row r="26" spans="1:5" x14ac:dyDescent="0.3">
      <c r="A26" s="154"/>
      <c r="B26" s="159"/>
      <c r="C26" s="156"/>
      <c r="D26" s="157"/>
      <c r="E26" s="158"/>
    </row>
    <row r="27" spans="1:5" x14ac:dyDescent="0.3">
      <c r="A27" s="154"/>
      <c r="B27" s="159"/>
      <c r="C27" s="156"/>
      <c r="D27" s="157"/>
      <c r="E27" s="158"/>
    </row>
    <row r="28" spans="1:5" x14ac:dyDescent="0.3">
      <c r="A28" s="154"/>
      <c r="B28" s="159"/>
      <c r="C28" s="156"/>
      <c r="D28" s="157"/>
      <c r="E28" s="158"/>
    </row>
    <row r="29" spans="1:5" x14ac:dyDescent="0.3">
      <c r="A29" s="154"/>
      <c r="B29" s="155"/>
      <c r="C29" s="156"/>
      <c r="D29" s="157"/>
      <c r="E29" s="158"/>
    </row>
    <row r="30" spans="1:5" ht="19.5" customHeight="1" x14ac:dyDescent="0.35">
      <c r="A30" s="333" t="s">
        <v>1254</v>
      </c>
      <c r="B30" s="334"/>
      <c r="C30" s="334"/>
      <c r="D30" s="334"/>
      <c r="E30" s="335"/>
    </row>
    <row r="31" spans="1:5" ht="20.399999999999999" x14ac:dyDescent="0.35">
      <c r="A31" s="154"/>
      <c r="B31" s="160"/>
      <c r="C31" s="156"/>
      <c r="D31" s="157"/>
      <c r="E31" s="158"/>
    </row>
    <row r="32" spans="1:5" ht="20.399999999999999" x14ac:dyDescent="0.35">
      <c r="A32" s="333" t="s">
        <v>1255</v>
      </c>
      <c r="B32" s="334" t="s">
        <v>1256</v>
      </c>
      <c r="C32" s="334"/>
      <c r="D32" s="334"/>
      <c r="E32" s="335"/>
    </row>
    <row r="33" spans="1:5" x14ac:dyDescent="0.3">
      <c r="A33" s="154"/>
      <c r="B33" s="155"/>
      <c r="C33" s="156"/>
      <c r="D33" s="157"/>
      <c r="E33" s="158"/>
    </row>
    <row r="34" spans="1:5" x14ac:dyDescent="0.3">
      <c r="A34" s="154"/>
      <c r="B34" s="155"/>
      <c r="C34" s="156"/>
      <c r="D34" s="157"/>
      <c r="E34" s="158"/>
    </row>
    <row r="35" spans="1:5" x14ac:dyDescent="0.3">
      <c r="A35" s="154"/>
      <c r="B35" s="155"/>
      <c r="C35" s="156"/>
      <c r="D35" s="157"/>
      <c r="E35" s="158"/>
    </row>
    <row r="36" spans="1:5" x14ac:dyDescent="0.3">
      <c r="A36" s="154"/>
      <c r="B36" s="155"/>
      <c r="C36" s="156"/>
      <c r="D36" s="157"/>
      <c r="E36" s="158"/>
    </row>
    <row r="37" spans="1:5" x14ac:dyDescent="0.3">
      <c r="A37" s="154"/>
      <c r="B37" s="155"/>
      <c r="C37" s="156"/>
      <c r="D37" s="157"/>
      <c r="E37" s="158"/>
    </row>
    <row r="38" spans="1:5" x14ac:dyDescent="0.3">
      <c r="A38" s="154"/>
      <c r="B38" s="159"/>
      <c r="C38" s="156"/>
      <c r="D38" s="157"/>
      <c r="E38" s="158"/>
    </row>
    <row r="39" spans="1:5" x14ac:dyDescent="0.3">
      <c r="A39" s="154"/>
      <c r="B39" s="155"/>
      <c r="C39" s="156"/>
      <c r="D39" s="157"/>
      <c r="E39" s="158"/>
    </row>
    <row r="40" spans="1:5" x14ac:dyDescent="0.3">
      <c r="A40" s="154"/>
      <c r="B40" s="155"/>
      <c r="C40" s="156"/>
      <c r="D40" s="157"/>
      <c r="E40" s="158"/>
    </row>
    <row r="41" spans="1:5" x14ac:dyDescent="0.3">
      <c r="A41" s="154"/>
      <c r="B41" s="155"/>
      <c r="C41" s="156"/>
      <c r="D41" s="157"/>
      <c r="E41" s="158"/>
    </row>
    <row r="42" spans="1:5" x14ac:dyDescent="0.3">
      <c r="A42" s="154"/>
      <c r="B42" s="155"/>
      <c r="C42" s="156"/>
      <c r="D42" s="157"/>
      <c r="E42" s="158"/>
    </row>
    <row r="43" spans="1:5" x14ac:dyDescent="0.3">
      <c r="A43" s="154"/>
      <c r="B43" s="155"/>
      <c r="C43" s="156"/>
      <c r="D43" s="157"/>
      <c r="E43" s="158"/>
    </row>
    <row r="44" spans="1:5" x14ac:dyDescent="0.3">
      <c r="A44" s="154"/>
      <c r="B44" s="155"/>
      <c r="C44" s="156"/>
      <c r="D44" s="157"/>
      <c r="E44" s="158"/>
    </row>
    <row r="45" spans="1:5" x14ac:dyDescent="0.3">
      <c r="A45" s="154"/>
      <c r="B45" s="155"/>
      <c r="C45" s="156"/>
      <c r="D45" s="157"/>
      <c r="E45" s="158"/>
    </row>
    <row r="46" spans="1:5" x14ac:dyDescent="0.3">
      <c r="A46" s="154"/>
      <c r="B46" s="155"/>
      <c r="C46" s="156"/>
      <c r="D46" s="157"/>
      <c r="E46" s="158"/>
    </row>
    <row r="47" spans="1:5" x14ac:dyDescent="0.3">
      <c r="A47" s="154"/>
      <c r="B47" s="155"/>
      <c r="C47" s="156"/>
      <c r="D47" s="157"/>
      <c r="E47" s="158"/>
    </row>
    <row r="48" spans="1:5" x14ac:dyDescent="0.3">
      <c r="A48" s="154"/>
      <c r="B48" s="155"/>
      <c r="C48" s="156"/>
      <c r="D48" s="157"/>
      <c r="E48" s="158"/>
    </row>
    <row r="49" spans="1:7" ht="10.050000000000001" customHeight="1" x14ac:dyDescent="0.3">
      <c r="A49" s="154"/>
      <c r="B49" s="155"/>
      <c r="C49" s="156"/>
      <c r="D49" s="157"/>
      <c r="E49" s="158"/>
    </row>
    <row r="50" spans="1:7" ht="10.050000000000001" customHeight="1" x14ac:dyDescent="0.3">
      <c r="A50" s="154"/>
      <c r="B50" s="155"/>
      <c r="C50" s="156"/>
      <c r="D50" s="157"/>
      <c r="E50" s="158"/>
    </row>
    <row r="51" spans="1:7" ht="10.050000000000001" customHeight="1" x14ac:dyDescent="0.3">
      <c r="A51" s="154"/>
      <c r="B51" s="155"/>
      <c r="C51" s="156"/>
      <c r="D51" s="157"/>
      <c r="E51" s="158"/>
    </row>
    <row r="52" spans="1:7" x14ac:dyDescent="0.3">
      <c r="A52" s="161"/>
      <c r="B52" s="162"/>
      <c r="C52" s="163"/>
      <c r="D52" s="164"/>
      <c r="E52" s="165"/>
    </row>
    <row r="53" spans="1:7" s="172" customFormat="1" ht="28.5" customHeight="1" x14ac:dyDescent="0.3">
      <c r="A53" s="166" t="s">
        <v>1257</v>
      </c>
      <c r="B53" s="167" t="s">
        <v>1258</v>
      </c>
      <c r="C53" s="168"/>
      <c r="D53" s="166" t="s">
        <v>1259</v>
      </c>
      <c r="E53" s="169" t="s">
        <v>1260</v>
      </c>
      <c r="F53" s="170"/>
      <c r="G53" s="171"/>
    </row>
    <row r="54" spans="1:7" ht="15.6" x14ac:dyDescent="0.3">
      <c r="A54" s="173"/>
      <c r="B54" s="174" t="s">
        <v>1255</v>
      </c>
      <c r="C54" s="175"/>
      <c r="D54" s="173"/>
      <c r="E54" s="175"/>
    </row>
    <row r="55" spans="1:7" x14ac:dyDescent="0.3">
      <c r="A55" s="173"/>
      <c r="B55" s="175"/>
      <c r="C55" s="175"/>
      <c r="D55" s="173"/>
      <c r="E55" s="175"/>
    </row>
    <row r="56" spans="1:7" ht="14.4" x14ac:dyDescent="0.3">
      <c r="A56" s="173"/>
      <c r="B56" s="176" t="s">
        <v>1261</v>
      </c>
      <c r="C56" s="175"/>
      <c r="D56" s="173"/>
      <c r="E56" s="175"/>
    </row>
    <row r="57" spans="1:7" x14ac:dyDescent="0.3">
      <c r="A57" s="173"/>
      <c r="B57" s="175"/>
      <c r="C57" s="175"/>
      <c r="D57" s="173"/>
      <c r="E57" s="175"/>
    </row>
    <row r="58" spans="1:7" x14ac:dyDescent="0.3">
      <c r="A58" s="173"/>
      <c r="B58" s="177" t="s">
        <v>1262</v>
      </c>
      <c r="C58" s="175"/>
      <c r="D58" s="173"/>
      <c r="E58" s="175"/>
    </row>
    <row r="59" spans="1:7" x14ac:dyDescent="0.3">
      <c r="A59" s="173"/>
      <c r="B59" s="175"/>
      <c r="C59" s="175"/>
      <c r="D59" s="173"/>
      <c r="E59" s="175"/>
    </row>
    <row r="60" spans="1:7" x14ac:dyDescent="0.3">
      <c r="A60" s="173"/>
      <c r="B60" s="175" t="s">
        <v>1263</v>
      </c>
      <c r="C60" s="175"/>
      <c r="D60" s="173"/>
      <c r="E60" s="175"/>
    </row>
    <row r="61" spans="1:7" x14ac:dyDescent="0.3">
      <c r="A61" s="173"/>
      <c r="B61" s="175" t="s">
        <v>1264</v>
      </c>
      <c r="C61" s="175"/>
      <c r="D61" s="173"/>
      <c r="E61" s="175"/>
    </row>
    <row r="62" spans="1:7" x14ac:dyDescent="0.3">
      <c r="A62" s="173"/>
      <c r="B62" s="175"/>
      <c r="C62" s="175"/>
      <c r="D62" s="173"/>
      <c r="E62" s="175"/>
    </row>
    <row r="63" spans="1:7" x14ac:dyDescent="0.3">
      <c r="A63" s="173"/>
      <c r="B63" s="175" t="s">
        <v>1265</v>
      </c>
      <c r="C63" s="175"/>
      <c r="D63" s="173"/>
      <c r="E63" s="175"/>
    </row>
    <row r="64" spans="1:7" x14ac:dyDescent="0.3">
      <c r="A64" s="173"/>
      <c r="B64" s="175" t="s">
        <v>1266</v>
      </c>
      <c r="C64" s="175"/>
      <c r="D64" s="173"/>
      <c r="E64" s="175"/>
    </row>
    <row r="65" spans="1:5" x14ac:dyDescent="0.3">
      <c r="A65" s="173"/>
      <c r="B65" s="175" t="s">
        <v>1267</v>
      </c>
      <c r="C65" s="175"/>
      <c r="D65" s="173"/>
      <c r="E65" s="175"/>
    </row>
    <row r="66" spans="1:5" x14ac:dyDescent="0.3">
      <c r="A66" s="173"/>
      <c r="B66" s="175" t="s">
        <v>1268</v>
      </c>
      <c r="C66" s="175"/>
      <c r="D66" s="173"/>
      <c r="E66" s="175"/>
    </row>
    <row r="67" spans="1:5" x14ac:dyDescent="0.3">
      <c r="A67" s="173"/>
      <c r="B67" s="175"/>
      <c r="C67" s="175"/>
      <c r="D67" s="173"/>
      <c r="E67" s="175"/>
    </row>
    <row r="68" spans="1:5" x14ac:dyDescent="0.3">
      <c r="A68" s="173"/>
      <c r="B68" s="175" t="s">
        <v>1269</v>
      </c>
      <c r="C68" s="175"/>
      <c r="D68" s="173"/>
      <c r="E68" s="175"/>
    </row>
    <row r="69" spans="1:5" x14ac:dyDescent="0.3">
      <c r="A69" s="173"/>
      <c r="B69" s="175"/>
      <c r="C69" s="175"/>
      <c r="D69" s="173"/>
      <c r="E69" s="175"/>
    </row>
    <row r="70" spans="1:5" x14ac:dyDescent="0.3">
      <c r="A70" s="173"/>
      <c r="B70" s="175" t="s">
        <v>1270</v>
      </c>
      <c r="C70" s="175"/>
      <c r="D70" s="173"/>
      <c r="E70" s="175"/>
    </row>
    <row r="71" spans="1:5" x14ac:dyDescent="0.3">
      <c r="A71" s="173"/>
      <c r="B71" s="175" t="s">
        <v>1271</v>
      </c>
      <c r="C71" s="175"/>
      <c r="D71" s="173"/>
      <c r="E71" s="175"/>
    </row>
    <row r="72" spans="1:5" x14ac:dyDescent="0.3">
      <c r="A72" s="173"/>
      <c r="B72" s="175" t="s">
        <v>1272</v>
      </c>
      <c r="C72" s="175"/>
      <c r="D72" s="173"/>
      <c r="E72" s="175"/>
    </row>
    <row r="73" spans="1:5" x14ac:dyDescent="0.3">
      <c r="A73" s="173"/>
      <c r="B73" s="175" t="s">
        <v>1273</v>
      </c>
      <c r="C73" s="175"/>
      <c r="D73" s="173"/>
      <c r="E73" s="175"/>
    </row>
    <row r="74" spans="1:5" x14ac:dyDescent="0.3">
      <c r="A74" s="173"/>
      <c r="B74" s="175" t="s">
        <v>1274</v>
      </c>
      <c r="C74" s="175"/>
      <c r="D74" s="173"/>
      <c r="E74" s="175"/>
    </row>
    <row r="75" spans="1:5" x14ac:dyDescent="0.3">
      <c r="A75" s="173"/>
      <c r="B75" s="175" t="s">
        <v>1275</v>
      </c>
      <c r="C75" s="175"/>
      <c r="D75" s="173"/>
      <c r="E75" s="175"/>
    </row>
    <row r="76" spans="1:5" x14ac:dyDescent="0.3">
      <c r="A76" s="173"/>
      <c r="B76" s="175"/>
      <c r="C76" s="175"/>
      <c r="D76" s="173"/>
      <c r="E76" s="175"/>
    </row>
    <row r="77" spans="1:5" x14ac:dyDescent="0.3">
      <c r="A77" s="173"/>
      <c r="B77" s="175" t="s">
        <v>1276</v>
      </c>
      <c r="C77" s="175"/>
      <c r="D77" s="173"/>
      <c r="E77" s="175"/>
    </row>
    <row r="78" spans="1:5" x14ac:dyDescent="0.3">
      <c r="A78" s="173"/>
      <c r="B78" s="175" t="s">
        <v>1277</v>
      </c>
      <c r="C78" s="175"/>
      <c r="D78" s="173"/>
      <c r="E78" s="175"/>
    </row>
    <row r="79" spans="1:5" x14ac:dyDescent="0.3">
      <c r="A79" s="173"/>
      <c r="B79" s="175" t="s">
        <v>1278</v>
      </c>
      <c r="C79" s="175"/>
      <c r="D79" s="173"/>
      <c r="E79" s="175"/>
    </row>
    <row r="80" spans="1:5" x14ac:dyDescent="0.3">
      <c r="A80" s="173"/>
      <c r="B80" s="175"/>
      <c r="C80" s="175"/>
      <c r="D80" s="173"/>
      <c r="E80" s="175"/>
    </row>
    <row r="81" spans="1:7" x14ac:dyDescent="0.3">
      <c r="A81" s="173"/>
      <c r="B81" s="175" t="s">
        <v>1279</v>
      </c>
      <c r="C81" s="175"/>
      <c r="D81" s="173"/>
      <c r="E81" s="175"/>
    </row>
    <row r="82" spans="1:7" x14ac:dyDescent="0.3">
      <c r="A82" s="173"/>
      <c r="B82" s="175" t="s">
        <v>1280</v>
      </c>
      <c r="C82" s="175"/>
      <c r="D82" s="173"/>
      <c r="E82" s="175"/>
    </row>
    <row r="83" spans="1:7" x14ac:dyDescent="0.3">
      <c r="A83" s="173"/>
      <c r="B83" s="175" t="s">
        <v>1281</v>
      </c>
      <c r="C83" s="175"/>
      <c r="D83" s="173"/>
      <c r="E83" s="175"/>
    </row>
    <row r="84" spans="1:7" x14ac:dyDescent="0.3">
      <c r="A84" s="173"/>
      <c r="B84" s="175" t="s">
        <v>1282</v>
      </c>
      <c r="C84" s="175"/>
      <c r="D84" s="173"/>
      <c r="E84" s="175"/>
    </row>
    <row r="85" spans="1:7" x14ac:dyDescent="0.3">
      <c r="A85" s="173"/>
      <c r="B85" s="175"/>
      <c r="C85" s="175"/>
      <c r="D85" s="173"/>
      <c r="E85" s="175"/>
    </row>
    <row r="86" spans="1:7" x14ac:dyDescent="0.3">
      <c r="A86" s="173"/>
      <c r="B86" s="175" t="s">
        <v>1283</v>
      </c>
      <c r="C86" s="175"/>
      <c r="D86" s="173"/>
      <c r="E86" s="175"/>
    </row>
    <row r="87" spans="1:7" x14ac:dyDescent="0.3">
      <c r="A87" s="173"/>
      <c r="B87" s="175" t="s">
        <v>1284</v>
      </c>
      <c r="C87" s="175"/>
      <c r="D87" s="173"/>
      <c r="E87" s="175"/>
    </row>
    <row r="88" spans="1:7" x14ac:dyDescent="0.3">
      <c r="A88" s="173"/>
      <c r="B88" s="175"/>
      <c r="C88" s="175"/>
      <c r="D88" s="173"/>
      <c r="E88" s="175"/>
    </row>
    <row r="89" spans="1:7" x14ac:dyDescent="0.3">
      <c r="A89" s="173"/>
      <c r="B89" s="175"/>
      <c r="C89" s="175"/>
      <c r="D89" s="173"/>
      <c r="E89" s="175"/>
    </row>
    <row r="90" spans="1:7" x14ac:dyDescent="0.3">
      <c r="A90" s="178"/>
      <c r="B90" s="179"/>
      <c r="C90" s="179"/>
      <c r="D90" s="178"/>
      <c r="E90" s="179"/>
    </row>
    <row r="91" spans="1:7" s="172" customFormat="1" ht="28.5" customHeight="1" x14ac:dyDescent="0.3">
      <c r="A91" s="166" t="s">
        <v>1257</v>
      </c>
      <c r="B91" s="167" t="s">
        <v>1258</v>
      </c>
      <c r="C91" s="168"/>
      <c r="D91" s="166" t="s">
        <v>1259</v>
      </c>
      <c r="E91" s="169" t="s">
        <v>1260</v>
      </c>
      <c r="F91" s="170"/>
      <c r="G91" s="171"/>
    </row>
    <row r="92" spans="1:7" ht="16.2" customHeight="1" x14ac:dyDescent="0.3">
      <c r="A92" s="173"/>
      <c r="B92" s="176" t="s">
        <v>1285</v>
      </c>
      <c r="C92" s="175"/>
      <c r="D92" s="173"/>
      <c r="E92" s="175"/>
    </row>
    <row r="93" spans="1:7" ht="8.6999999999999993" customHeight="1" x14ac:dyDescent="0.3">
      <c r="A93" s="173"/>
      <c r="B93" s="175"/>
      <c r="C93" s="175"/>
      <c r="D93" s="173"/>
      <c r="E93" s="175"/>
    </row>
    <row r="94" spans="1:7" x14ac:dyDescent="0.3">
      <c r="A94" s="173"/>
      <c r="B94" s="177" t="s">
        <v>1286</v>
      </c>
      <c r="C94" s="175"/>
      <c r="D94" s="173"/>
      <c r="E94" s="175"/>
    </row>
    <row r="95" spans="1:7" ht="6.6" customHeight="1" x14ac:dyDescent="0.3">
      <c r="A95" s="173"/>
      <c r="B95" s="175"/>
      <c r="C95" s="175"/>
      <c r="D95" s="173"/>
      <c r="E95" s="175"/>
    </row>
    <row r="96" spans="1:7" x14ac:dyDescent="0.3">
      <c r="A96" s="173"/>
      <c r="B96" s="180" t="s">
        <v>1287</v>
      </c>
      <c r="C96" s="175"/>
      <c r="D96" s="173"/>
      <c r="E96" s="175"/>
    </row>
    <row r="97" spans="1:5" x14ac:dyDescent="0.3">
      <c r="A97" s="173"/>
      <c r="B97" s="181" t="s">
        <v>1288</v>
      </c>
      <c r="C97" s="175"/>
      <c r="D97" s="173"/>
      <c r="E97" s="175"/>
    </row>
    <row r="98" spans="1:5" x14ac:dyDescent="0.3">
      <c r="A98" s="173"/>
      <c r="B98" s="181" t="s">
        <v>1289</v>
      </c>
      <c r="C98" s="175"/>
      <c r="D98" s="173"/>
      <c r="E98" s="175"/>
    </row>
    <row r="99" spans="1:5" x14ac:dyDescent="0.3">
      <c r="A99" s="173"/>
      <c r="B99" s="181" t="s">
        <v>1290</v>
      </c>
      <c r="C99" s="175"/>
      <c r="D99" s="173"/>
      <c r="E99" s="175"/>
    </row>
    <row r="100" spans="1:5" x14ac:dyDescent="0.3">
      <c r="A100" s="173"/>
      <c r="B100" s="181" t="s">
        <v>1291</v>
      </c>
      <c r="C100" s="175"/>
      <c r="D100" s="173"/>
      <c r="E100" s="175"/>
    </row>
    <row r="101" spans="1:5" x14ac:dyDescent="0.3">
      <c r="A101" s="173"/>
      <c r="B101" s="181" t="s">
        <v>1292</v>
      </c>
      <c r="C101" s="175"/>
      <c r="D101" s="173"/>
      <c r="E101" s="175"/>
    </row>
    <row r="102" spans="1:5" ht="8.6999999999999993" customHeight="1" x14ac:dyDescent="0.3">
      <c r="A102" s="173"/>
      <c r="B102" s="175"/>
      <c r="C102" s="175"/>
      <c r="D102" s="173"/>
      <c r="E102" s="175"/>
    </row>
    <row r="103" spans="1:5" x14ac:dyDescent="0.3">
      <c r="A103" s="182" t="s">
        <v>1293</v>
      </c>
      <c r="B103" s="175" t="s">
        <v>1294</v>
      </c>
      <c r="C103" s="183"/>
      <c r="D103" s="173" t="s">
        <v>1295</v>
      </c>
      <c r="E103" s="175"/>
    </row>
    <row r="104" spans="1:5" ht="7.5" customHeight="1" x14ac:dyDescent="0.3">
      <c r="A104" s="182"/>
      <c r="B104" s="175"/>
      <c r="C104" s="175"/>
      <c r="D104" s="173"/>
      <c r="E104" s="175"/>
    </row>
    <row r="105" spans="1:5" x14ac:dyDescent="0.3">
      <c r="A105" s="182" t="str">
        <f>IF(D105&gt;0,IF(INDEX(A77:A103,MATCH(REPT("z",255),A77:A103))="H","J",IF(INDEX(A77:A103,MATCH(REPT("z",255),A77:A103))="N","P",CHAR(CODE(INDEX(A77:A103,MATCH(REPT("z",255),A77:A103)))+1))),)</f>
        <v>B</v>
      </c>
      <c r="B105" s="175" t="s">
        <v>1296</v>
      </c>
      <c r="C105" s="183"/>
      <c r="D105" s="173" t="s">
        <v>1295</v>
      </c>
      <c r="E105" s="175"/>
    </row>
    <row r="106" spans="1:5" ht="8.6999999999999993" customHeight="1" x14ac:dyDescent="0.3">
      <c r="A106" s="182"/>
      <c r="B106" s="175"/>
      <c r="C106" s="175"/>
      <c r="D106" s="173"/>
      <c r="E106" s="175"/>
    </row>
    <row r="107" spans="1:5" x14ac:dyDescent="0.3">
      <c r="A107" s="182" t="str">
        <f>IF(D107&gt;0,IF(INDEX(A79:A105,MATCH(REPT("z",255),A79:A105))="H","J",IF(INDEX(A79:A105,MATCH(REPT("z",255),A79:A105))="N","P",CHAR(CODE(INDEX(A79:A105,MATCH(REPT("z",255),A79:A105)))+1))),)</f>
        <v>C</v>
      </c>
      <c r="B107" s="175" t="s">
        <v>1297</v>
      </c>
      <c r="C107" s="183"/>
      <c r="D107" s="173" t="s">
        <v>1295</v>
      </c>
      <c r="E107" s="175"/>
    </row>
    <row r="108" spans="1:5" ht="8.25" customHeight="1" x14ac:dyDescent="0.3">
      <c r="A108" s="182"/>
      <c r="B108" s="175"/>
      <c r="C108" s="175"/>
      <c r="D108" s="173"/>
      <c r="E108" s="175"/>
    </row>
    <row r="109" spans="1:5" x14ac:dyDescent="0.3">
      <c r="A109" s="182" t="str">
        <f>IF(D109&gt;0,IF(INDEX(A81:A107,MATCH(REPT("z",255),A81:A107))="H","J",IF(INDEX(A81:A107,MATCH(REPT("z",255),A81:A107))="N","P",CHAR(CODE(INDEX(A81:A107,MATCH(REPT("z",255),A81:A107)))+1))),)</f>
        <v>D</v>
      </c>
      <c r="B109" s="175" t="s">
        <v>1298</v>
      </c>
      <c r="C109" s="183"/>
      <c r="D109" s="173" t="s">
        <v>1295</v>
      </c>
      <c r="E109" s="175"/>
    </row>
    <row r="110" spans="1:5" ht="8.25" customHeight="1" x14ac:dyDescent="0.3">
      <c r="A110" s="182"/>
      <c r="B110" s="175"/>
      <c r="C110" s="175"/>
      <c r="D110" s="173"/>
      <c r="E110" s="175"/>
    </row>
    <row r="111" spans="1:5" x14ac:dyDescent="0.3">
      <c r="A111" s="182" t="str">
        <f>IF(D111&gt;0,IF(INDEX(A83:A109,MATCH(REPT("z",255),A83:A109))="H","J",IF(INDEX(A83:A109,MATCH(REPT("z",255),A83:A109))="N","P",CHAR(CODE(INDEX(A83:A109,MATCH(REPT("z",255),A83:A109)))+1))),)</f>
        <v>E</v>
      </c>
      <c r="B111" s="175" t="s">
        <v>1299</v>
      </c>
      <c r="C111" s="183"/>
      <c r="D111" s="173" t="s">
        <v>1295</v>
      </c>
      <c r="E111" s="175"/>
    </row>
    <row r="112" spans="1:5" ht="7.5" customHeight="1" x14ac:dyDescent="0.3">
      <c r="A112" s="173"/>
      <c r="B112" s="175"/>
      <c r="C112" s="175"/>
      <c r="D112" s="173"/>
      <c r="E112" s="175"/>
    </row>
    <row r="113" spans="1:5" x14ac:dyDescent="0.3">
      <c r="A113" s="182" t="s">
        <v>1300</v>
      </c>
      <c r="B113" s="175" t="s">
        <v>1301</v>
      </c>
      <c r="C113" s="183"/>
      <c r="D113" s="173" t="s">
        <v>1295</v>
      </c>
      <c r="E113" s="175"/>
    </row>
    <row r="114" spans="1:5" ht="6.6" customHeight="1" x14ac:dyDescent="0.3">
      <c r="A114" s="182"/>
      <c r="B114" s="175"/>
      <c r="C114" s="175"/>
      <c r="D114" s="173"/>
      <c r="E114" s="175"/>
    </row>
    <row r="115" spans="1:5" x14ac:dyDescent="0.3">
      <c r="A115" s="182" t="str">
        <f>IF(D115&gt;0,IF(INDEX(A93:A113,MATCH(REPT("z",255),A93:A113))="H","J",IF(INDEX(A93:A113,MATCH(REPT("z",255),A93:A113))="N","P",CHAR(CODE(INDEX(A93:A113,MATCH(REPT("z",255),A93:A113)))+1))),)</f>
        <v>G</v>
      </c>
      <c r="B115" s="175" t="s">
        <v>1302</v>
      </c>
      <c r="C115" s="183"/>
      <c r="D115" s="173" t="s">
        <v>1295</v>
      </c>
      <c r="E115" s="175"/>
    </row>
    <row r="116" spans="1:5" ht="6.6" customHeight="1" x14ac:dyDescent="0.3">
      <c r="A116" s="182"/>
      <c r="B116" s="175"/>
      <c r="C116" s="175"/>
      <c r="D116" s="173"/>
      <c r="E116" s="175"/>
    </row>
    <row r="117" spans="1:5" x14ac:dyDescent="0.3">
      <c r="A117" s="182" t="str">
        <f>IF(D117&gt;0,IF(INDEX(A95:A115,MATCH(REPT("z",255),A95:A115))="H","J",IF(INDEX(A95:A115,MATCH(REPT("z",255),A95:A115))="N","P",CHAR(CODE(INDEX(A95:A115,MATCH(REPT("z",255),A95:A115)))+1))),)</f>
        <v>H</v>
      </c>
      <c r="B117" s="175" t="s">
        <v>1303</v>
      </c>
      <c r="C117" s="183"/>
      <c r="D117" s="173" t="s">
        <v>1295</v>
      </c>
      <c r="E117" s="175"/>
    </row>
    <row r="118" spans="1:5" ht="7.5" customHeight="1" x14ac:dyDescent="0.3">
      <c r="A118" s="182"/>
      <c r="B118" s="175"/>
      <c r="C118" s="175"/>
      <c r="D118" s="173"/>
      <c r="E118" s="175"/>
    </row>
    <row r="119" spans="1:5" x14ac:dyDescent="0.3">
      <c r="A119" s="182" t="str">
        <f>IF(D119&gt;0,IF(INDEX(A97:A117,MATCH(REPT("z",255),A97:A117))="H","J",IF(INDEX(A97:A117,MATCH(REPT("z",255),A97:A117))="N","P",CHAR(CODE(INDEX(A97:A117,MATCH(REPT("z",255),A97:A117)))+1))),)</f>
        <v>J</v>
      </c>
      <c r="B119" s="175" t="s">
        <v>1304</v>
      </c>
      <c r="C119" s="183"/>
      <c r="D119" s="173" t="s">
        <v>1295</v>
      </c>
      <c r="E119" s="175"/>
    </row>
    <row r="120" spans="1:5" ht="8.6999999999999993" customHeight="1" x14ac:dyDescent="0.3">
      <c r="A120" s="182"/>
      <c r="B120" s="175"/>
      <c r="C120" s="175"/>
      <c r="D120" s="173"/>
      <c r="E120" s="175"/>
    </row>
    <row r="121" spans="1:5" x14ac:dyDescent="0.3">
      <c r="A121" s="182" t="str">
        <f>IF(D121&gt;0,IF(INDEX(A99:A119,MATCH(REPT("z",255),A99:A119))="H","J",IF(INDEX(A99:A119,MATCH(REPT("z",255),A99:A119))="N","P",CHAR(CODE(INDEX(A99:A119,MATCH(REPT("z",255),A99:A119)))+1))),)</f>
        <v>K</v>
      </c>
      <c r="B121" s="175" t="s">
        <v>1305</v>
      </c>
      <c r="C121" s="183"/>
      <c r="D121" s="173" t="s">
        <v>1295</v>
      </c>
      <c r="E121" s="175"/>
    </row>
    <row r="122" spans="1:5" ht="10.050000000000001" customHeight="1" x14ac:dyDescent="0.3">
      <c r="A122" s="182"/>
      <c r="B122" s="175"/>
      <c r="C122" s="175"/>
      <c r="D122" s="173"/>
      <c r="E122" s="175"/>
    </row>
    <row r="123" spans="1:5" x14ac:dyDescent="0.3">
      <c r="A123" s="182" t="str">
        <f>IF(D123&gt;0,IF(INDEX(A101:A121,MATCH(REPT("z",255),A101:A121))="H","J",IF(INDEX(A101:A121,MATCH(REPT("z",255),A101:A121))="N","P",CHAR(CODE(INDEX(A101:A121,MATCH(REPT("z",255),A101:A121)))+1))),)</f>
        <v>L</v>
      </c>
      <c r="B123" s="175" t="s">
        <v>1306</v>
      </c>
      <c r="C123" s="183"/>
      <c r="D123" s="173" t="s">
        <v>1295</v>
      </c>
      <c r="E123" s="175"/>
    </row>
    <row r="124" spans="1:5" ht="6.6" customHeight="1" x14ac:dyDescent="0.3">
      <c r="A124" s="182"/>
      <c r="B124" s="175"/>
      <c r="C124" s="175"/>
      <c r="D124" s="173"/>
      <c r="E124" s="175"/>
    </row>
    <row r="125" spans="1:5" x14ac:dyDescent="0.3">
      <c r="A125" s="182" t="str">
        <f>IF(D125&gt;0,IF(INDEX(A103:A123,MATCH(REPT("z",255),A103:A123))="H","J",IF(INDEX(A103:A123,MATCH(REPT("z",255),A103:A123))="N","P",CHAR(CODE(INDEX(A103:A123,MATCH(REPT("z",255),A103:A123)))+1))),)</f>
        <v>M</v>
      </c>
      <c r="B125" s="175" t="s">
        <v>1307</v>
      </c>
      <c r="C125" s="183"/>
      <c r="D125" s="173" t="s">
        <v>1295</v>
      </c>
      <c r="E125" s="175"/>
    </row>
    <row r="126" spans="1:5" ht="7.05" customHeight="1" x14ac:dyDescent="0.3">
      <c r="A126" s="182"/>
      <c r="B126" s="175"/>
      <c r="C126" s="175"/>
      <c r="D126" s="173"/>
      <c r="E126" s="175"/>
    </row>
    <row r="127" spans="1:5" x14ac:dyDescent="0.3">
      <c r="A127" s="182" t="str">
        <f>IF(D127&gt;0,IF(INDEX(A105:A125,MATCH(REPT("z",255),A105:A125))="H","J",IF(INDEX(A105:A125,MATCH(REPT("z",255),A105:A125))="N","P",CHAR(CODE(INDEX(A105:A125,MATCH(REPT("z",255),A105:A125)))+1))),)</f>
        <v>N</v>
      </c>
      <c r="B127" s="175" t="s">
        <v>1308</v>
      </c>
      <c r="C127" s="183"/>
      <c r="D127" s="173" t="s">
        <v>1295</v>
      </c>
      <c r="E127" s="175"/>
    </row>
    <row r="128" spans="1:5" ht="8.25" customHeight="1" x14ac:dyDescent="0.3">
      <c r="A128" s="182"/>
      <c r="B128" s="175"/>
      <c r="C128" s="175"/>
      <c r="D128" s="173"/>
      <c r="E128" s="175"/>
    </row>
    <row r="129" spans="1:7" x14ac:dyDescent="0.3">
      <c r="A129" s="182" t="str">
        <f>IF(D129&gt;0,IF(INDEX(A107:A127,MATCH(REPT("z",255),A107:A127))="H","J",IF(INDEX(A107:A127,MATCH(REPT("z",255),A107:A127))="N","P",CHAR(CODE(INDEX(A107:A127,MATCH(REPT("z",255),A107:A127)))+1))),)</f>
        <v>P</v>
      </c>
      <c r="B129" s="175" t="s">
        <v>1309</v>
      </c>
      <c r="C129" s="183"/>
      <c r="D129" s="173" t="s">
        <v>1295</v>
      </c>
      <c r="E129" s="175"/>
    </row>
    <row r="130" spans="1:7" ht="6" customHeight="1" x14ac:dyDescent="0.3">
      <c r="A130" s="182"/>
      <c r="B130" s="175"/>
      <c r="C130" s="175"/>
      <c r="D130" s="173"/>
      <c r="E130" s="175"/>
    </row>
    <row r="131" spans="1:7" x14ac:dyDescent="0.3">
      <c r="A131" s="182" t="str">
        <f>IF(D131&gt;0,IF(INDEX(A109:A129,MATCH(REPT("z",255),A109:A129))="H","J",IF(INDEX(A109:A129,MATCH(REPT("z",255),A109:A129))="N","P",CHAR(CODE(INDEX(A109:A129,MATCH(REPT("z",255),A109:A129)))+1))),)</f>
        <v>Q</v>
      </c>
      <c r="B131" s="175" t="s">
        <v>1310</v>
      </c>
      <c r="C131" s="183"/>
      <c r="D131" s="173" t="s">
        <v>1295</v>
      </c>
      <c r="E131" s="175"/>
    </row>
    <row r="132" spans="1:7" ht="7.05" customHeight="1" x14ac:dyDescent="0.3">
      <c r="A132" s="182"/>
      <c r="B132" s="175"/>
      <c r="C132" s="175"/>
      <c r="D132" s="173"/>
      <c r="E132" s="175"/>
    </row>
    <row r="133" spans="1:7" x14ac:dyDescent="0.3">
      <c r="A133" s="182" t="str">
        <f>IF(D133&gt;0,IF(INDEX(A111:A131,MATCH(REPT("z",255),A111:A131))="H","J",IF(INDEX(A111:A131,MATCH(REPT("z",255),A111:A131))="N","P",CHAR(CODE(INDEX(A111:A131,MATCH(REPT("z",255),A111:A131)))+1))),)</f>
        <v>R</v>
      </c>
      <c r="B133" s="175" t="s">
        <v>1311</v>
      </c>
      <c r="C133" s="183"/>
      <c r="D133" s="173" t="s">
        <v>1295</v>
      </c>
      <c r="E133" s="175"/>
    </row>
    <row r="134" spans="1:7" ht="8.6999999999999993" customHeight="1" x14ac:dyDescent="0.3">
      <c r="A134" s="182"/>
      <c r="B134" s="175"/>
      <c r="C134" s="175"/>
      <c r="D134" s="173"/>
      <c r="E134" s="175"/>
    </row>
    <row r="135" spans="1:7" x14ac:dyDescent="0.3">
      <c r="A135" s="182" t="str">
        <f>IF(D135&gt;0,IF(INDEX(A90:A133,MATCH(REPT("z",255),A90:A133))="H","J",IF(INDEX(A90:A133,MATCH(REPT("z",255),A90:A133))="N","P",CHAR(CODE(INDEX(A90:A133,MATCH(REPT("z",255),A90:A133)))+1))),)</f>
        <v>S</v>
      </c>
      <c r="B135" s="175" t="s">
        <v>1312</v>
      </c>
      <c r="C135" s="183"/>
      <c r="D135" s="173" t="s">
        <v>1295</v>
      </c>
      <c r="E135" s="175"/>
    </row>
    <row r="136" spans="1:7" ht="6.6" customHeight="1" x14ac:dyDescent="0.3">
      <c r="A136" s="182"/>
      <c r="B136" s="175"/>
      <c r="C136" s="175"/>
      <c r="D136" s="173"/>
      <c r="E136" s="175"/>
    </row>
    <row r="137" spans="1:7" x14ac:dyDescent="0.3">
      <c r="A137" s="182" t="str">
        <f>IF(D137&gt;0,IF(INDEX(A113:A135,MATCH(REPT("z",255),A113:A135))="H","J",IF(INDEX(A113:A135,MATCH(REPT("z",255),A113:A135))="N","P",CHAR(CODE(INDEX(A113:A135,MATCH(REPT("z",255),A113:A135)))+1))),)</f>
        <v>T</v>
      </c>
      <c r="B137" s="175" t="s">
        <v>1313</v>
      </c>
      <c r="C137" s="183"/>
      <c r="D137" s="173" t="s">
        <v>1295</v>
      </c>
      <c r="E137" s="175"/>
    </row>
    <row r="138" spans="1:7" ht="9.15" customHeight="1" x14ac:dyDescent="0.3">
      <c r="A138" s="182"/>
      <c r="B138" s="175"/>
      <c r="C138" s="175"/>
      <c r="D138" s="173"/>
      <c r="E138" s="175"/>
    </row>
    <row r="139" spans="1:7" x14ac:dyDescent="0.3">
      <c r="A139" s="182" t="str">
        <f>IF(D139&gt;0,IF(INDEX(A114:A137,MATCH(REPT("z",255),A114:A137))="H","J",IF(INDEX(A114:A137,MATCH(REPT("z",255),A114:A137))="N","P",CHAR(CODE(INDEX(A114:A137,MATCH(REPT("z",255),A114:A137)))+1))),)</f>
        <v>U</v>
      </c>
      <c r="B139" s="175" t="s">
        <v>1314</v>
      </c>
      <c r="C139" s="183"/>
      <c r="D139" s="173" t="s">
        <v>1295</v>
      </c>
      <c r="E139" s="175"/>
    </row>
    <row r="140" spans="1:7" ht="10.050000000000001" customHeight="1" x14ac:dyDescent="0.3">
      <c r="A140" s="182"/>
      <c r="B140" s="175"/>
      <c r="C140" s="175"/>
      <c r="D140" s="173"/>
      <c r="E140" s="175"/>
    </row>
    <row r="141" spans="1:7" x14ac:dyDescent="0.3">
      <c r="A141" s="182" t="str">
        <f>IF(D141&gt;0,IF(INDEX(A116:A139,MATCH(REPT("z",255),A116:A139))="H","J",IF(INDEX(A116:A139,MATCH(REPT("z",255),A116:A139))="N","P",CHAR(CODE(INDEX(A116:A139,MATCH(REPT("z",255),A116:A139)))+1))),)</f>
        <v>V</v>
      </c>
      <c r="B141" s="175" t="s">
        <v>1315</v>
      </c>
      <c r="C141" s="183"/>
      <c r="D141" s="173" t="s">
        <v>1295</v>
      </c>
      <c r="E141" s="175"/>
    </row>
    <row r="142" spans="1:7" x14ac:dyDescent="0.3">
      <c r="A142" s="178"/>
      <c r="B142" s="179"/>
      <c r="C142" s="179"/>
      <c r="D142" s="178"/>
      <c r="E142" s="179"/>
    </row>
    <row r="143" spans="1:7" s="172" customFormat="1" ht="28.5" customHeight="1" x14ac:dyDescent="0.3">
      <c r="A143" s="166" t="s">
        <v>1257</v>
      </c>
      <c r="B143" s="167" t="s">
        <v>1258</v>
      </c>
      <c r="C143" s="168"/>
      <c r="D143" s="166" t="s">
        <v>1259</v>
      </c>
      <c r="E143" s="169" t="s">
        <v>1260</v>
      </c>
      <c r="F143" s="170"/>
      <c r="G143" s="171"/>
    </row>
    <row r="144" spans="1:7" ht="19.5" customHeight="1" x14ac:dyDescent="0.3">
      <c r="A144" s="184"/>
      <c r="B144" s="185" t="s">
        <v>1316</v>
      </c>
      <c r="C144" s="175"/>
      <c r="D144" s="173"/>
      <c r="E144" s="175"/>
    </row>
    <row r="145" spans="1:5" x14ac:dyDescent="0.3">
      <c r="A145" s="184"/>
      <c r="B145" s="175"/>
      <c r="C145" s="175"/>
      <c r="D145" s="173"/>
      <c r="E145" s="175"/>
    </row>
    <row r="146" spans="1:5" x14ac:dyDescent="0.3">
      <c r="A146" s="182" t="s">
        <v>1293</v>
      </c>
      <c r="B146" s="175" t="s">
        <v>1317</v>
      </c>
      <c r="C146" s="183"/>
      <c r="D146" s="173" t="s">
        <v>1295</v>
      </c>
      <c r="E146" s="186"/>
    </row>
    <row r="147" spans="1:5" x14ac:dyDescent="0.3">
      <c r="A147" s="182"/>
      <c r="B147" s="175"/>
      <c r="C147" s="175"/>
      <c r="D147" s="173"/>
      <c r="E147" s="175"/>
    </row>
    <row r="148" spans="1:5" x14ac:dyDescent="0.3">
      <c r="A148" s="182" t="str">
        <f>IF(D148&gt;0,IF(INDEX(A120:A146,MATCH(REPT("z",255),A120:A146))="H","J",IF(INDEX(A120:A146,MATCH(REPT("z",255),A120:A146))="N","P",CHAR(CODE(INDEX(A120:A146,MATCH(REPT("z",255),A120:A146)))+1))),)</f>
        <v>B</v>
      </c>
      <c r="B148" s="175" t="s">
        <v>1318</v>
      </c>
      <c r="C148" s="183"/>
      <c r="D148" s="173" t="s">
        <v>1295</v>
      </c>
      <c r="E148" s="175"/>
    </row>
    <row r="149" spans="1:5" x14ac:dyDescent="0.3">
      <c r="A149" s="182"/>
      <c r="B149" s="175"/>
      <c r="C149" s="175"/>
      <c r="D149" s="173"/>
      <c r="E149" s="175"/>
    </row>
    <row r="150" spans="1:5" x14ac:dyDescent="0.3">
      <c r="A150" s="182" t="str">
        <f>IF(D150&gt;0,IF(INDEX(A122:A148,MATCH(REPT("z",255),A122:A148))="H","J",IF(INDEX(A122:A148,MATCH(REPT("z",255),A122:A148))="N","P",CHAR(CODE(INDEX(A122:A148,MATCH(REPT("z",255),A122:A148)))+1))),)</f>
        <v>C</v>
      </c>
      <c r="B150" s="175" t="s">
        <v>1319</v>
      </c>
      <c r="C150" s="183"/>
      <c r="D150" s="173" t="s">
        <v>1295</v>
      </c>
      <c r="E150" s="175"/>
    </row>
    <row r="151" spans="1:5" x14ac:dyDescent="0.3">
      <c r="A151" s="182"/>
      <c r="B151" s="175"/>
      <c r="C151" s="175"/>
      <c r="D151" s="173"/>
      <c r="E151" s="175"/>
    </row>
    <row r="152" spans="1:5" x14ac:dyDescent="0.3">
      <c r="A152" s="182" t="str">
        <f>IF(D152&gt;0,IF(INDEX(A124:A150,MATCH(REPT("z",255),A124:A150))="H","J",IF(INDEX(A124:A150,MATCH(REPT("z",255),A124:A150))="N","P",CHAR(CODE(INDEX(A124:A150,MATCH(REPT("z",255),A124:A150)))+1))),)</f>
        <v>D</v>
      </c>
      <c r="B152" s="175" t="s">
        <v>1320</v>
      </c>
      <c r="C152" s="183"/>
      <c r="D152" s="173" t="s">
        <v>1295</v>
      </c>
      <c r="E152" s="175"/>
    </row>
    <row r="153" spans="1:5" x14ac:dyDescent="0.3">
      <c r="A153" s="182"/>
      <c r="B153" s="175"/>
      <c r="C153" s="175"/>
      <c r="D153" s="173"/>
      <c r="E153" s="175"/>
    </row>
    <row r="154" spans="1:5" x14ac:dyDescent="0.3">
      <c r="A154" s="182" t="str">
        <f>IF(D154&gt;0,IF(INDEX(A126:A152,MATCH(REPT("z",255),A126:A152))="H","J",IF(INDEX(A126:A152,MATCH(REPT("z",255),A126:A152))="N","P",CHAR(CODE(INDEX(A126:A152,MATCH(REPT("z",255),A126:A152)))+1))),)</f>
        <v>E</v>
      </c>
      <c r="B154" s="175" t="s">
        <v>1321</v>
      </c>
      <c r="C154" s="183"/>
      <c r="D154" s="173" t="s">
        <v>1295</v>
      </c>
      <c r="E154" s="175"/>
    </row>
    <row r="155" spans="1:5" x14ac:dyDescent="0.3">
      <c r="A155" s="182"/>
      <c r="B155" s="175"/>
      <c r="C155" s="175"/>
      <c r="D155" s="173"/>
      <c r="E155" s="175"/>
    </row>
    <row r="156" spans="1:5" x14ac:dyDescent="0.3">
      <c r="A156" s="182" t="str">
        <f>IF(D156&gt;0,IF(INDEX(A128:A154,MATCH(REPT("z",255),A128:A154))="H","J",IF(INDEX(A128:A154,MATCH(REPT("z",255),A128:A154))="N","P",CHAR(CODE(INDEX(A128:A154,MATCH(REPT("z",255),A128:A154)))+1))),)</f>
        <v>F</v>
      </c>
      <c r="B156" s="175" t="s">
        <v>1322</v>
      </c>
      <c r="C156" s="175"/>
      <c r="D156" s="173" t="s">
        <v>1323</v>
      </c>
      <c r="E156" s="175"/>
    </row>
    <row r="157" spans="1:5" x14ac:dyDescent="0.3">
      <c r="A157" s="173"/>
      <c r="B157" s="175"/>
      <c r="C157" s="175"/>
      <c r="D157" s="173"/>
      <c r="E157" s="175"/>
    </row>
    <row r="158" spans="1:5" x14ac:dyDescent="0.3">
      <c r="A158" s="173"/>
      <c r="B158" s="177" t="s">
        <v>1285</v>
      </c>
      <c r="C158" s="175"/>
      <c r="D158" s="173"/>
      <c r="E158" s="175"/>
    </row>
    <row r="159" spans="1:5" x14ac:dyDescent="0.3">
      <c r="A159" s="173"/>
      <c r="B159" s="175"/>
      <c r="C159" s="175"/>
      <c r="D159" s="173"/>
      <c r="E159" s="175"/>
    </row>
    <row r="160" spans="1:5" ht="27.6" x14ac:dyDescent="0.3">
      <c r="A160" s="173"/>
      <c r="B160" s="187" t="s">
        <v>1324</v>
      </c>
      <c r="C160" s="175"/>
      <c r="D160" s="173"/>
      <c r="E160" s="175"/>
    </row>
    <row r="161" spans="1:5" x14ac:dyDescent="0.3">
      <c r="A161" s="173"/>
      <c r="B161" s="180"/>
      <c r="C161" s="175"/>
      <c r="D161" s="173"/>
      <c r="E161" s="175"/>
    </row>
    <row r="162" spans="1:5" x14ac:dyDescent="0.3">
      <c r="A162" s="173"/>
      <c r="B162" s="180"/>
      <c r="C162" s="175"/>
      <c r="D162" s="173"/>
      <c r="E162" s="175"/>
    </row>
    <row r="163" spans="1:5" x14ac:dyDescent="0.3">
      <c r="A163" s="173"/>
      <c r="B163" s="180"/>
      <c r="C163" s="175"/>
      <c r="D163" s="173"/>
      <c r="E163" s="175"/>
    </row>
    <row r="164" spans="1:5" x14ac:dyDescent="0.3">
      <c r="A164" s="173"/>
      <c r="B164" s="180"/>
      <c r="C164" s="175"/>
      <c r="D164" s="173"/>
      <c r="E164" s="175"/>
    </row>
    <row r="165" spans="1:5" x14ac:dyDescent="0.3">
      <c r="A165" s="173"/>
      <c r="B165" s="180"/>
      <c r="C165" s="175"/>
      <c r="D165" s="173"/>
      <c r="E165" s="175"/>
    </row>
    <row r="166" spans="1:5" x14ac:dyDescent="0.3">
      <c r="A166" s="173"/>
      <c r="B166" s="180"/>
      <c r="C166" s="175"/>
      <c r="D166" s="173"/>
      <c r="E166" s="175"/>
    </row>
    <row r="167" spans="1:5" x14ac:dyDescent="0.3">
      <c r="A167" s="173"/>
      <c r="B167" s="180"/>
      <c r="C167" s="175"/>
      <c r="D167" s="173"/>
      <c r="E167" s="175"/>
    </row>
    <row r="168" spans="1:5" x14ac:dyDescent="0.3">
      <c r="A168" s="173"/>
      <c r="B168" s="180"/>
      <c r="C168" s="175"/>
      <c r="D168" s="173"/>
      <c r="E168" s="175"/>
    </row>
    <row r="169" spans="1:5" x14ac:dyDescent="0.3">
      <c r="A169" s="173"/>
      <c r="B169" s="180"/>
      <c r="C169" s="175"/>
      <c r="D169" s="173"/>
      <c r="E169" s="175"/>
    </row>
    <row r="170" spans="1:5" x14ac:dyDescent="0.3">
      <c r="A170" s="173"/>
      <c r="B170" s="180"/>
      <c r="C170" s="175"/>
      <c r="D170" s="173"/>
      <c r="E170" s="175"/>
    </row>
    <row r="171" spans="1:5" x14ac:dyDescent="0.3">
      <c r="A171" s="173"/>
      <c r="B171" s="180"/>
      <c r="C171" s="175"/>
      <c r="D171" s="173"/>
      <c r="E171" s="175"/>
    </row>
    <row r="172" spans="1:5" x14ac:dyDescent="0.3">
      <c r="A172" s="173"/>
      <c r="B172" s="180"/>
      <c r="C172" s="175"/>
      <c r="D172" s="173"/>
      <c r="E172" s="175"/>
    </row>
    <row r="173" spans="1:5" x14ac:dyDescent="0.3">
      <c r="A173" s="173"/>
      <c r="B173" s="180"/>
      <c r="C173" s="175"/>
      <c r="D173" s="173"/>
      <c r="E173" s="175"/>
    </row>
    <row r="174" spans="1:5" x14ac:dyDescent="0.3">
      <c r="A174" s="173"/>
      <c r="B174" s="180"/>
      <c r="C174" s="175"/>
      <c r="D174" s="173"/>
      <c r="E174" s="175"/>
    </row>
    <row r="175" spans="1:5" x14ac:dyDescent="0.3">
      <c r="A175" s="173"/>
      <c r="B175" s="180"/>
      <c r="C175" s="175"/>
      <c r="D175" s="173"/>
      <c r="E175" s="175"/>
    </row>
    <row r="176" spans="1:5" x14ac:dyDescent="0.3">
      <c r="A176" s="173"/>
      <c r="B176" s="180"/>
      <c r="C176" s="175"/>
      <c r="D176" s="173"/>
      <c r="E176" s="175"/>
    </row>
    <row r="177" spans="1:7" x14ac:dyDescent="0.3">
      <c r="A177" s="173"/>
      <c r="B177" s="180"/>
      <c r="C177" s="175"/>
      <c r="D177" s="173"/>
      <c r="E177" s="175"/>
    </row>
    <row r="178" spans="1:7" x14ac:dyDescent="0.3">
      <c r="A178" s="173"/>
      <c r="B178" s="180"/>
      <c r="C178" s="175"/>
      <c r="D178" s="173"/>
      <c r="E178" s="175"/>
    </row>
    <row r="179" spans="1:7" x14ac:dyDescent="0.3">
      <c r="A179" s="173"/>
      <c r="B179" s="180"/>
      <c r="C179" s="175"/>
      <c r="D179" s="173"/>
      <c r="E179" s="175"/>
    </row>
    <row r="180" spans="1:7" x14ac:dyDescent="0.3">
      <c r="A180" s="173"/>
      <c r="B180" s="175"/>
      <c r="C180" s="175"/>
      <c r="D180" s="173"/>
      <c r="E180" s="175"/>
    </row>
    <row r="181" spans="1:7" x14ac:dyDescent="0.3">
      <c r="A181" s="173"/>
      <c r="B181" s="175"/>
      <c r="C181" s="175"/>
      <c r="D181" s="173"/>
      <c r="E181" s="175"/>
    </row>
    <row r="182" spans="1:7" x14ac:dyDescent="0.3">
      <c r="A182" s="173"/>
      <c r="B182" s="175"/>
      <c r="C182" s="175"/>
      <c r="D182" s="173"/>
      <c r="E182" s="175"/>
    </row>
    <row r="183" spans="1:7" x14ac:dyDescent="0.3">
      <c r="A183" s="173"/>
      <c r="B183" s="175"/>
      <c r="C183" s="175"/>
      <c r="D183" s="173"/>
      <c r="E183" s="175"/>
    </row>
    <row r="184" spans="1:7" x14ac:dyDescent="0.3">
      <c r="A184" s="173"/>
      <c r="B184" s="175"/>
      <c r="C184" s="175"/>
      <c r="D184" s="173"/>
      <c r="E184" s="175"/>
    </row>
    <row r="185" spans="1:7" x14ac:dyDescent="0.3">
      <c r="A185" s="173"/>
      <c r="B185" s="175"/>
      <c r="C185" s="175"/>
      <c r="D185" s="173"/>
      <c r="E185" s="175"/>
    </row>
    <row r="186" spans="1:7" x14ac:dyDescent="0.3">
      <c r="A186" s="188"/>
      <c r="B186" s="189"/>
      <c r="C186" s="189"/>
      <c r="D186" s="188"/>
      <c r="E186" s="189"/>
    </row>
    <row r="187" spans="1:7" x14ac:dyDescent="0.3">
      <c r="A187" s="178"/>
      <c r="B187" s="179"/>
      <c r="C187" s="179"/>
      <c r="D187" s="178"/>
      <c r="E187" s="179"/>
    </row>
    <row r="188" spans="1:7" s="172" customFormat="1" ht="28.5" customHeight="1" x14ac:dyDescent="0.3">
      <c r="A188" s="166" t="s">
        <v>1257</v>
      </c>
      <c r="B188" s="167" t="s">
        <v>1258</v>
      </c>
      <c r="C188" s="168"/>
      <c r="D188" s="166" t="s">
        <v>1259</v>
      </c>
      <c r="E188" s="169" t="s">
        <v>1260</v>
      </c>
      <c r="F188" s="170"/>
      <c r="G188" s="171"/>
    </row>
    <row r="189" spans="1:7" ht="17.100000000000001" customHeight="1" x14ac:dyDescent="0.3">
      <c r="A189" s="173"/>
      <c r="B189" s="176" t="s">
        <v>1325</v>
      </c>
      <c r="C189" s="175"/>
      <c r="D189" s="173"/>
      <c r="E189" s="175"/>
    </row>
    <row r="190" spans="1:7" x14ac:dyDescent="0.3">
      <c r="A190" s="173"/>
      <c r="B190" s="175"/>
      <c r="C190" s="175"/>
      <c r="D190" s="173"/>
      <c r="E190" s="175"/>
    </row>
    <row r="191" spans="1:7" x14ac:dyDescent="0.3">
      <c r="A191" s="173"/>
      <c r="B191" s="177" t="s">
        <v>1286</v>
      </c>
      <c r="C191" s="175"/>
      <c r="D191" s="173"/>
      <c r="E191" s="175"/>
    </row>
    <row r="192" spans="1:7" ht="9.15" customHeight="1" x14ac:dyDescent="0.3">
      <c r="A192" s="173"/>
      <c r="B192" s="175"/>
      <c r="C192" s="175"/>
      <c r="D192" s="173"/>
      <c r="E192" s="175"/>
    </row>
    <row r="193" spans="1:5" x14ac:dyDescent="0.3">
      <c r="A193" s="173"/>
      <c r="B193" s="180" t="s">
        <v>1326</v>
      </c>
      <c r="C193" s="175"/>
      <c r="D193" s="173"/>
      <c r="E193" s="175"/>
    </row>
    <row r="194" spans="1:5" x14ac:dyDescent="0.3">
      <c r="A194" s="173"/>
      <c r="B194" s="180" t="s">
        <v>1327</v>
      </c>
      <c r="C194" s="175"/>
      <c r="D194" s="173"/>
      <c r="E194" s="175"/>
    </row>
    <row r="195" spans="1:5" x14ac:dyDescent="0.3">
      <c r="A195" s="173"/>
      <c r="B195" s="180" t="s">
        <v>1328</v>
      </c>
      <c r="C195" s="175"/>
      <c r="D195" s="173"/>
      <c r="E195" s="175"/>
    </row>
    <row r="196" spans="1:5" x14ac:dyDescent="0.3">
      <c r="A196" s="173"/>
      <c r="B196" s="180" t="s">
        <v>1329</v>
      </c>
      <c r="C196" s="175"/>
      <c r="D196" s="173"/>
      <c r="E196" s="175"/>
    </row>
    <row r="197" spans="1:5" x14ac:dyDescent="0.3">
      <c r="A197" s="173"/>
      <c r="B197" s="180"/>
      <c r="C197" s="175"/>
      <c r="D197" s="173"/>
      <c r="E197" s="175"/>
    </row>
    <row r="198" spans="1:5" x14ac:dyDescent="0.3">
      <c r="A198" s="173"/>
      <c r="B198" s="180" t="s">
        <v>1330</v>
      </c>
      <c r="C198" s="175"/>
      <c r="D198" s="173"/>
      <c r="E198" s="175"/>
    </row>
    <row r="199" spans="1:5" x14ac:dyDescent="0.3">
      <c r="A199" s="173"/>
      <c r="B199" s="180" t="s">
        <v>1331</v>
      </c>
      <c r="C199" s="175"/>
      <c r="D199" s="173"/>
      <c r="E199" s="175"/>
    </row>
    <row r="200" spans="1:5" x14ac:dyDescent="0.3">
      <c r="A200" s="173"/>
      <c r="B200" s="175"/>
      <c r="C200" s="175"/>
      <c r="D200" s="173"/>
      <c r="E200" s="175"/>
    </row>
    <row r="201" spans="1:5" x14ac:dyDescent="0.3">
      <c r="A201" s="182" t="s">
        <v>1293</v>
      </c>
      <c r="B201" s="175" t="s">
        <v>1332</v>
      </c>
      <c r="C201" s="183"/>
      <c r="D201" s="173" t="s">
        <v>1295</v>
      </c>
      <c r="E201" s="175"/>
    </row>
    <row r="202" spans="1:5" ht="8.6999999999999993" customHeight="1" x14ac:dyDescent="0.3">
      <c r="A202" s="182"/>
      <c r="B202" s="175"/>
      <c r="C202" s="175"/>
      <c r="D202" s="173"/>
      <c r="E202" s="175"/>
    </row>
    <row r="203" spans="1:5" x14ac:dyDescent="0.3">
      <c r="A203" s="182" t="str">
        <f>IF(D203&gt;0,IF(INDEX(A160:A201,MATCH(REPT("z",255),A160:A201))="H","J",IF(INDEX(A160:A201,MATCH(REPT("z",255),A160:A201))="N","P",CHAR(CODE(INDEX(A160:A201,MATCH(REPT("z",255),A160:A201)))+1))),)</f>
        <v>B</v>
      </c>
      <c r="B203" s="175" t="s">
        <v>1333</v>
      </c>
      <c r="C203" s="183"/>
      <c r="D203" s="173" t="s">
        <v>1295</v>
      </c>
      <c r="E203" s="175"/>
    </row>
    <row r="204" spans="1:5" ht="8.6999999999999993" customHeight="1" x14ac:dyDescent="0.3">
      <c r="A204" s="182"/>
      <c r="B204" s="175"/>
      <c r="C204" s="175"/>
      <c r="D204" s="173"/>
      <c r="E204" s="175"/>
    </row>
    <row r="205" spans="1:5" x14ac:dyDescent="0.3">
      <c r="A205" s="182" t="str">
        <f>IF(D205&gt;0,IF(INDEX(A180:A203,MATCH(REPT("z",255),A180:A203))="H","J",IF(INDEX(A180:A203,MATCH(REPT("z",255),A180:A203))="N","P",CHAR(CODE(INDEX(A180:A203,MATCH(REPT("z",255),A180:A203)))+1))),)</f>
        <v>C</v>
      </c>
      <c r="B205" s="175" t="s">
        <v>1334</v>
      </c>
      <c r="C205" s="183"/>
      <c r="D205" s="173" t="s">
        <v>1295</v>
      </c>
      <c r="E205" s="175"/>
    </row>
    <row r="206" spans="1:5" ht="10.050000000000001" customHeight="1" x14ac:dyDescent="0.3">
      <c r="A206" s="182"/>
      <c r="B206" s="175"/>
      <c r="C206" s="175"/>
      <c r="D206" s="173"/>
      <c r="E206" s="175"/>
    </row>
    <row r="207" spans="1:5" x14ac:dyDescent="0.3">
      <c r="A207" s="182" t="str">
        <f>IF(D207&gt;0,IF(INDEX(A180:A205,MATCH(REPT("z",255),A180:A205))="H","J",IF(INDEX(A180:A205,MATCH(REPT("z",255),A180:A205))="N","P",CHAR(CODE(INDEX(A180:A205,MATCH(REPT("z",255),A180:A205)))+1))),)</f>
        <v>D</v>
      </c>
      <c r="B207" s="175" t="s">
        <v>1335</v>
      </c>
      <c r="C207" s="183"/>
      <c r="D207" s="173" t="s">
        <v>1295</v>
      </c>
      <c r="E207" s="175"/>
    </row>
    <row r="208" spans="1:5" ht="8.25" customHeight="1" x14ac:dyDescent="0.3">
      <c r="A208" s="182"/>
      <c r="B208" s="175"/>
      <c r="C208" s="175"/>
      <c r="D208" s="173"/>
      <c r="E208" s="175"/>
    </row>
    <row r="209" spans="1:5" x14ac:dyDescent="0.3">
      <c r="A209" s="182" t="str">
        <f>IF(D209&gt;0,IF(INDEX(A184:A207,MATCH(REPT("z",255),A184:A207))="H","J",IF(INDEX(A184:A207,MATCH(REPT("z",255),A184:A207))="N","P",CHAR(CODE(INDEX(A184:A207,MATCH(REPT("z",255),A184:A207)))+1))),)</f>
        <v>E</v>
      </c>
      <c r="B209" s="175" t="s">
        <v>1336</v>
      </c>
      <c r="C209" s="183"/>
      <c r="D209" s="173" t="s">
        <v>1295</v>
      </c>
      <c r="E209" s="175"/>
    </row>
    <row r="210" spans="1:5" x14ac:dyDescent="0.3">
      <c r="A210" s="182"/>
      <c r="B210" s="175"/>
      <c r="C210" s="175"/>
      <c r="D210" s="173"/>
      <c r="E210" s="175"/>
    </row>
    <row r="211" spans="1:5" x14ac:dyDescent="0.3">
      <c r="A211" s="182" t="str">
        <f>IF(D211&gt;0,IF(INDEX(A186:A209,MATCH(REPT("z",255),A186:A209))="H","J",IF(INDEX(A186:A209,MATCH(REPT("z",255),A186:A209))="N","P",CHAR(CODE(INDEX(A186:A209,MATCH(REPT("z",255),A186:A209)))+1))),)</f>
        <v>F</v>
      </c>
      <c r="B211" s="175" t="s">
        <v>1337</v>
      </c>
      <c r="C211" s="183"/>
      <c r="D211" s="173" t="s">
        <v>1295</v>
      </c>
      <c r="E211" s="175"/>
    </row>
    <row r="212" spans="1:5" x14ac:dyDescent="0.3">
      <c r="A212" s="182"/>
      <c r="B212" s="175"/>
      <c r="C212" s="175"/>
      <c r="D212" s="173"/>
      <c r="E212" s="175"/>
    </row>
    <row r="213" spans="1:5" x14ac:dyDescent="0.3">
      <c r="A213" s="182" t="str">
        <f>IF(D213&gt;0,IF(INDEX(A188:A211,MATCH(REPT("z",255),A188:A211))="H","J",IF(INDEX(A188:A211,MATCH(REPT("z",255),A188:A211))="N","P",CHAR(CODE(INDEX(A188:A211,MATCH(REPT("z",255),A188:A211)))+1))),)</f>
        <v>G</v>
      </c>
      <c r="B213" s="175" t="s">
        <v>1338</v>
      </c>
      <c r="C213" s="183"/>
      <c r="D213" s="173" t="s">
        <v>1295</v>
      </c>
      <c r="E213" s="175"/>
    </row>
    <row r="214" spans="1:5" ht="8.25" customHeight="1" x14ac:dyDescent="0.3">
      <c r="A214" s="182"/>
      <c r="B214" s="175"/>
      <c r="C214" s="175"/>
      <c r="D214" s="173"/>
      <c r="E214" s="175"/>
    </row>
    <row r="215" spans="1:5" x14ac:dyDescent="0.3">
      <c r="A215" s="182" t="str">
        <f>IF(D215&gt;0,IF(INDEX(A190:A213,MATCH(REPT("z",255),A190:A213))="H","J",IF(INDEX(A190:A213,MATCH(REPT("z",255),A190:A213))="N","P",CHAR(CODE(INDEX(A190:A213,MATCH(REPT("z",255),A190:A213)))+1))),)</f>
        <v>H</v>
      </c>
      <c r="B215" s="175" t="s">
        <v>1339</v>
      </c>
      <c r="C215" s="183"/>
      <c r="D215" s="173" t="s">
        <v>1295</v>
      </c>
      <c r="E215" s="175"/>
    </row>
    <row r="216" spans="1:5" ht="8.25" customHeight="1" x14ac:dyDescent="0.3">
      <c r="A216" s="182"/>
      <c r="B216" s="175"/>
      <c r="C216" s="175"/>
      <c r="D216" s="173"/>
      <c r="E216" s="175"/>
    </row>
    <row r="217" spans="1:5" x14ac:dyDescent="0.3">
      <c r="A217" s="182" t="str">
        <f>IF(D217&gt;0,IF(INDEX(A192:A215,MATCH(REPT("z",255),A192:A215))="H","J",IF(INDEX(A192:A215,MATCH(REPT("z",255),A192:A215))="N","P",CHAR(CODE(INDEX(A192:A215,MATCH(REPT("z",255),A192:A215)))+1))),)</f>
        <v>J</v>
      </c>
      <c r="B217" s="175" t="s">
        <v>1340</v>
      </c>
      <c r="C217" s="183"/>
      <c r="D217" s="173" t="s">
        <v>1295</v>
      </c>
      <c r="E217" s="175"/>
    </row>
    <row r="218" spans="1:5" ht="8.6999999999999993" customHeight="1" x14ac:dyDescent="0.3">
      <c r="A218" s="182"/>
      <c r="B218" s="175"/>
      <c r="C218" s="175"/>
      <c r="D218" s="173"/>
      <c r="E218" s="175"/>
    </row>
    <row r="219" spans="1:5" x14ac:dyDescent="0.3">
      <c r="A219" s="182" t="str">
        <f>IF(D219&gt;0,IF(INDEX(A194:A217,MATCH(REPT("z",255),A194:A217))="H","J",IF(INDEX(A194:A217,MATCH(REPT("z",255),A194:A217))="N","P",CHAR(CODE(INDEX(A194:A217,MATCH(REPT("z",255),A194:A217)))+1))),)</f>
        <v>K</v>
      </c>
      <c r="B219" s="175" t="s">
        <v>1341</v>
      </c>
      <c r="C219" s="183"/>
      <c r="D219" s="173" t="s">
        <v>1295</v>
      </c>
      <c r="E219" s="175"/>
    </row>
    <row r="220" spans="1:5" ht="7.5" customHeight="1" x14ac:dyDescent="0.3">
      <c r="A220" s="182"/>
      <c r="B220" s="175"/>
      <c r="C220" s="175"/>
      <c r="D220" s="173"/>
      <c r="E220" s="175"/>
    </row>
    <row r="221" spans="1:5" x14ac:dyDescent="0.3">
      <c r="A221" s="182" t="str">
        <f>IF(D221&gt;0,IF(INDEX(A196:A219,MATCH(REPT("z",255),A196:A219))="H","J",IF(INDEX(A196:A219,MATCH(REPT("z",255),A196:A219))="N","P",CHAR(CODE(INDEX(A196:A219,MATCH(REPT("z",255),A196:A219)))+1))),)</f>
        <v>L</v>
      </c>
      <c r="B221" s="175" t="s">
        <v>1342</v>
      </c>
      <c r="C221" s="183"/>
      <c r="D221" s="173" t="s">
        <v>1295</v>
      </c>
      <c r="E221" s="175"/>
    </row>
    <row r="222" spans="1:5" ht="7.5" customHeight="1" x14ac:dyDescent="0.3">
      <c r="A222" s="182"/>
      <c r="B222" s="175"/>
      <c r="C222" s="175"/>
      <c r="D222" s="173"/>
      <c r="E222" s="175"/>
    </row>
    <row r="223" spans="1:5" x14ac:dyDescent="0.3">
      <c r="A223" s="182" t="str">
        <f>IF(D223&gt;0,IF(INDEX(A198:A221,MATCH(REPT("z",255),A198:A221))="H","J",IF(INDEX(A198:A221,MATCH(REPT("z",255),A198:A221))="N","P",CHAR(CODE(INDEX(A198:A221,MATCH(REPT("z",255),A198:A221)))+1))),)</f>
        <v>M</v>
      </c>
      <c r="B223" s="175" t="s">
        <v>1343</v>
      </c>
      <c r="C223" s="183"/>
      <c r="D223" s="173" t="s">
        <v>1295</v>
      </c>
      <c r="E223" s="175"/>
    </row>
    <row r="224" spans="1:5" ht="10.050000000000001" customHeight="1" x14ac:dyDescent="0.3">
      <c r="A224" s="182"/>
      <c r="B224" s="175"/>
      <c r="C224" s="175"/>
      <c r="D224" s="173"/>
      <c r="E224" s="175"/>
    </row>
    <row r="225" spans="1:7" x14ac:dyDescent="0.3">
      <c r="A225" s="182" t="str">
        <f>IF(D225&gt;0,IF(INDEX(A200:A223,MATCH(REPT("z",255),A200:A223))="H","J",IF(INDEX(A200:A223,MATCH(REPT("z",255),A200:A223))="N","P",CHAR(CODE(INDEX(A200:A223,MATCH(REPT("z",255),A200:A223)))+1))),)</f>
        <v>N</v>
      </c>
      <c r="B225" s="175" t="s">
        <v>1344</v>
      </c>
      <c r="C225" s="183"/>
      <c r="D225" s="173" t="s">
        <v>1295</v>
      </c>
      <c r="E225" s="175"/>
    </row>
    <row r="226" spans="1:7" ht="8.6999999999999993" customHeight="1" x14ac:dyDescent="0.3">
      <c r="A226" s="182"/>
      <c r="B226" s="175"/>
      <c r="C226" s="175"/>
      <c r="D226" s="173"/>
      <c r="E226" s="175"/>
    </row>
    <row r="227" spans="1:7" x14ac:dyDescent="0.3">
      <c r="A227" s="182" t="str">
        <f>IF(D227&gt;0,IF(INDEX(A202:A225,MATCH(REPT("z",255),A202:A225))="H","J",IF(INDEX(A202:A225,MATCH(REPT("z",255),A202:A225))="N","P",CHAR(CODE(INDEX(A202:A225,MATCH(REPT("z",255),A202:A225)))+1))),)</f>
        <v>P</v>
      </c>
      <c r="B227" s="175" t="s">
        <v>1345</v>
      </c>
      <c r="C227" s="183"/>
      <c r="D227" s="173" t="s">
        <v>1295</v>
      </c>
      <c r="E227" s="175"/>
    </row>
    <row r="228" spans="1:7" ht="7.5" customHeight="1" x14ac:dyDescent="0.3">
      <c r="A228" s="182"/>
      <c r="B228" s="175"/>
      <c r="C228" s="175"/>
      <c r="D228" s="173"/>
      <c r="E228" s="175"/>
    </row>
    <row r="229" spans="1:7" x14ac:dyDescent="0.3">
      <c r="A229" s="182" t="str">
        <f>IF(D229&gt;0,IF(INDEX(A204:A227,MATCH(REPT("z",255),A204:A227))="H","J",IF(INDEX(A204:A227,MATCH(REPT("z",255),A204:A227))="N","P",CHAR(CODE(INDEX(A204:A227,MATCH(REPT("z",255),A204:A227)))+1))),)</f>
        <v>Q</v>
      </c>
      <c r="B229" s="175" t="s">
        <v>1346</v>
      </c>
      <c r="C229" s="183"/>
      <c r="D229" s="173" t="s">
        <v>1295</v>
      </c>
      <c r="E229" s="175"/>
    </row>
    <row r="230" spans="1:7" ht="12" customHeight="1" x14ac:dyDescent="0.3">
      <c r="A230" s="182"/>
      <c r="B230" s="175"/>
      <c r="C230" s="175"/>
      <c r="D230" s="173"/>
      <c r="E230" s="175"/>
    </row>
    <row r="231" spans="1:7" x14ac:dyDescent="0.3">
      <c r="A231" s="182" t="str">
        <f>IF(D231&gt;0,IF(INDEX(A206:A229,MATCH(REPT("z",255),A206:A229))="H","J",IF(INDEX(A206:A229,MATCH(REPT("z",255),A206:A229))="N","P",CHAR(CODE(INDEX(A206:A229,MATCH(REPT("z",255),A206:A229)))+1))),)</f>
        <v>R</v>
      </c>
      <c r="B231" s="175" t="s">
        <v>1347</v>
      </c>
      <c r="C231" s="183"/>
      <c r="D231" s="173" t="s">
        <v>1295</v>
      </c>
      <c r="E231" s="175"/>
    </row>
    <row r="232" spans="1:7" ht="12" customHeight="1" x14ac:dyDescent="0.3">
      <c r="A232" s="182"/>
      <c r="B232" s="175"/>
      <c r="C232" s="175"/>
      <c r="D232" s="173"/>
      <c r="E232" s="175"/>
    </row>
    <row r="233" spans="1:7" x14ac:dyDescent="0.3">
      <c r="A233" s="182" t="str">
        <f>IF(D233&gt;0,IF(INDEX(A208:A231,MATCH(REPT("z",255),A208:A231))="H","J",IF(INDEX(A208:A231,MATCH(REPT("z",255),A208:A231))="N","P",CHAR(CODE(INDEX(A208:A231,MATCH(REPT("z",255),A208:A231)))+1))),)</f>
        <v>S</v>
      </c>
      <c r="B233" s="175" t="s">
        <v>1348</v>
      </c>
      <c r="C233" s="183"/>
      <c r="D233" s="173" t="s">
        <v>1295</v>
      </c>
      <c r="E233" s="175"/>
    </row>
    <row r="234" spans="1:7" ht="9.15" customHeight="1" x14ac:dyDescent="0.3">
      <c r="A234" s="182"/>
      <c r="B234" s="175"/>
      <c r="C234" s="175"/>
      <c r="D234" s="173"/>
      <c r="E234" s="175"/>
    </row>
    <row r="235" spans="1:7" x14ac:dyDescent="0.3">
      <c r="A235" s="182" t="str">
        <f>IF(D235&gt;0,IF(INDEX(A210:A233,MATCH(REPT("z",255),A210:A233))="H","J",IF(INDEX(A210:A233,MATCH(REPT("z",255),A210:A233))="N","P",CHAR(CODE(INDEX(A210:A233,MATCH(REPT("z",255),A210:A233)))+1))),)</f>
        <v>T</v>
      </c>
      <c r="B235" s="175" t="s">
        <v>1349</v>
      </c>
      <c r="C235" s="183"/>
      <c r="D235" s="173" t="s">
        <v>1295</v>
      </c>
      <c r="E235" s="175"/>
    </row>
    <row r="236" spans="1:7" ht="6.6" customHeight="1" x14ac:dyDescent="0.3">
      <c r="A236" s="182"/>
      <c r="B236" s="175"/>
      <c r="C236" s="175"/>
      <c r="D236" s="173"/>
      <c r="E236" s="175"/>
    </row>
    <row r="237" spans="1:7" x14ac:dyDescent="0.3">
      <c r="A237" s="182" t="str">
        <f>IF(D237&gt;0,IF(INDEX(A212:A235,MATCH(REPT("z",255),A212:A235))="H","J",IF(INDEX(A212:A235,MATCH(REPT("z",255),A212:A235))="N","P",CHAR(CODE(INDEX(A212:A235,MATCH(REPT("z",255),A212:A235)))+1))),)</f>
        <v>U</v>
      </c>
      <c r="B237" s="175" t="s">
        <v>1350</v>
      </c>
      <c r="C237" s="183"/>
      <c r="D237" s="173" t="s">
        <v>1295</v>
      </c>
      <c r="E237" s="175"/>
    </row>
    <row r="238" spans="1:7" x14ac:dyDescent="0.3">
      <c r="A238" s="178"/>
      <c r="B238" s="179"/>
      <c r="C238" s="179"/>
      <c r="D238" s="178"/>
      <c r="E238" s="179"/>
    </row>
    <row r="239" spans="1:7" s="172" customFormat="1" ht="28.5" customHeight="1" x14ac:dyDescent="0.3">
      <c r="A239" s="166" t="s">
        <v>1257</v>
      </c>
      <c r="B239" s="167" t="s">
        <v>1258</v>
      </c>
      <c r="C239" s="168"/>
      <c r="D239" s="166" t="s">
        <v>1259</v>
      </c>
      <c r="E239" s="169" t="s">
        <v>1260</v>
      </c>
      <c r="F239" s="170"/>
      <c r="G239" s="171"/>
    </row>
    <row r="240" spans="1:7" ht="18" customHeight="1" x14ac:dyDescent="0.3">
      <c r="A240" s="173"/>
      <c r="B240" s="177" t="s">
        <v>1351</v>
      </c>
      <c r="C240" s="175"/>
      <c r="D240" s="173"/>
      <c r="E240" s="175"/>
    </row>
    <row r="241" spans="1:5" ht="8.25" customHeight="1" x14ac:dyDescent="0.3">
      <c r="A241" s="173"/>
      <c r="B241" s="175"/>
      <c r="C241" s="175"/>
      <c r="D241" s="173"/>
      <c r="E241" s="175"/>
    </row>
    <row r="242" spans="1:5" x14ac:dyDescent="0.3">
      <c r="A242" s="182" t="s">
        <v>1293</v>
      </c>
      <c r="B242" s="175" t="s">
        <v>1352</v>
      </c>
      <c r="C242" s="183"/>
      <c r="D242" s="173" t="s">
        <v>1295</v>
      </c>
      <c r="E242" s="175"/>
    </row>
    <row r="243" spans="1:5" ht="8.25" customHeight="1" x14ac:dyDescent="0.3">
      <c r="A243" s="182"/>
      <c r="B243" s="175"/>
      <c r="C243" s="175"/>
      <c r="D243" s="173"/>
      <c r="E243" s="175"/>
    </row>
    <row r="244" spans="1:5" x14ac:dyDescent="0.3">
      <c r="A244" s="182" t="str">
        <f>IF(D244&gt;0,IF(INDEX(A221:A242,MATCH(REPT("z",255),A221:A242))="H","J",IF(INDEX(A221:A242,MATCH(REPT("z",255),A221:A242))="N","P",CHAR(CODE(INDEX(A221:A242,MATCH(REPT("z",255),A221:A242)))+1))),)</f>
        <v>B</v>
      </c>
      <c r="B244" s="175" t="s">
        <v>1353</v>
      </c>
      <c r="C244" s="183"/>
      <c r="D244" s="173" t="s">
        <v>1295</v>
      </c>
      <c r="E244" s="175"/>
    </row>
    <row r="245" spans="1:5" ht="8.25" customHeight="1" x14ac:dyDescent="0.3">
      <c r="A245" s="182"/>
      <c r="B245" s="175"/>
      <c r="C245" s="175"/>
      <c r="D245" s="173"/>
      <c r="E245" s="175"/>
    </row>
    <row r="246" spans="1:5" x14ac:dyDescent="0.3">
      <c r="A246" s="182" t="str">
        <f>IF(D246&gt;0,IF(INDEX(A223:A244,MATCH(REPT("z",255),A223:A244))="H","J",IF(INDEX(A223:A244,MATCH(REPT("z",255),A223:A244))="N","P",CHAR(CODE(INDEX(A223:A244,MATCH(REPT("z",255),A223:A244)))+1))),)</f>
        <v>C</v>
      </c>
      <c r="B246" s="175" t="s">
        <v>1354</v>
      </c>
      <c r="C246" s="183"/>
      <c r="D246" s="173" t="s">
        <v>1295</v>
      </c>
      <c r="E246" s="175"/>
    </row>
    <row r="247" spans="1:5" ht="10.5" customHeight="1" x14ac:dyDescent="0.3">
      <c r="A247" s="182"/>
      <c r="B247" s="175"/>
      <c r="C247" s="175"/>
      <c r="D247" s="173"/>
      <c r="E247" s="175"/>
    </row>
    <row r="248" spans="1:5" x14ac:dyDescent="0.3">
      <c r="A248" s="182" t="str">
        <f>IF(D248&gt;0,IF(INDEX(A225:A246,MATCH(REPT("z",255),A225:A246))="H","J",IF(INDEX(A225:A246,MATCH(REPT("z",255),A225:A246))="N","P",CHAR(CODE(INDEX(A225:A246,MATCH(REPT("z",255),A225:A246)))+1))),)</f>
        <v>D</v>
      </c>
      <c r="B248" s="175" t="s">
        <v>1355</v>
      </c>
      <c r="C248" s="183"/>
      <c r="D248" s="173" t="s">
        <v>1295</v>
      </c>
      <c r="E248" s="175"/>
    </row>
    <row r="249" spans="1:5" ht="9.75" customHeight="1" x14ac:dyDescent="0.3">
      <c r="A249" s="182"/>
      <c r="B249" s="175"/>
      <c r="C249" s="175"/>
      <c r="D249" s="173"/>
      <c r="E249" s="175"/>
    </row>
    <row r="250" spans="1:5" x14ac:dyDescent="0.3">
      <c r="A250" s="182" t="str">
        <f>IF(D250&gt;0,IF(INDEX(A227:A248,MATCH(REPT("z",255),A227:A248))="H","J",IF(INDEX(A227:A248,MATCH(REPT("z",255),A227:A248))="N","P",CHAR(CODE(INDEX(A227:A248,MATCH(REPT("z",255),A227:A248)))+1))),)</f>
        <v>E</v>
      </c>
      <c r="B250" s="175" t="s">
        <v>1356</v>
      </c>
      <c r="C250" s="183"/>
      <c r="D250" s="173" t="s">
        <v>1295</v>
      </c>
      <c r="E250" s="175"/>
    </row>
    <row r="251" spans="1:5" ht="9.75" customHeight="1" x14ac:dyDescent="0.3">
      <c r="A251" s="182"/>
      <c r="B251" s="175"/>
      <c r="C251" s="175"/>
      <c r="D251" s="173"/>
      <c r="E251" s="175"/>
    </row>
    <row r="252" spans="1:5" x14ac:dyDescent="0.3">
      <c r="A252" s="182" t="str">
        <f>IF(D252&gt;0,IF(INDEX(A229:A250,MATCH(REPT("z",255),A229:A250))="H","J",IF(INDEX(A229:A250,MATCH(REPT("z",255),A229:A250))="N","P",CHAR(CODE(INDEX(A229:A250,MATCH(REPT("z",255),A229:A250)))+1))),)</f>
        <v>F</v>
      </c>
      <c r="B252" s="175" t="s">
        <v>1357</v>
      </c>
      <c r="C252" s="183"/>
      <c r="D252" s="173" t="s">
        <v>1295</v>
      </c>
      <c r="E252" s="175"/>
    </row>
    <row r="253" spans="1:5" ht="10.050000000000001" customHeight="1" x14ac:dyDescent="0.3">
      <c r="A253" s="182"/>
      <c r="B253" s="175"/>
      <c r="C253" s="175"/>
      <c r="D253" s="173"/>
      <c r="E253" s="175"/>
    </row>
    <row r="254" spans="1:5" x14ac:dyDescent="0.3">
      <c r="A254" s="182" t="str">
        <f>IF(D254&gt;0,IF(INDEX(A231:A252,MATCH(REPT("z",255),A231:A252))="H","J",IF(INDEX(A231:A252,MATCH(REPT("z",255),A231:A252))="N","P",CHAR(CODE(INDEX(A231:A252,MATCH(REPT("z",255),A231:A252)))+1))),)</f>
        <v>G</v>
      </c>
      <c r="B254" s="175" t="s">
        <v>1358</v>
      </c>
      <c r="C254" s="183"/>
      <c r="D254" s="173" t="s">
        <v>1295</v>
      </c>
      <c r="E254" s="175"/>
    </row>
    <row r="255" spans="1:5" ht="10.5" customHeight="1" x14ac:dyDescent="0.3">
      <c r="A255" s="182"/>
      <c r="B255" s="175"/>
      <c r="C255" s="175"/>
      <c r="D255" s="173"/>
      <c r="E255" s="175"/>
    </row>
    <row r="256" spans="1:5" x14ac:dyDescent="0.3">
      <c r="A256" s="182" t="str">
        <f>IF(D256&gt;0,IF(INDEX(A233:A254,MATCH(REPT("z",255),A233:A254))="H","J",IF(INDEX(A233:A254,MATCH(REPT("z",255),A233:A254))="N","P",CHAR(CODE(INDEX(A233:A254,MATCH(REPT("z",255),A233:A254)))+1))),)</f>
        <v>H</v>
      </c>
      <c r="B256" s="175" t="s">
        <v>1359</v>
      </c>
      <c r="C256" s="183"/>
      <c r="D256" s="173" t="s">
        <v>1295</v>
      </c>
      <c r="E256" s="175"/>
    </row>
    <row r="257" spans="1:5" ht="9.15" customHeight="1" x14ac:dyDescent="0.3">
      <c r="A257" s="182"/>
      <c r="B257" s="175"/>
      <c r="C257" s="175"/>
      <c r="D257" s="173"/>
      <c r="E257" s="175"/>
    </row>
    <row r="258" spans="1:5" x14ac:dyDescent="0.3">
      <c r="A258" s="182" t="str">
        <f>IF(D258&gt;0,IF(INDEX(A235:A256,MATCH(REPT("z",255),A235:A256))="H","J",IF(INDEX(A235:A256,MATCH(REPT("z",255),A235:A256))="N","P",CHAR(CODE(INDEX(A235:A256,MATCH(REPT("z",255),A235:A256)))+1))),)</f>
        <v>J</v>
      </c>
      <c r="B258" s="175" t="s">
        <v>1360</v>
      </c>
      <c r="C258" s="183"/>
      <c r="D258" s="173" t="s">
        <v>1295</v>
      </c>
      <c r="E258" s="175"/>
    </row>
    <row r="259" spans="1:5" ht="8.6999999999999993" customHeight="1" x14ac:dyDescent="0.3">
      <c r="A259" s="182"/>
      <c r="B259" s="175"/>
      <c r="C259" s="175"/>
      <c r="D259" s="173"/>
      <c r="E259" s="175"/>
    </row>
    <row r="260" spans="1:5" x14ac:dyDescent="0.3">
      <c r="A260" s="182" t="str">
        <f>IF(D260&gt;0,IF(INDEX(A237:A258,MATCH(REPT("z",255),A237:A258))="H","J",IF(INDEX(A237:A258,MATCH(REPT("z",255),A237:A258))="N","P",CHAR(CODE(INDEX(A237:A258,MATCH(REPT("z",255),A237:A258)))+1))),)</f>
        <v>K</v>
      </c>
      <c r="B260" s="175" t="s">
        <v>1361</v>
      </c>
      <c r="C260" s="183"/>
      <c r="D260" s="173" t="s">
        <v>1295</v>
      </c>
      <c r="E260" s="175"/>
    </row>
    <row r="261" spans="1:5" ht="8.6999999999999993" customHeight="1" x14ac:dyDescent="0.3">
      <c r="A261" s="182"/>
      <c r="B261" s="175"/>
      <c r="C261" s="175"/>
      <c r="D261" s="173"/>
      <c r="E261" s="175"/>
    </row>
    <row r="262" spans="1:5" x14ac:dyDescent="0.3">
      <c r="A262" s="182" t="str">
        <f>IF(D262&gt;0,IF(INDEX(A238:A260,MATCH(REPT("z",255),A238:A260))="H","J",IF(INDEX(A238:A260,MATCH(REPT("z",255),A238:A260))="N","P",CHAR(CODE(INDEX(A238:A260,MATCH(REPT("z",255),A238:A260)))+1))),)</f>
        <v>L</v>
      </c>
      <c r="B262" s="175" t="s">
        <v>1362</v>
      </c>
      <c r="C262" s="183"/>
      <c r="D262" s="173" t="s">
        <v>1295</v>
      </c>
      <c r="E262" s="175"/>
    </row>
    <row r="263" spans="1:5" ht="9.75" customHeight="1" x14ac:dyDescent="0.3">
      <c r="A263" s="182"/>
      <c r="B263" s="175"/>
      <c r="C263" s="175"/>
      <c r="D263" s="173"/>
      <c r="E263" s="175"/>
    </row>
    <row r="264" spans="1:5" x14ac:dyDescent="0.3">
      <c r="A264" s="182" t="str">
        <f>IF(D264&gt;0,IF(INDEX(A238:A262,MATCH(REPT("z",255),A238:A262))="H","J",IF(INDEX(A238:A262,MATCH(REPT("z",255),A238:A262))="N","P",CHAR(CODE(INDEX(A238:A262,MATCH(REPT("z",255),A238:A262)))+1))),)</f>
        <v>M</v>
      </c>
      <c r="B264" s="175" t="s">
        <v>1363</v>
      </c>
      <c r="C264" s="183"/>
      <c r="D264" s="173" t="s">
        <v>1295</v>
      </c>
      <c r="E264" s="175"/>
    </row>
    <row r="265" spans="1:5" ht="9.15" customHeight="1" x14ac:dyDescent="0.3">
      <c r="A265" s="182"/>
      <c r="B265" s="175"/>
      <c r="C265" s="175"/>
      <c r="D265" s="173"/>
      <c r="E265" s="175"/>
    </row>
    <row r="266" spans="1:5" x14ac:dyDescent="0.3">
      <c r="A266" s="182" t="str">
        <f>IF(D266&gt;0,IF(INDEX(A240:A264,MATCH(REPT("z",255),A240:A264))="H","J",IF(INDEX(A240:A264,MATCH(REPT("z",255),A240:A264))="N","P",CHAR(CODE(INDEX(A240:A264,MATCH(REPT("z",255),A240:A264)))+1))),)</f>
        <v>N</v>
      </c>
      <c r="B266" s="175" t="s">
        <v>1364</v>
      </c>
      <c r="C266" s="183"/>
      <c r="D266" s="173" t="s">
        <v>1295</v>
      </c>
      <c r="E266" s="175"/>
    </row>
    <row r="267" spans="1:5" ht="11.1" customHeight="1" x14ac:dyDescent="0.3">
      <c r="A267" s="182"/>
      <c r="B267" s="175"/>
      <c r="C267" s="175"/>
      <c r="D267" s="173"/>
      <c r="E267" s="175"/>
    </row>
    <row r="268" spans="1:5" x14ac:dyDescent="0.3">
      <c r="A268" s="182" t="str">
        <f>IF(D268&gt;0,IF(INDEX(A243:A266,MATCH(REPT("z",255),A243:A266))="H","J",IF(INDEX(A243:A266,MATCH(REPT("z",255),A243:A266))="N","P",CHAR(CODE(INDEX(A243:A266,MATCH(REPT("z",255),A243:A266)))+1))),)</f>
        <v>P</v>
      </c>
      <c r="B268" s="175" t="s">
        <v>1365</v>
      </c>
      <c r="C268" s="183"/>
      <c r="D268" s="173" t="s">
        <v>1295</v>
      </c>
      <c r="E268" s="175"/>
    </row>
    <row r="269" spans="1:5" ht="11.1" customHeight="1" x14ac:dyDescent="0.3">
      <c r="A269" s="182"/>
      <c r="B269" s="175"/>
      <c r="C269" s="175"/>
      <c r="D269" s="173"/>
      <c r="E269" s="175"/>
    </row>
    <row r="270" spans="1:5" x14ac:dyDescent="0.3">
      <c r="A270" s="182" t="str">
        <f>IF(D270&gt;0,IF(INDEX(A245:A268,MATCH(REPT("z",255),A245:A268))="H","J",IF(INDEX(A245:A268,MATCH(REPT("z",255),A245:A268))="N","P",CHAR(CODE(INDEX(A245:A268,MATCH(REPT("z",255),A245:A268)))+1))),)</f>
        <v>Q</v>
      </c>
      <c r="B270" s="175" t="s">
        <v>1366</v>
      </c>
      <c r="C270" s="183"/>
      <c r="D270" s="173" t="s">
        <v>1295</v>
      </c>
      <c r="E270" s="175"/>
    </row>
    <row r="271" spans="1:5" ht="11.1" customHeight="1" x14ac:dyDescent="0.3">
      <c r="A271" s="182"/>
      <c r="B271" s="175"/>
      <c r="C271" s="175"/>
      <c r="D271" s="173"/>
      <c r="E271" s="175"/>
    </row>
    <row r="272" spans="1:5" x14ac:dyDescent="0.3">
      <c r="A272" s="182" t="str">
        <f>IF(D272&gt;0,IF(INDEX(A247:A270,MATCH(REPT("z",255),A247:A270))="H","J",IF(INDEX(A247:A270,MATCH(REPT("z",255),A247:A270))="N","P",CHAR(CODE(INDEX(A247:A270,MATCH(REPT("z",255),A247:A270)))+1))),)</f>
        <v>R</v>
      </c>
      <c r="B272" s="175" t="s">
        <v>1367</v>
      </c>
      <c r="C272" s="183"/>
      <c r="D272" s="173" t="s">
        <v>1295</v>
      </c>
      <c r="E272" s="175"/>
    </row>
    <row r="273" spans="1:5" ht="8.25" customHeight="1" x14ac:dyDescent="0.3">
      <c r="A273" s="182"/>
      <c r="B273" s="175"/>
      <c r="C273" s="175"/>
      <c r="D273" s="173"/>
      <c r="E273" s="175"/>
    </row>
    <row r="274" spans="1:5" x14ac:dyDescent="0.3">
      <c r="A274" s="182" t="str">
        <f>IF(D274&gt;0,IF(INDEX(A249:A272,MATCH(REPT("z",255),A249:A272))="H","J",IF(INDEX(A249:A272,MATCH(REPT("z",255),A249:A272))="N","P",CHAR(CODE(INDEX(A249:A272,MATCH(REPT("z",255),A249:A272)))+1))),)</f>
        <v>S</v>
      </c>
      <c r="B274" s="175" t="s">
        <v>1368</v>
      </c>
      <c r="C274" s="183"/>
      <c r="D274" s="173" t="s">
        <v>1295</v>
      </c>
      <c r="E274" s="175"/>
    </row>
    <row r="275" spans="1:5" ht="7.05" customHeight="1" x14ac:dyDescent="0.3">
      <c r="A275" s="182"/>
      <c r="B275" s="175"/>
      <c r="C275" s="175"/>
      <c r="D275" s="173"/>
      <c r="E275" s="175"/>
    </row>
    <row r="276" spans="1:5" x14ac:dyDescent="0.3">
      <c r="A276" s="182" t="str">
        <f>IF(D276&gt;0,IF(INDEX(A251:A274,MATCH(REPT("z",255),A251:A274))="H","J",IF(INDEX(A251:A274,MATCH(REPT("z",255),A251:A274))="N","P",CHAR(CODE(INDEX(A251:A274,MATCH(REPT("z",255),A251:A274)))+1))),)</f>
        <v>T</v>
      </c>
      <c r="B276" s="175" t="s">
        <v>1369</v>
      </c>
      <c r="C276" s="183"/>
      <c r="D276" s="173" t="s">
        <v>1295</v>
      </c>
      <c r="E276" s="175"/>
    </row>
    <row r="277" spans="1:5" ht="10.050000000000001" customHeight="1" x14ac:dyDescent="0.3">
      <c r="A277" s="182"/>
      <c r="B277" s="175"/>
      <c r="C277" s="175"/>
      <c r="D277" s="173"/>
      <c r="E277" s="175"/>
    </row>
    <row r="278" spans="1:5" x14ac:dyDescent="0.3">
      <c r="A278" s="182" t="str">
        <f>IF(D278&gt;0,IF(INDEX(A253:A276,MATCH(REPT("z",255),A253:A276))="H","J",IF(INDEX(A253:A276,MATCH(REPT("z",255),A253:A276))="N","P",CHAR(CODE(INDEX(A253:A276,MATCH(REPT("z",255),A253:A276)))+1))),)</f>
        <v>U</v>
      </c>
      <c r="B278" s="175" t="s">
        <v>1370</v>
      </c>
      <c r="C278" s="183"/>
      <c r="D278" s="173" t="s">
        <v>1295</v>
      </c>
      <c r="E278" s="175"/>
    </row>
    <row r="279" spans="1:5" ht="7.05" customHeight="1" x14ac:dyDescent="0.3">
      <c r="A279" s="182"/>
      <c r="B279" s="175"/>
      <c r="C279" s="175"/>
      <c r="D279" s="173"/>
      <c r="E279" s="175"/>
    </row>
    <row r="280" spans="1:5" x14ac:dyDescent="0.3">
      <c r="A280" s="182" t="str">
        <f>IF(D280&gt;0,IF(INDEX(A255:A278,MATCH(REPT("z",255),A255:A278))="H","J",IF(INDEX(A255:A278,MATCH(REPT("z",255),A255:A278))="N","P",CHAR(CODE(INDEX(A255:A278,MATCH(REPT("z",255),A255:A278)))+1))),)</f>
        <v>V</v>
      </c>
      <c r="B280" s="175" t="s">
        <v>1371</v>
      </c>
      <c r="C280" s="183"/>
      <c r="D280" s="173" t="s">
        <v>1295</v>
      </c>
      <c r="E280" s="175"/>
    </row>
    <row r="281" spans="1:5" ht="11.7" customHeight="1" x14ac:dyDescent="0.3">
      <c r="A281" s="182"/>
      <c r="B281" s="175"/>
      <c r="C281" s="175"/>
      <c r="D281" s="173"/>
      <c r="E281" s="175"/>
    </row>
    <row r="282" spans="1:5" x14ac:dyDescent="0.3">
      <c r="A282" s="182" t="str">
        <f>IF(D282&gt;0,IF(INDEX(A257:A280,MATCH(REPT("z",255),A257:A280))="H","J",IF(INDEX(A257:A280,MATCH(REPT("z",255),A257:A280))="N","P",CHAR(CODE(INDEX(A257:A280,MATCH(REPT("z",255),A257:A280)))+1))),)</f>
        <v>W</v>
      </c>
      <c r="B282" s="175" t="s">
        <v>1372</v>
      </c>
      <c r="C282" s="183"/>
      <c r="D282" s="173" t="s">
        <v>1295</v>
      </c>
      <c r="E282" s="175"/>
    </row>
    <row r="283" spans="1:5" ht="11.7" customHeight="1" x14ac:dyDescent="0.3">
      <c r="A283" s="182"/>
      <c r="B283" s="175"/>
      <c r="C283" s="175"/>
      <c r="D283" s="173"/>
      <c r="E283" s="175"/>
    </row>
    <row r="284" spans="1:5" x14ac:dyDescent="0.3">
      <c r="A284" s="182" t="str">
        <f>IF(D284&gt;0,IF(INDEX(A259:A282,MATCH(REPT("z",255),A259:A282))="H","J",IF(INDEX(A259:A282,MATCH(REPT("z",255),A259:A282))="N","P",CHAR(CODE(INDEX(A259:A282,MATCH(REPT("z",255),A259:A282)))+1))),)</f>
        <v>X</v>
      </c>
      <c r="B284" s="175" t="s">
        <v>1373</v>
      </c>
      <c r="C284" s="183"/>
      <c r="D284" s="173" t="s">
        <v>1295</v>
      </c>
      <c r="E284" s="175"/>
    </row>
    <row r="285" spans="1:5" ht="9.15" customHeight="1" x14ac:dyDescent="0.3">
      <c r="A285" s="182"/>
      <c r="B285" s="175"/>
      <c r="C285" s="175"/>
      <c r="D285" s="173"/>
      <c r="E285" s="175"/>
    </row>
    <row r="286" spans="1:5" x14ac:dyDescent="0.3">
      <c r="A286" s="182" t="str">
        <f>IF(D286&gt;0,IF(INDEX(A261:A284,MATCH(REPT("z",255),A261:A284))="H","J",IF(INDEX(A261:A284,MATCH(REPT("z",255),A261:A284))="N","P",CHAR(CODE(INDEX(A261:A284,MATCH(REPT("z",255),A261:A284)))+1))),)</f>
        <v>Y</v>
      </c>
      <c r="B286" s="175" t="s">
        <v>1374</v>
      </c>
      <c r="C286" s="183"/>
      <c r="D286" s="173" t="s">
        <v>1295</v>
      </c>
      <c r="E286" s="175"/>
    </row>
    <row r="287" spans="1:5" ht="7.05" customHeight="1" x14ac:dyDescent="0.3">
      <c r="A287" s="182"/>
      <c r="B287" s="175"/>
      <c r="C287" s="175"/>
      <c r="D287" s="173"/>
      <c r="E287" s="175"/>
    </row>
    <row r="288" spans="1:5" x14ac:dyDescent="0.3">
      <c r="A288" s="182" t="str">
        <f>IF(D288&gt;0,IF(INDEX(A263:A286,MATCH(REPT("z",255),A263:A286))="H","J",IF(INDEX(A263:A286,MATCH(REPT("z",255),A263:A286))="N","P",CHAR(CODE(INDEX(A263:A286,MATCH(REPT("z",255),A263:A286)))+1))),)</f>
        <v>Z</v>
      </c>
      <c r="B288" s="175" t="s">
        <v>1375</v>
      </c>
      <c r="C288" s="183"/>
      <c r="D288" s="173" t="s">
        <v>1295</v>
      </c>
      <c r="E288" s="175"/>
    </row>
    <row r="289" spans="1:7" x14ac:dyDescent="0.3">
      <c r="A289" s="178"/>
      <c r="B289" s="179"/>
      <c r="C289" s="179"/>
      <c r="D289" s="178"/>
      <c r="E289" s="179"/>
    </row>
    <row r="290" spans="1:7" s="172" customFormat="1" ht="28.5" customHeight="1" x14ac:dyDescent="0.3">
      <c r="A290" s="166" t="s">
        <v>1257</v>
      </c>
      <c r="B290" s="167" t="s">
        <v>1258</v>
      </c>
      <c r="C290" s="168"/>
      <c r="D290" s="166" t="s">
        <v>1259</v>
      </c>
      <c r="E290" s="169" t="s">
        <v>1260</v>
      </c>
      <c r="F290" s="170"/>
      <c r="G290" s="171"/>
    </row>
    <row r="291" spans="1:7" ht="19.2" customHeight="1" x14ac:dyDescent="0.3">
      <c r="A291" s="173"/>
      <c r="B291" s="177" t="str">
        <f>B240</f>
        <v>PLANT CONT'D</v>
      </c>
      <c r="C291" s="175"/>
      <c r="D291" s="173"/>
      <c r="E291" s="175"/>
    </row>
    <row r="292" spans="1:7" x14ac:dyDescent="0.3">
      <c r="A292" s="182"/>
      <c r="B292" s="175"/>
      <c r="C292" s="175"/>
      <c r="D292" s="173"/>
      <c r="E292" s="175"/>
    </row>
    <row r="293" spans="1:7" x14ac:dyDescent="0.3">
      <c r="A293" s="182" t="s">
        <v>1293</v>
      </c>
      <c r="B293" s="175" t="s">
        <v>1376</v>
      </c>
      <c r="C293" s="183"/>
      <c r="D293" s="173" t="s">
        <v>1295</v>
      </c>
      <c r="E293" s="175"/>
    </row>
    <row r="294" spans="1:7" ht="8.25" customHeight="1" x14ac:dyDescent="0.3">
      <c r="A294" s="182"/>
      <c r="B294" s="175"/>
      <c r="C294" s="183"/>
      <c r="D294" s="173"/>
      <c r="E294" s="175"/>
    </row>
    <row r="295" spans="1:7" x14ac:dyDescent="0.3">
      <c r="A295" s="182" t="s">
        <v>1377</v>
      </c>
      <c r="B295" s="175" t="s">
        <v>1378</v>
      </c>
      <c r="C295" s="183"/>
      <c r="D295" s="173" t="s">
        <v>1295</v>
      </c>
      <c r="E295" s="175"/>
    </row>
    <row r="296" spans="1:7" ht="8.25" customHeight="1" x14ac:dyDescent="0.3">
      <c r="A296" s="182"/>
      <c r="B296" s="175"/>
      <c r="C296" s="175"/>
      <c r="D296" s="173"/>
      <c r="E296" s="175"/>
    </row>
    <row r="297" spans="1:7" x14ac:dyDescent="0.3">
      <c r="A297" s="182" t="str">
        <f>IF(D297&gt;0,IF(INDEX(A274:A295,MATCH(REPT("z",255),A274:A295))="H","J",IF(INDEX(A274:A295,MATCH(REPT("z",255),A274:A295))="N","P",CHAR(CODE(INDEX(A274:A295,MATCH(REPT("z",255),A274:A295)))+1))),)</f>
        <v>C</v>
      </c>
      <c r="B297" s="175" t="s">
        <v>1379</v>
      </c>
      <c r="C297" s="183"/>
      <c r="D297" s="173" t="s">
        <v>1295</v>
      </c>
      <c r="E297" s="175"/>
    </row>
    <row r="298" spans="1:7" ht="7.5" customHeight="1" x14ac:dyDescent="0.3">
      <c r="A298" s="182"/>
      <c r="B298" s="175"/>
      <c r="C298" s="175"/>
      <c r="D298" s="173"/>
      <c r="E298" s="175"/>
    </row>
    <row r="299" spans="1:7" x14ac:dyDescent="0.3">
      <c r="A299" s="182" t="str">
        <f>IF(D299&gt;0,IF(INDEX(A276:A297,MATCH(REPT("z",255),A276:A297))="H","J",IF(INDEX(A276:A297,MATCH(REPT("z",255),A276:A297))="N","P",CHAR(CODE(INDEX(A276:A297,MATCH(REPT("z",255),A276:A297)))+1))),)</f>
        <v>D</v>
      </c>
      <c r="B299" s="175" t="s">
        <v>1380</v>
      </c>
      <c r="C299" s="183"/>
      <c r="D299" s="173" t="s">
        <v>1295</v>
      </c>
      <c r="E299" s="175"/>
    </row>
    <row r="300" spans="1:7" ht="10.050000000000001" customHeight="1" x14ac:dyDescent="0.3">
      <c r="A300" s="182"/>
      <c r="B300" s="175"/>
      <c r="C300" s="175"/>
      <c r="D300" s="173"/>
      <c r="E300" s="175"/>
    </row>
    <row r="301" spans="1:7" x14ac:dyDescent="0.3">
      <c r="A301" s="182" t="str">
        <f>IF(D301&gt;0,IF(INDEX(A278:A299,MATCH(REPT("z",255),A278:A299))="H","J",IF(INDEX(A278:A299,MATCH(REPT("z",255),A278:A299))="N","P",CHAR(CODE(INDEX(A278:A299,MATCH(REPT("z",255),A278:A299)))+1))),)</f>
        <v>E</v>
      </c>
      <c r="B301" s="175" t="s">
        <v>1381</v>
      </c>
      <c r="C301" s="183"/>
      <c r="D301" s="173" t="s">
        <v>1295</v>
      </c>
      <c r="E301" s="175"/>
    </row>
    <row r="302" spans="1:7" ht="8.25" customHeight="1" x14ac:dyDescent="0.3">
      <c r="A302" s="182"/>
      <c r="B302" s="175"/>
      <c r="C302" s="175"/>
      <c r="D302" s="173"/>
      <c r="E302" s="175"/>
    </row>
    <row r="303" spans="1:7" x14ac:dyDescent="0.3">
      <c r="A303" s="182" t="str">
        <f>IF(D303&gt;0,IF(INDEX(A280:A301,MATCH(REPT("z",255),A280:A301))="H","J",IF(INDEX(A280:A301,MATCH(REPT("z",255),A280:A301))="N","P",CHAR(CODE(INDEX(A280:A301,MATCH(REPT("z",255),A280:A301)))+1))),)</f>
        <v>F</v>
      </c>
      <c r="B303" s="175" t="s">
        <v>1382</v>
      </c>
      <c r="C303" s="183"/>
      <c r="D303" s="173" t="s">
        <v>1295</v>
      </c>
      <c r="E303" s="175"/>
    </row>
    <row r="304" spans="1:7" ht="9.75" customHeight="1" x14ac:dyDescent="0.3">
      <c r="A304" s="182"/>
      <c r="B304" s="175"/>
      <c r="C304" s="175"/>
      <c r="D304" s="173"/>
      <c r="E304" s="175"/>
    </row>
    <row r="305" spans="1:5" x14ac:dyDescent="0.3">
      <c r="A305" s="182" t="str">
        <f>IF(D305&gt;0,IF(INDEX(A282:A303,MATCH(REPT("z",255),A282:A303))="H","J",IF(INDEX(A282:A303,MATCH(REPT("z",255),A282:A303))="N","P",CHAR(CODE(INDEX(A282:A303,MATCH(REPT("z",255),A282:A303)))+1))),)</f>
        <v>G</v>
      </c>
      <c r="B305" s="175" t="s">
        <v>1383</v>
      </c>
      <c r="C305" s="183"/>
      <c r="D305" s="173" t="s">
        <v>1384</v>
      </c>
      <c r="E305" s="175"/>
    </row>
    <row r="306" spans="1:5" ht="8.25" customHeight="1" x14ac:dyDescent="0.3">
      <c r="A306" s="182"/>
      <c r="B306" s="175"/>
      <c r="C306" s="175"/>
      <c r="D306" s="173"/>
      <c r="E306" s="175"/>
    </row>
    <row r="307" spans="1:5" x14ac:dyDescent="0.3">
      <c r="A307" s="182" t="str">
        <f>IF(D307&gt;0,IF(INDEX(A284:A305,MATCH(REPT("z",255),A284:A305))="H","J",IF(INDEX(A284:A305,MATCH(REPT("z",255),A284:A305))="N","P",CHAR(CODE(INDEX(A284:A305,MATCH(REPT("z",255),A284:A305)))+1))),)</f>
        <v>H</v>
      </c>
      <c r="B307" s="175" t="s">
        <v>1385</v>
      </c>
      <c r="C307" s="183"/>
      <c r="D307" s="173" t="s">
        <v>1384</v>
      </c>
      <c r="E307" s="175"/>
    </row>
    <row r="308" spans="1:5" ht="10.050000000000001" customHeight="1" x14ac:dyDescent="0.3">
      <c r="A308" s="182"/>
      <c r="B308" s="175"/>
      <c r="C308" s="175"/>
      <c r="D308" s="173"/>
      <c r="E308" s="175"/>
    </row>
    <row r="309" spans="1:5" x14ac:dyDescent="0.3">
      <c r="A309" s="182" t="str">
        <f>IF(D309&gt;0,IF(INDEX(A286:A307,MATCH(REPT("z",255),A286:A307))="H","J",IF(INDEX(A286:A307,MATCH(REPT("z",255),A286:A307))="N","P",CHAR(CODE(INDEX(A286:A307,MATCH(REPT("z",255),A286:A307)))+1))),)</f>
        <v>J</v>
      </c>
      <c r="B309" s="175" t="s">
        <v>1386</v>
      </c>
      <c r="C309" s="183"/>
      <c r="D309" s="173" t="s">
        <v>1384</v>
      </c>
      <c r="E309" s="175"/>
    </row>
    <row r="310" spans="1:5" ht="9.75" customHeight="1" x14ac:dyDescent="0.3">
      <c r="A310" s="182"/>
      <c r="B310" s="175"/>
      <c r="C310" s="175"/>
      <c r="D310" s="173"/>
      <c r="E310" s="175"/>
    </row>
    <row r="311" spans="1:5" x14ac:dyDescent="0.3">
      <c r="A311" s="182" t="str">
        <f>IF(D311&gt;0,IF(INDEX(A288:A309,MATCH(REPT("z",255),A288:A309))="H","J",IF(INDEX(A288:A309,MATCH(REPT("z",255),A288:A309))="N","P",CHAR(CODE(INDEX(A288:A309,MATCH(REPT("z",255),A288:A309)))+1))),)</f>
        <v>K</v>
      </c>
      <c r="B311" s="175" t="s">
        <v>1387</v>
      </c>
      <c r="C311" s="183"/>
      <c r="D311" s="173" t="s">
        <v>1384</v>
      </c>
      <c r="E311" s="175"/>
    </row>
    <row r="312" spans="1:5" ht="9.15" customHeight="1" x14ac:dyDescent="0.3">
      <c r="A312" s="182"/>
      <c r="B312" s="175"/>
      <c r="C312" s="175"/>
      <c r="D312" s="173"/>
      <c r="E312" s="175"/>
    </row>
    <row r="313" spans="1:5" x14ac:dyDescent="0.3">
      <c r="A313" s="182" t="str">
        <f>IF(D313&gt;0,IF(INDEX(A293:A311,MATCH(REPT("z",255),A293:A311))="H","J",IF(INDEX(A293:A311,MATCH(REPT("z",255),A293:A311))="N","P",CHAR(CODE(INDEX(A293:A311,MATCH(REPT("z",255),A293:A311)))+1))),)</f>
        <v>L</v>
      </c>
      <c r="B313" s="175" t="s">
        <v>1322</v>
      </c>
      <c r="C313" s="175"/>
      <c r="D313" s="173" t="s">
        <v>1323</v>
      </c>
      <c r="E313" s="175"/>
    </row>
    <row r="314" spans="1:5" x14ac:dyDescent="0.3">
      <c r="A314" s="173"/>
      <c r="B314" s="175"/>
      <c r="C314" s="175"/>
      <c r="D314" s="173"/>
      <c r="E314" s="175"/>
    </row>
    <row r="315" spans="1:5" x14ac:dyDescent="0.3">
      <c r="A315" s="173"/>
      <c r="B315" s="177" t="s">
        <v>1325</v>
      </c>
      <c r="C315" s="175"/>
      <c r="D315" s="173"/>
      <c r="E315" s="175"/>
    </row>
    <row r="316" spans="1:5" x14ac:dyDescent="0.3">
      <c r="A316" s="173"/>
      <c r="B316" s="175"/>
      <c r="C316" s="175"/>
      <c r="D316" s="173"/>
      <c r="E316" s="175"/>
    </row>
    <row r="317" spans="1:5" ht="27.6" x14ac:dyDescent="0.3">
      <c r="A317" s="173"/>
      <c r="B317" s="187" t="s">
        <v>1388</v>
      </c>
      <c r="C317" s="175"/>
      <c r="D317" s="173"/>
      <c r="E317" s="175"/>
    </row>
    <row r="318" spans="1:5" x14ac:dyDescent="0.3">
      <c r="A318" s="173"/>
      <c r="B318" s="180"/>
      <c r="C318" s="175"/>
      <c r="D318" s="173"/>
      <c r="E318" s="175"/>
    </row>
    <row r="319" spans="1:5" x14ac:dyDescent="0.3">
      <c r="A319" s="173"/>
      <c r="B319" s="175"/>
      <c r="C319" s="175"/>
      <c r="D319" s="173"/>
      <c r="E319" s="175"/>
    </row>
    <row r="320" spans="1:5" x14ac:dyDescent="0.3">
      <c r="A320" s="173"/>
      <c r="B320" s="175"/>
      <c r="C320" s="175"/>
      <c r="D320" s="173"/>
      <c r="E320" s="175"/>
    </row>
    <row r="321" spans="1:5" x14ac:dyDescent="0.3">
      <c r="A321" s="173"/>
      <c r="B321" s="175"/>
      <c r="C321" s="175"/>
      <c r="D321" s="173"/>
      <c r="E321" s="175"/>
    </row>
    <row r="322" spans="1:5" x14ac:dyDescent="0.3">
      <c r="A322" s="173"/>
      <c r="B322" s="175"/>
      <c r="C322" s="175"/>
      <c r="D322" s="173"/>
      <c r="E322" s="175"/>
    </row>
    <row r="323" spans="1:5" x14ac:dyDescent="0.3">
      <c r="A323" s="173"/>
      <c r="B323" s="175"/>
      <c r="C323" s="175"/>
      <c r="D323" s="173"/>
      <c r="E323" s="175"/>
    </row>
    <row r="324" spans="1:5" x14ac:dyDescent="0.3">
      <c r="A324" s="173"/>
      <c r="B324" s="175"/>
      <c r="C324" s="175"/>
      <c r="D324" s="173"/>
      <c r="E324" s="175"/>
    </row>
    <row r="325" spans="1:5" x14ac:dyDescent="0.3">
      <c r="A325" s="173"/>
      <c r="B325" s="175"/>
      <c r="C325" s="175"/>
      <c r="D325" s="173"/>
      <c r="E325" s="175"/>
    </row>
    <row r="326" spans="1:5" x14ac:dyDescent="0.3">
      <c r="A326" s="173"/>
      <c r="B326" s="175"/>
      <c r="C326" s="175"/>
      <c r="D326" s="173"/>
      <c r="E326" s="175"/>
    </row>
    <row r="327" spans="1:5" x14ac:dyDescent="0.3">
      <c r="A327" s="173"/>
      <c r="B327" s="175"/>
      <c r="C327" s="175"/>
      <c r="D327" s="173"/>
      <c r="E327" s="175"/>
    </row>
    <row r="328" spans="1:5" x14ac:dyDescent="0.3">
      <c r="A328" s="173"/>
      <c r="B328" s="175"/>
      <c r="C328" s="175"/>
      <c r="D328" s="173"/>
      <c r="E328" s="175"/>
    </row>
    <row r="329" spans="1:5" x14ac:dyDescent="0.3">
      <c r="A329" s="173"/>
      <c r="B329" s="175"/>
      <c r="C329" s="175"/>
      <c r="D329" s="173"/>
      <c r="E329" s="175"/>
    </row>
    <row r="330" spans="1:5" x14ac:dyDescent="0.3">
      <c r="A330" s="173"/>
      <c r="B330" s="175"/>
      <c r="C330" s="175"/>
      <c r="D330" s="173"/>
      <c r="E330" s="175"/>
    </row>
    <row r="331" spans="1:5" x14ac:dyDescent="0.3">
      <c r="A331" s="173"/>
      <c r="B331" s="175"/>
      <c r="C331" s="175"/>
      <c r="D331" s="173"/>
      <c r="E331" s="175"/>
    </row>
    <row r="332" spans="1:5" x14ac:dyDescent="0.3">
      <c r="A332" s="173"/>
      <c r="B332" s="175"/>
      <c r="C332" s="175"/>
      <c r="D332" s="173"/>
      <c r="E332" s="175"/>
    </row>
    <row r="333" spans="1:5" x14ac:dyDescent="0.3">
      <c r="A333" s="173"/>
      <c r="B333" s="175"/>
      <c r="C333" s="175"/>
      <c r="D333" s="173"/>
      <c r="E333" s="175"/>
    </row>
    <row r="334" spans="1:5" x14ac:dyDescent="0.3">
      <c r="A334" s="173"/>
      <c r="B334" s="175"/>
      <c r="C334" s="175"/>
      <c r="D334" s="173"/>
      <c r="E334" s="175"/>
    </row>
    <row r="335" spans="1:5" x14ac:dyDescent="0.3">
      <c r="A335" s="173"/>
      <c r="B335" s="175"/>
      <c r="C335" s="175"/>
      <c r="D335" s="173"/>
      <c r="E335" s="175"/>
    </row>
    <row r="336" spans="1:5" x14ac:dyDescent="0.3">
      <c r="A336" s="188"/>
      <c r="B336" s="189"/>
      <c r="C336" s="189"/>
      <c r="D336" s="188"/>
      <c r="E336" s="189"/>
    </row>
    <row r="337" spans="1:7" x14ac:dyDescent="0.3">
      <c r="A337" s="178"/>
      <c r="B337" s="179"/>
      <c r="C337" s="179"/>
      <c r="D337" s="178"/>
      <c r="E337" s="179"/>
    </row>
    <row r="338" spans="1:7" s="172" customFormat="1" ht="28.5" customHeight="1" x14ac:dyDescent="0.3">
      <c r="A338" s="166" t="s">
        <v>1257</v>
      </c>
      <c r="B338" s="167" t="s">
        <v>1258</v>
      </c>
      <c r="C338" s="168"/>
      <c r="D338" s="166" t="s">
        <v>1259</v>
      </c>
      <c r="E338" s="169" t="s">
        <v>1260</v>
      </c>
      <c r="F338" s="170"/>
      <c r="G338" s="171"/>
    </row>
    <row r="339" spans="1:7" ht="20.55" customHeight="1" x14ac:dyDescent="0.3">
      <c r="A339" s="173"/>
      <c r="B339" s="176" t="s">
        <v>1389</v>
      </c>
      <c r="C339" s="175"/>
      <c r="D339" s="173"/>
      <c r="E339" s="175"/>
    </row>
    <row r="340" spans="1:7" ht="7.5" customHeight="1" x14ac:dyDescent="0.3">
      <c r="A340" s="173"/>
      <c r="B340" s="175"/>
      <c r="C340" s="175"/>
      <c r="D340" s="173"/>
      <c r="E340" s="175"/>
    </row>
    <row r="341" spans="1:7" x14ac:dyDescent="0.3">
      <c r="A341" s="173"/>
      <c r="B341" s="177" t="s">
        <v>1286</v>
      </c>
      <c r="C341" s="175"/>
      <c r="D341" s="173"/>
      <c r="E341" s="175"/>
    </row>
    <row r="342" spans="1:7" ht="7.5" customHeight="1" x14ac:dyDescent="0.3">
      <c r="A342" s="173"/>
      <c r="B342" s="175"/>
      <c r="C342" s="175"/>
      <c r="D342" s="173"/>
      <c r="E342" s="175"/>
    </row>
    <row r="343" spans="1:7" x14ac:dyDescent="0.3">
      <c r="A343" s="173"/>
      <c r="B343" s="180" t="s">
        <v>1390</v>
      </c>
      <c r="C343" s="175"/>
      <c r="D343" s="173"/>
      <c r="E343" s="175"/>
    </row>
    <row r="344" spans="1:7" ht="6.6" customHeight="1" x14ac:dyDescent="0.3">
      <c r="A344" s="173"/>
      <c r="B344" s="175"/>
      <c r="C344" s="175"/>
      <c r="D344" s="173"/>
      <c r="E344" s="175"/>
    </row>
    <row r="345" spans="1:7" x14ac:dyDescent="0.3">
      <c r="A345" s="182" t="s">
        <v>1293</v>
      </c>
      <c r="B345" s="175" t="s">
        <v>1391</v>
      </c>
      <c r="C345" s="183"/>
      <c r="D345" s="173" t="s">
        <v>1392</v>
      </c>
      <c r="E345" s="190"/>
    </row>
    <row r="346" spans="1:7" ht="9.15" customHeight="1" x14ac:dyDescent="0.3">
      <c r="A346" s="182"/>
      <c r="B346" s="175"/>
      <c r="C346" s="175"/>
      <c r="D346" s="173"/>
      <c r="E346" s="175"/>
    </row>
    <row r="347" spans="1:7" x14ac:dyDescent="0.3">
      <c r="A347" s="182" t="str">
        <f>IF(D347&gt;0,IF(INDEX(A327:A345,MATCH(REPT("z",255),A327:A345))="H","J",IF(INDEX(A327:A345,MATCH(REPT("z",255),A327:A345))="N","P",CHAR(CODE(INDEX(A327:A345,MATCH(REPT("z",255),A327:A345)))+1))),)</f>
        <v>B</v>
      </c>
      <c r="B347" s="175" t="s">
        <v>1393</v>
      </c>
      <c r="C347" s="183"/>
      <c r="D347" s="173" t="s">
        <v>1392</v>
      </c>
      <c r="E347" s="190"/>
    </row>
    <row r="348" spans="1:7" ht="10.5" customHeight="1" x14ac:dyDescent="0.3">
      <c r="A348" s="182"/>
      <c r="B348" s="175"/>
      <c r="C348" s="175"/>
      <c r="D348" s="173"/>
      <c r="E348" s="190"/>
    </row>
    <row r="349" spans="1:7" x14ac:dyDescent="0.3">
      <c r="A349" s="182" t="str">
        <f>IF(D349&gt;0,IF(INDEX(A327:A347,MATCH(REPT("z",255),A327:A347))="H","J",IF(INDEX(A327:A347,MATCH(REPT("z",255),A327:A347))="N","P",CHAR(CODE(INDEX(A327:A347,MATCH(REPT("z",255),A327:A347)))+1))),)</f>
        <v>C</v>
      </c>
      <c r="B349" s="175" t="s">
        <v>1394</v>
      </c>
      <c r="C349" s="183"/>
      <c r="D349" s="173" t="s">
        <v>1395</v>
      </c>
      <c r="E349" s="190"/>
    </row>
    <row r="350" spans="1:7" x14ac:dyDescent="0.3">
      <c r="A350" s="182"/>
      <c r="B350" s="175"/>
      <c r="C350" s="175"/>
      <c r="D350" s="173"/>
      <c r="E350" s="190"/>
    </row>
    <row r="351" spans="1:7" x14ac:dyDescent="0.3">
      <c r="A351" s="182" t="str">
        <f>IF(D351&gt;0,IF(INDEX(A327:A349,MATCH(REPT("z",255),A327:A349))="H","J",IF(INDEX(A327:A349,MATCH(REPT("z",255),A327:A349))="N","P",CHAR(CODE(INDEX(A327:A349,MATCH(REPT("z",255),A327:A349)))+1))),)</f>
        <v>D</v>
      </c>
      <c r="B351" s="175" t="s">
        <v>1396</v>
      </c>
      <c r="C351" s="183"/>
      <c r="D351" s="173" t="s">
        <v>1395</v>
      </c>
      <c r="E351" s="190"/>
    </row>
    <row r="352" spans="1:7" ht="10.5" customHeight="1" x14ac:dyDescent="0.3">
      <c r="A352" s="182"/>
      <c r="B352" s="175"/>
      <c r="C352" s="175"/>
      <c r="D352" s="173"/>
      <c r="E352" s="175"/>
    </row>
    <row r="353" spans="1:5" x14ac:dyDescent="0.3">
      <c r="A353" s="182" t="str">
        <f>IF(D353&gt;0,IF(INDEX(A327:A351,MATCH(REPT("z",255),A327:A351))="H","J",IF(INDEX(A327:A351,MATCH(REPT("z",255),A327:A351))="N","P",CHAR(CODE(INDEX(A327:A351,MATCH(REPT("z",255),A327:A351)))+1))),)</f>
        <v>E</v>
      </c>
      <c r="B353" s="175" t="s">
        <v>1397</v>
      </c>
      <c r="C353" s="183"/>
      <c r="D353" s="173" t="s">
        <v>1395</v>
      </c>
      <c r="E353" s="190"/>
    </row>
    <row r="354" spans="1:5" ht="8.25" customHeight="1" x14ac:dyDescent="0.3">
      <c r="A354" s="182"/>
      <c r="B354" s="175"/>
      <c r="C354" s="175"/>
      <c r="D354" s="173"/>
      <c r="E354" s="175"/>
    </row>
    <row r="355" spans="1:5" x14ac:dyDescent="0.3">
      <c r="A355" s="182" t="str">
        <f>IF(D355&gt;0,IF(INDEX(A328:A353,MATCH(REPT("z",255),A328:A353))="H","J",IF(INDEX(A328:A353,MATCH(REPT("z",255),A328:A353))="N","P",CHAR(CODE(INDEX(A328:A353,MATCH(REPT("z",255),A328:A353)))+1))),)</f>
        <v>F</v>
      </c>
      <c r="B355" s="175" t="s">
        <v>1398</v>
      </c>
      <c r="C355" s="183"/>
      <c r="D355" s="173" t="s">
        <v>1399</v>
      </c>
      <c r="E355" s="190"/>
    </row>
    <row r="356" spans="1:5" x14ac:dyDescent="0.3">
      <c r="A356" s="182"/>
      <c r="B356" s="175"/>
      <c r="C356" s="175"/>
      <c r="D356" s="173"/>
      <c r="E356" s="175"/>
    </row>
    <row r="357" spans="1:5" x14ac:dyDescent="0.3">
      <c r="A357" s="182" t="str">
        <f>IF(D357&gt;0,IF(INDEX(A332:A355,MATCH(REPT("z",255),A332:A355))="H","J",IF(INDEX(A332:A355,MATCH(REPT("z",255),A332:A355))="N","P",CHAR(CODE(INDEX(A332:A355,MATCH(REPT("z",255),A332:A355)))+1))),)</f>
        <v>G</v>
      </c>
      <c r="B357" s="175" t="s">
        <v>1400</v>
      </c>
      <c r="C357" s="183"/>
      <c r="D357" s="173" t="s">
        <v>1399</v>
      </c>
      <c r="E357" s="190"/>
    </row>
    <row r="358" spans="1:5" ht="10.050000000000001" customHeight="1" x14ac:dyDescent="0.3">
      <c r="A358" s="182"/>
      <c r="B358" s="175"/>
      <c r="C358" s="175"/>
      <c r="D358" s="173"/>
      <c r="E358" s="175"/>
    </row>
    <row r="359" spans="1:5" x14ac:dyDescent="0.3">
      <c r="A359" s="182" t="str">
        <f>IF(D359&gt;0,IF(INDEX(A334:A357,MATCH(REPT("z",255),A334:A357))="H","J",IF(INDEX(A334:A357,MATCH(REPT("z",255),A334:A357))="N","P",CHAR(CODE(INDEX(A334:A357,MATCH(REPT("z",255),A334:A357)))+1))),)</f>
        <v>H</v>
      </c>
      <c r="B359" s="175" t="s">
        <v>1401</v>
      </c>
      <c r="C359" s="183"/>
      <c r="D359" s="173" t="s">
        <v>1402</v>
      </c>
      <c r="E359" s="190"/>
    </row>
    <row r="360" spans="1:5" ht="8.6999999999999993" customHeight="1" x14ac:dyDescent="0.3">
      <c r="A360" s="182"/>
      <c r="B360" s="175"/>
      <c r="C360" s="175"/>
      <c r="D360" s="173"/>
      <c r="E360" s="175"/>
    </row>
    <row r="361" spans="1:5" x14ac:dyDescent="0.3">
      <c r="A361" s="182" t="str">
        <f>IF(D361&gt;0,IF(INDEX(A336:A359,MATCH(REPT("z",255),A336:A359))="H","J",IF(INDEX(A336:A359,MATCH(REPT("z",255),A336:A359))="N","P",CHAR(CODE(INDEX(A336:A359,MATCH(REPT("z",255),A336:A359)))+1))),)</f>
        <v>J</v>
      </c>
      <c r="B361" s="175" t="s">
        <v>1403</v>
      </c>
      <c r="C361" s="183"/>
      <c r="D361" s="173" t="s">
        <v>1399</v>
      </c>
      <c r="E361" s="190"/>
    </row>
    <row r="362" spans="1:5" ht="8.25" customHeight="1" x14ac:dyDescent="0.3">
      <c r="A362" s="182"/>
      <c r="B362" s="175"/>
      <c r="C362" s="175"/>
      <c r="D362" s="173"/>
      <c r="E362" s="175"/>
    </row>
    <row r="363" spans="1:5" x14ac:dyDescent="0.3">
      <c r="A363" s="182" t="str">
        <f>IF(D363&gt;0,IF(INDEX(A338:A361,MATCH(REPT("z",255),A338:A361))="H","J",IF(INDEX(A338:A361,MATCH(REPT("z",255),A338:A361))="N","P",CHAR(CODE(INDEX(A338:A361,MATCH(REPT("z",255),A338:A361)))+1))),)</f>
        <v>K</v>
      </c>
      <c r="B363" s="175" t="s">
        <v>1404</v>
      </c>
      <c r="C363" s="183"/>
      <c r="D363" s="173" t="s">
        <v>1399</v>
      </c>
      <c r="E363" s="190"/>
    </row>
    <row r="364" spans="1:5" ht="10.050000000000001" customHeight="1" x14ac:dyDescent="0.3">
      <c r="A364" s="182"/>
      <c r="B364" s="175"/>
      <c r="C364" s="175"/>
      <c r="D364" s="173"/>
      <c r="E364" s="175"/>
    </row>
    <row r="365" spans="1:5" x14ac:dyDescent="0.3">
      <c r="A365" s="182" t="str">
        <f>IF(D365&gt;0,IF(INDEX(A340:A363,MATCH(REPT("z",255),A340:A363))="H","J",IF(INDEX(A340:A363,MATCH(REPT("z",255),A340:A363))="N","P",CHAR(CODE(INDEX(A340:A363,MATCH(REPT("z",255),A340:A363)))+1))),)</f>
        <v>L</v>
      </c>
      <c r="B365" s="175" t="s">
        <v>1405</v>
      </c>
      <c r="C365" s="183"/>
      <c r="D365" s="173" t="s">
        <v>1402</v>
      </c>
      <c r="E365" s="175"/>
    </row>
    <row r="366" spans="1:5" ht="10.050000000000001" customHeight="1" x14ac:dyDescent="0.3">
      <c r="A366" s="182"/>
      <c r="B366" s="175"/>
      <c r="C366" s="175"/>
      <c r="D366" s="173"/>
      <c r="E366" s="175"/>
    </row>
    <row r="367" spans="1:5" x14ac:dyDescent="0.3">
      <c r="A367" s="182" t="str">
        <f>IF(D367&gt;0,IF(INDEX(A342:A365,MATCH(REPT("z",255),A342:A365))="H","J",IF(INDEX(A342:A365,MATCH(REPT("z",255),A342:A365))="N","P",CHAR(CODE(INDEX(A342:A365,MATCH(REPT("z",255),A342:A365)))+1))),)</f>
        <v>M</v>
      </c>
      <c r="B367" s="175" t="s">
        <v>1406</v>
      </c>
      <c r="C367" s="183"/>
      <c r="D367" s="173" t="s">
        <v>1402</v>
      </c>
      <c r="E367" s="175"/>
    </row>
    <row r="368" spans="1:5" ht="11.7" customHeight="1" x14ac:dyDescent="0.3">
      <c r="A368" s="182"/>
      <c r="B368" s="175"/>
      <c r="C368" s="175"/>
      <c r="D368" s="173"/>
      <c r="E368" s="175"/>
    </row>
    <row r="369" spans="1:5" x14ac:dyDescent="0.3">
      <c r="A369" s="182" t="str">
        <f>IF(D369&gt;0,IF(INDEX(A344:A367,MATCH(REPT("z",255),A344:A367))="H","J",IF(INDEX(A344:A367,MATCH(REPT("z",255),A344:A367))="N","P",CHAR(CODE(INDEX(A344:A367,MATCH(REPT("z",255),A344:A367)))+1))),)</f>
        <v>N</v>
      </c>
      <c r="B369" s="175" t="s">
        <v>1407</v>
      </c>
      <c r="C369" s="183"/>
      <c r="D369" s="173" t="s">
        <v>1402</v>
      </c>
      <c r="E369" s="175"/>
    </row>
    <row r="370" spans="1:5" ht="11.7" customHeight="1" x14ac:dyDescent="0.3">
      <c r="A370" s="182"/>
      <c r="B370" s="175"/>
      <c r="C370" s="175"/>
      <c r="D370" s="173"/>
      <c r="E370" s="175"/>
    </row>
    <row r="371" spans="1:5" x14ac:dyDescent="0.3">
      <c r="A371" s="182" t="str">
        <f>IF(D371&gt;0,IF(INDEX(A346:A369,MATCH(REPT("z",255),A346:A369))="H","J",IF(INDEX(A346:A369,MATCH(REPT("z",255),A346:A369))="N","P",CHAR(CODE(INDEX(A346:A369,MATCH(REPT("z",255),A346:A369)))+1))),)</f>
        <v>P</v>
      </c>
      <c r="B371" s="175" t="s">
        <v>1408</v>
      </c>
      <c r="C371" s="183"/>
      <c r="D371" s="173" t="s">
        <v>1402</v>
      </c>
      <c r="E371" s="175"/>
    </row>
    <row r="372" spans="1:5" ht="11.7" customHeight="1" x14ac:dyDescent="0.3">
      <c r="A372" s="182"/>
      <c r="B372" s="175"/>
      <c r="C372" s="175"/>
      <c r="D372" s="173"/>
      <c r="E372" s="175"/>
    </row>
    <row r="373" spans="1:5" x14ac:dyDescent="0.3">
      <c r="A373" s="182" t="str">
        <f>IF(D373&gt;0,IF(INDEX(A348:A371,MATCH(REPT("z",255),A348:A371))="H","J",IF(INDEX(A348:A371,MATCH(REPT("z",255),A348:A371))="N","P",CHAR(CODE(INDEX(A348:A371,MATCH(REPT("z",255),A348:A371)))+1))),)</f>
        <v>Q</v>
      </c>
      <c r="B373" s="175" t="s">
        <v>1409</v>
      </c>
      <c r="C373" s="183"/>
      <c r="D373" s="173" t="s">
        <v>1402</v>
      </c>
      <c r="E373" s="175"/>
    </row>
    <row r="374" spans="1:5" ht="11.7" customHeight="1" x14ac:dyDescent="0.3">
      <c r="A374" s="182"/>
      <c r="B374" s="175"/>
      <c r="C374" s="175"/>
      <c r="D374" s="173"/>
      <c r="E374" s="175"/>
    </row>
    <row r="375" spans="1:5" x14ac:dyDescent="0.3">
      <c r="A375" s="182" t="str">
        <f>IF(D375&gt;0,IF(INDEX(A350:A373,MATCH(REPT("z",255),A350:A373))="H","J",IF(INDEX(A350:A373,MATCH(REPT("z",255),A350:A373))="N","P",CHAR(CODE(INDEX(A350:A373,MATCH(REPT("z",255),A350:A373)))+1))),)</f>
        <v>R</v>
      </c>
      <c r="B375" s="175" t="s">
        <v>1410</v>
      </c>
      <c r="C375" s="183"/>
      <c r="D375" s="173" t="s">
        <v>1402</v>
      </c>
      <c r="E375" s="175"/>
    </row>
    <row r="376" spans="1:5" ht="11.7" customHeight="1" x14ac:dyDescent="0.3">
      <c r="A376" s="182"/>
      <c r="B376" s="175"/>
      <c r="C376" s="175"/>
      <c r="D376" s="173"/>
      <c r="E376" s="175"/>
    </row>
    <row r="377" spans="1:5" x14ac:dyDescent="0.3">
      <c r="A377" s="182" t="str">
        <f>IF(D377&gt;0,IF(INDEX(A352:A375,MATCH(REPT("z",255),A352:A375))="H","J",IF(INDEX(A352:A375,MATCH(REPT("z",255),A352:A375))="N","P",CHAR(CODE(INDEX(A352:A375,MATCH(REPT("z",255),A352:A375)))+1))),)</f>
        <v>S</v>
      </c>
      <c r="B377" s="175" t="s">
        <v>1411</v>
      </c>
      <c r="C377" s="183"/>
      <c r="D377" s="173" t="s">
        <v>1402</v>
      </c>
      <c r="E377" s="175"/>
    </row>
    <row r="378" spans="1:5" ht="11.7" customHeight="1" x14ac:dyDescent="0.3">
      <c r="A378" s="182"/>
      <c r="B378" s="175"/>
      <c r="C378" s="175"/>
      <c r="D378" s="173"/>
      <c r="E378" s="175"/>
    </row>
    <row r="379" spans="1:5" x14ac:dyDescent="0.3">
      <c r="A379" s="182" t="str">
        <f>IF(D379&gt;0,IF(INDEX(A354:A377,MATCH(REPT("z",255),A354:A377))="H","J",IF(INDEX(A354:A377,MATCH(REPT("z",255),A354:A377))="N","P",CHAR(CODE(INDEX(A354:A377,MATCH(REPT("z",255),A354:A377)))+1))),)</f>
        <v>T</v>
      </c>
      <c r="B379" s="175" t="s">
        <v>1412</v>
      </c>
      <c r="C379" s="183"/>
      <c r="D379" s="173" t="s">
        <v>1402</v>
      </c>
      <c r="E379" s="190"/>
    </row>
    <row r="380" spans="1:5" ht="11.7" customHeight="1" x14ac:dyDescent="0.3">
      <c r="A380" s="182"/>
      <c r="B380" s="175"/>
      <c r="C380" s="175"/>
      <c r="D380" s="173"/>
      <c r="E380" s="175"/>
    </row>
    <row r="381" spans="1:5" x14ac:dyDescent="0.3">
      <c r="A381" s="182" t="str">
        <f>IF(D381&gt;0,IF(INDEX(A356:A379,MATCH(REPT("z",255),A356:A379))="H","J",IF(INDEX(A356:A379,MATCH(REPT("z",255),A356:A379))="N","P",CHAR(CODE(INDEX(A356:A379,MATCH(REPT("z",255),A356:A379)))+1))),)</f>
        <v>U</v>
      </c>
      <c r="B381" s="175" t="s">
        <v>1413</v>
      </c>
      <c r="C381" s="183"/>
      <c r="D381" s="173" t="s">
        <v>1392</v>
      </c>
      <c r="E381" s="190"/>
    </row>
    <row r="382" spans="1:5" ht="11.7" customHeight="1" x14ac:dyDescent="0.3">
      <c r="A382" s="182"/>
      <c r="B382" s="175"/>
      <c r="C382" s="175"/>
      <c r="D382" s="173"/>
      <c r="E382" s="175"/>
    </row>
    <row r="383" spans="1:5" x14ac:dyDescent="0.3">
      <c r="A383" s="182" t="str">
        <f>IF(D383&gt;0,IF(INDEX(A358:A381,MATCH(REPT("z",255),A358:A381))="H","J",IF(INDEX(A358:A381,MATCH(REPT("z",255),A358:A381))="N","P",CHAR(CODE(INDEX(A358:A381,MATCH(REPT("z",255),A358:A381)))+1))),)</f>
        <v>V</v>
      </c>
      <c r="B383" s="175" t="s">
        <v>1414</v>
      </c>
      <c r="C383" s="183"/>
      <c r="D383" s="173" t="s">
        <v>1392</v>
      </c>
      <c r="E383" s="190"/>
    </row>
    <row r="384" spans="1:5" ht="10.050000000000001" customHeight="1" x14ac:dyDescent="0.3">
      <c r="A384" s="182"/>
      <c r="B384" s="175"/>
      <c r="C384" s="175"/>
      <c r="D384" s="173"/>
      <c r="E384" s="175"/>
    </row>
    <row r="385" spans="1:7" x14ac:dyDescent="0.3">
      <c r="A385" s="182" t="str">
        <f>IF(D385&gt;0,IF(INDEX(A360:A383,MATCH(REPT("z",255),A360:A383))="H","J",IF(INDEX(A360:A383,MATCH(REPT("z",255),A360:A383))="N","P",CHAR(CODE(INDEX(A360:A383,MATCH(REPT("z",255),A360:A383)))+1))),)</f>
        <v>W</v>
      </c>
      <c r="B385" s="175" t="s">
        <v>1415</v>
      </c>
      <c r="C385" s="183"/>
      <c r="D385" s="173" t="s">
        <v>1392</v>
      </c>
      <c r="E385" s="190"/>
    </row>
    <row r="386" spans="1:7" ht="8.6999999999999993" customHeight="1" x14ac:dyDescent="0.3">
      <c r="A386" s="182"/>
      <c r="B386" s="175"/>
      <c r="C386" s="175"/>
      <c r="D386" s="173"/>
      <c r="E386" s="175"/>
    </row>
    <row r="387" spans="1:7" x14ac:dyDescent="0.3">
      <c r="A387" s="182" t="str">
        <f>IF(D387&gt;0,IF(INDEX(A362:A385,MATCH(REPT("z",255),A362:A385))="H","J",IF(INDEX(A362:A385,MATCH(REPT("z",255),A362:A385))="N","P",CHAR(CODE(INDEX(A362:A385,MATCH(REPT("z",255),A362:A385)))+1))),)</f>
        <v>X</v>
      </c>
      <c r="B387" s="175" t="s">
        <v>1416</v>
      </c>
      <c r="C387" s="183"/>
      <c r="D387" s="173" t="s">
        <v>1392</v>
      </c>
      <c r="E387" s="190"/>
    </row>
    <row r="388" spans="1:7" x14ac:dyDescent="0.3">
      <c r="A388" s="178"/>
      <c r="B388" s="179"/>
      <c r="C388" s="179"/>
      <c r="D388" s="178"/>
      <c r="E388" s="179"/>
    </row>
    <row r="389" spans="1:7" s="172" customFormat="1" ht="28.5" customHeight="1" x14ac:dyDescent="0.3">
      <c r="A389" s="166" t="s">
        <v>1257</v>
      </c>
      <c r="B389" s="167" t="s">
        <v>1258</v>
      </c>
      <c r="C389" s="168"/>
      <c r="D389" s="166" t="s">
        <v>1259</v>
      </c>
      <c r="E389" s="169" t="s">
        <v>1260</v>
      </c>
      <c r="F389" s="170"/>
      <c r="G389" s="171"/>
    </row>
    <row r="390" spans="1:7" ht="17.7" customHeight="1" x14ac:dyDescent="0.3">
      <c r="A390" s="184"/>
      <c r="B390" s="177" t="s">
        <v>1417</v>
      </c>
      <c r="C390" s="175"/>
      <c r="D390" s="173"/>
      <c r="E390" s="175"/>
    </row>
    <row r="391" spans="1:7" x14ac:dyDescent="0.3">
      <c r="A391" s="184"/>
      <c r="B391" s="175"/>
      <c r="C391" s="175"/>
      <c r="D391" s="173"/>
      <c r="E391" s="175"/>
    </row>
    <row r="392" spans="1:7" x14ac:dyDescent="0.3">
      <c r="A392" s="182" t="s">
        <v>1293</v>
      </c>
      <c r="B392" s="175" t="s">
        <v>1418</v>
      </c>
      <c r="C392" s="183"/>
      <c r="D392" s="173" t="s">
        <v>1395</v>
      </c>
      <c r="E392" s="175"/>
    </row>
    <row r="393" spans="1:7" ht="7.05" customHeight="1" x14ac:dyDescent="0.3">
      <c r="A393" s="182"/>
      <c r="B393" s="175"/>
      <c r="C393" s="175"/>
      <c r="D393" s="173"/>
      <c r="E393" s="175"/>
    </row>
    <row r="394" spans="1:7" x14ac:dyDescent="0.3">
      <c r="A394" s="182" t="str">
        <f>IF(D394&gt;0,IF(INDEX(A371:A392,MATCH(REPT("z",255),A371:A392))="H","J",IF(INDEX(A371:A392,MATCH(REPT("z",255),A371:A392))="N","P",CHAR(CODE(INDEX(A371:A392,MATCH(REPT("z",255),A371:A392)))+1))),)</f>
        <v>B</v>
      </c>
      <c r="B394" s="175" t="s">
        <v>1419</v>
      </c>
      <c r="C394" s="183"/>
      <c r="D394" s="173" t="s">
        <v>1420</v>
      </c>
      <c r="E394" s="175"/>
    </row>
    <row r="395" spans="1:7" ht="8.25" customHeight="1" x14ac:dyDescent="0.3">
      <c r="A395" s="182"/>
      <c r="B395" s="175"/>
      <c r="C395" s="175"/>
      <c r="D395" s="173"/>
      <c r="E395" s="175"/>
    </row>
    <row r="396" spans="1:7" x14ac:dyDescent="0.3">
      <c r="A396" s="182" t="str">
        <f>IF(D396&gt;0,IF(INDEX(A373:A394,MATCH(REPT("z",255),A373:A394))="H","J",IF(INDEX(A373:A394,MATCH(REPT("z",255),A373:A394))="N","P",CHAR(CODE(INDEX(A373:A394,MATCH(REPT("z",255),A373:A394)))+1))),)</f>
        <v>C</v>
      </c>
      <c r="B396" s="175" t="s">
        <v>1421</v>
      </c>
      <c r="C396" s="183"/>
      <c r="D396" s="173" t="s">
        <v>1420</v>
      </c>
      <c r="E396" s="175"/>
    </row>
    <row r="397" spans="1:7" ht="9.75" customHeight="1" x14ac:dyDescent="0.3">
      <c r="A397" s="182"/>
      <c r="B397" s="175"/>
      <c r="C397" s="175"/>
      <c r="D397" s="173"/>
      <c r="E397" s="175"/>
    </row>
    <row r="398" spans="1:7" x14ac:dyDescent="0.3">
      <c r="A398" s="182" t="str">
        <f>IF(D398&gt;0,IF(INDEX(A375:A396,MATCH(REPT("z",255),A375:A396))="H","J",IF(INDEX(A375:A396,MATCH(REPT("z",255),A375:A396))="N","P",CHAR(CODE(INDEX(A375:A396,MATCH(REPT("z",255),A375:A396)))+1))),)</f>
        <v>D</v>
      </c>
      <c r="B398" s="175" t="s">
        <v>1422</v>
      </c>
      <c r="C398" s="183"/>
      <c r="D398" s="173" t="s">
        <v>1420</v>
      </c>
      <c r="E398" s="175"/>
    </row>
    <row r="399" spans="1:7" ht="9.15" customHeight="1" x14ac:dyDescent="0.3">
      <c r="A399" s="182"/>
      <c r="B399" s="175"/>
      <c r="C399" s="175"/>
      <c r="D399" s="173"/>
      <c r="E399" s="175"/>
    </row>
    <row r="400" spans="1:7" x14ac:dyDescent="0.3">
      <c r="A400" s="182" t="str">
        <f>IF(D400&gt;0,IF(INDEX(A377:A398,MATCH(REPT("z",255),A377:A398))="H","J",IF(INDEX(A377:A398,MATCH(REPT("z",255),A377:A398))="N","P",CHAR(CODE(INDEX(A377:A398,MATCH(REPT("z",255),A377:A398)))+1))),)</f>
        <v>E</v>
      </c>
      <c r="B400" s="175" t="s">
        <v>1419</v>
      </c>
      <c r="C400" s="183"/>
      <c r="D400" s="173" t="s">
        <v>1420</v>
      </c>
      <c r="E400" s="175"/>
    </row>
    <row r="401" spans="1:5" ht="9.75" customHeight="1" x14ac:dyDescent="0.3">
      <c r="A401" s="182"/>
      <c r="B401" s="175"/>
      <c r="C401" s="175"/>
      <c r="D401" s="173"/>
      <c r="E401" s="175"/>
    </row>
    <row r="402" spans="1:5" x14ac:dyDescent="0.3">
      <c r="A402" s="182" t="str">
        <f>IF(D402&gt;0,IF(INDEX(A379:A400,MATCH(REPT("z",255),A379:A400))="H","J",IF(INDEX(A379:A400,MATCH(REPT("z",255),A379:A400))="N","P",CHAR(CODE(INDEX(A379:A400,MATCH(REPT("z",255),A379:A400)))+1))),)</f>
        <v>F</v>
      </c>
      <c r="B402" s="175" t="s">
        <v>1423</v>
      </c>
      <c r="C402" s="183"/>
      <c r="D402" s="173" t="s">
        <v>1420</v>
      </c>
      <c r="E402" s="175"/>
    </row>
    <row r="403" spans="1:5" ht="9.15" customHeight="1" x14ac:dyDescent="0.3">
      <c r="A403" s="182"/>
      <c r="B403" s="175"/>
      <c r="C403" s="175"/>
      <c r="D403" s="173"/>
      <c r="E403" s="175"/>
    </row>
    <row r="404" spans="1:5" x14ac:dyDescent="0.3">
      <c r="A404" s="182" t="str">
        <f>IF(D404&gt;0,IF(INDEX(A381:A402,MATCH(REPT("z",255),A381:A402))="H","J",IF(INDEX(A381:A402,MATCH(REPT("z",255),A381:A402))="N","P",CHAR(CODE(INDEX(A381:A402,MATCH(REPT("z",255),A381:A402)))+1))),)</f>
        <v>G</v>
      </c>
      <c r="B404" s="175" t="s">
        <v>1424</v>
      </c>
      <c r="C404" s="183"/>
      <c r="D404" s="173" t="s">
        <v>1420</v>
      </c>
      <c r="E404" s="175"/>
    </row>
    <row r="405" spans="1:5" ht="8.6999999999999993" customHeight="1" x14ac:dyDescent="0.3">
      <c r="A405" s="182"/>
      <c r="B405" s="175"/>
      <c r="C405" s="175"/>
      <c r="D405" s="173"/>
      <c r="E405" s="175"/>
    </row>
    <row r="406" spans="1:5" x14ac:dyDescent="0.3">
      <c r="A406" s="182" t="str">
        <f>IF(D406&gt;0,IF(INDEX(A383:A404,MATCH(REPT("z",255),A383:A404))="H","J",IF(INDEX(A383:A404,MATCH(REPT("z",255),A383:A404))="N","P",CHAR(CODE(INDEX(A383:A404,MATCH(REPT("z",255),A383:A404)))+1))),)</f>
        <v>H</v>
      </c>
      <c r="B406" s="175" t="s">
        <v>1425</v>
      </c>
      <c r="C406" s="183"/>
      <c r="D406" s="173" t="s">
        <v>1420</v>
      </c>
      <c r="E406" s="175"/>
    </row>
    <row r="407" spans="1:5" ht="8.25" customHeight="1" x14ac:dyDescent="0.3">
      <c r="A407" s="182"/>
      <c r="B407" s="175"/>
      <c r="C407" s="175"/>
      <c r="D407" s="173"/>
      <c r="E407" s="175"/>
    </row>
    <row r="408" spans="1:5" x14ac:dyDescent="0.3">
      <c r="A408" s="182" t="str">
        <f>IF(D408&gt;0,IF(INDEX(A385:A406,MATCH(REPT("z",255),A385:A406))="H","J",IF(INDEX(A385:A406,MATCH(REPT("z",255),A385:A406))="N","P",CHAR(CODE(INDEX(A385:A406,MATCH(REPT("z",255),A385:A406)))+1))),)</f>
        <v>J</v>
      </c>
      <c r="B408" s="175" t="s">
        <v>1426</v>
      </c>
      <c r="C408" s="183"/>
      <c r="D408" s="173" t="s">
        <v>1420</v>
      </c>
      <c r="E408" s="175"/>
    </row>
    <row r="409" spans="1:5" ht="10.5" customHeight="1" x14ac:dyDescent="0.3">
      <c r="A409" s="182"/>
      <c r="B409" s="175"/>
      <c r="C409" s="175"/>
      <c r="D409" s="173"/>
      <c r="E409" s="175"/>
    </row>
    <row r="410" spans="1:5" x14ac:dyDescent="0.3">
      <c r="A410" s="182" t="str">
        <f>IF(D410&gt;0,IF(INDEX(A387:A408,MATCH(REPT("z",255),A387:A408))="H","J",IF(INDEX(A387:A408,MATCH(REPT("z",255),A387:A408))="N","P",CHAR(CODE(INDEX(A387:A408,MATCH(REPT("z",255),A387:A408)))+1))),)</f>
        <v>K</v>
      </c>
      <c r="B410" s="175" t="s">
        <v>1427</v>
      </c>
      <c r="C410" s="183"/>
      <c r="D410" s="173" t="s">
        <v>1392</v>
      </c>
      <c r="E410" s="190"/>
    </row>
    <row r="411" spans="1:5" ht="11.1" customHeight="1" x14ac:dyDescent="0.3">
      <c r="A411" s="182"/>
      <c r="B411" s="175"/>
      <c r="C411" s="175"/>
      <c r="D411" s="173"/>
      <c r="E411" s="175"/>
    </row>
    <row r="412" spans="1:5" x14ac:dyDescent="0.3">
      <c r="A412" s="182" t="str">
        <f>IF(D412&gt;0,IF(INDEX(A388:A410,MATCH(REPT("z",255),A388:A410))="H","J",IF(INDEX(A388:A410,MATCH(REPT("z",255),A388:A410))="N","P",CHAR(CODE(INDEX(A388:A410,MATCH(REPT("z",255),A388:A410)))+1))),)</f>
        <v>L</v>
      </c>
      <c r="B412" s="175" t="s">
        <v>1428</v>
      </c>
      <c r="C412" s="183"/>
      <c r="D412" s="173" t="s">
        <v>1429</v>
      </c>
      <c r="E412" s="186"/>
    </row>
    <row r="413" spans="1:5" ht="11.7" customHeight="1" x14ac:dyDescent="0.3">
      <c r="A413" s="182"/>
      <c r="B413" s="175"/>
      <c r="C413" s="175"/>
      <c r="D413" s="173"/>
      <c r="E413" s="186"/>
    </row>
    <row r="414" spans="1:5" x14ac:dyDescent="0.3">
      <c r="A414" s="182" t="str">
        <f>IF(D414&gt;0,IF(INDEX(A388:A412,MATCH(REPT("z",255),A388:A412))="H","J",IF(INDEX(A388:A412,MATCH(REPT("z",255),A388:A412))="N","P",CHAR(CODE(INDEX(A388:A412,MATCH(REPT("z",255),A388:A412)))+1))),)</f>
        <v>M</v>
      </c>
      <c r="B414" s="175" t="s">
        <v>1430</v>
      </c>
      <c r="C414" s="183"/>
      <c r="D414" s="173" t="s">
        <v>1429</v>
      </c>
      <c r="E414" s="186"/>
    </row>
    <row r="415" spans="1:5" ht="9.15" customHeight="1" x14ac:dyDescent="0.3">
      <c r="A415" s="182"/>
      <c r="B415" s="175"/>
      <c r="C415" s="175"/>
      <c r="D415" s="173"/>
      <c r="E415" s="175"/>
    </row>
    <row r="416" spans="1:5" x14ac:dyDescent="0.3">
      <c r="A416" s="182" t="str">
        <f>IF(D416&gt;0,IF(INDEX(A390:A414,MATCH(REPT("z",255),A390:A414))="H","J",IF(INDEX(A390:A414,MATCH(REPT("z",255),A390:A414))="N","P",CHAR(CODE(INDEX(A390:A414,MATCH(REPT("z",255),A390:A414)))+1))),)</f>
        <v>N</v>
      </c>
      <c r="B416" s="175" t="s">
        <v>1431</v>
      </c>
      <c r="C416" s="183"/>
      <c r="D416" s="173" t="s">
        <v>1402</v>
      </c>
      <c r="E416" s="175"/>
    </row>
    <row r="417" spans="1:5" ht="10.050000000000001" customHeight="1" x14ac:dyDescent="0.3">
      <c r="A417" s="182"/>
      <c r="B417" s="175"/>
      <c r="C417" s="175"/>
      <c r="D417" s="173"/>
      <c r="E417" s="175"/>
    </row>
    <row r="418" spans="1:5" x14ac:dyDescent="0.3">
      <c r="A418" s="182" t="str">
        <f>IF(D418&gt;0,IF(INDEX(A395:A417,MATCH(REPT("z",255),A395:A417))="H","J",IF(INDEX(A395:A417,MATCH(REPT("z",255),A395:A417))="N","P",CHAR(CODE(INDEX(A395:A417,MATCH(REPT("z",255),A395:A417)))+1))),)</f>
        <v>P</v>
      </c>
      <c r="B418" s="175" t="s">
        <v>1432</v>
      </c>
      <c r="C418" s="183"/>
      <c r="D418" s="173" t="s">
        <v>1395</v>
      </c>
      <c r="E418" s="191"/>
    </row>
    <row r="419" spans="1:5" ht="9.75" customHeight="1" x14ac:dyDescent="0.3">
      <c r="A419" s="182"/>
      <c r="B419" s="175"/>
      <c r="C419" s="175"/>
      <c r="D419" s="173"/>
      <c r="E419" s="191"/>
    </row>
    <row r="420" spans="1:5" x14ac:dyDescent="0.3">
      <c r="A420" s="182" t="str">
        <f>IF(D420&gt;0,IF(INDEX(A397:A418,MATCH(REPT("z",255),A397:A418))="H","J",IF(INDEX(A397:A418,MATCH(REPT("z",255),A397:A418))="N","P",CHAR(CODE(INDEX(A397:A418,MATCH(REPT("z",255),A397:A418)))+1))),)</f>
        <v>Q</v>
      </c>
      <c r="B420" s="175" t="s">
        <v>1433</v>
      </c>
      <c r="C420" s="183"/>
      <c r="D420" s="173" t="s">
        <v>1395</v>
      </c>
      <c r="E420" s="191"/>
    </row>
    <row r="421" spans="1:5" ht="11.1" customHeight="1" x14ac:dyDescent="0.3">
      <c r="A421" s="182"/>
      <c r="B421" s="175"/>
      <c r="C421" s="175"/>
      <c r="D421" s="173"/>
      <c r="E421" s="191"/>
    </row>
    <row r="422" spans="1:5" x14ac:dyDescent="0.3">
      <c r="A422" s="182" t="str">
        <f>IF(D422&gt;0,IF(INDEX(A399:A420,MATCH(REPT("z",255),A399:A420))="H","J",IF(INDEX(A399:A420,MATCH(REPT("z",255),A399:A420))="N","P",CHAR(CODE(INDEX(A399:A420,MATCH(REPT("z",255),A399:A420)))+1))),)</f>
        <v>R</v>
      </c>
      <c r="B422" s="175" t="s">
        <v>1434</v>
      </c>
      <c r="C422" s="183"/>
      <c r="D422" s="173" t="s">
        <v>1395</v>
      </c>
      <c r="E422" s="191"/>
    </row>
    <row r="423" spans="1:5" x14ac:dyDescent="0.3">
      <c r="A423" s="182"/>
      <c r="B423" s="175"/>
      <c r="C423" s="175"/>
      <c r="D423" s="173"/>
      <c r="E423" s="191"/>
    </row>
    <row r="424" spans="1:5" x14ac:dyDescent="0.3">
      <c r="A424" s="182" t="str">
        <f>IF(D424&gt;0,IF(INDEX(A401:A422,MATCH(REPT("z",255),A401:A422))="H","J",IF(INDEX(A401:A422,MATCH(REPT("z",255),A401:A422))="N","P",CHAR(CODE(INDEX(A401:A422,MATCH(REPT("z",255),A401:A422)))+1))),)</f>
        <v>S</v>
      </c>
      <c r="B424" s="175" t="s">
        <v>1435</v>
      </c>
      <c r="C424" s="183"/>
      <c r="D424" s="173" t="s">
        <v>1395</v>
      </c>
      <c r="E424" s="191"/>
    </row>
    <row r="425" spans="1:5" x14ac:dyDescent="0.3">
      <c r="A425" s="182"/>
      <c r="B425" s="175"/>
      <c r="C425" s="175"/>
      <c r="D425" s="173"/>
      <c r="E425" s="191"/>
    </row>
    <row r="426" spans="1:5" x14ac:dyDescent="0.3">
      <c r="A426" s="182" t="str">
        <f>IF(D426&gt;0,IF(INDEX(A403:A424,MATCH(REPT("z",255),A403:A424))="H","J",IF(INDEX(A403:A424,MATCH(REPT("z",255),A403:A424))="N","P",CHAR(CODE(INDEX(A403:A424,MATCH(REPT("z",255),A403:A424)))+1))),)</f>
        <v>T</v>
      </c>
      <c r="B426" s="175" t="s">
        <v>1436</v>
      </c>
      <c r="C426" s="183"/>
      <c r="D426" s="173" t="s">
        <v>1395</v>
      </c>
      <c r="E426" s="191"/>
    </row>
    <row r="427" spans="1:5" x14ac:dyDescent="0.3">
      <c r="A427" s="182"/>
      <c r="B427" s="175"/>
      <c r="C427" s="175"/>
      <c r="D427" s="173"/>
      <c r="E427" s="191"/>
    </row>
    <row r="428" spans="1:5" x14ac:dyDescent="0.3">
      <c r="A428" s="182" t="str">
        <f>IF(D428&gt;0,IF(INDEX(A405:A426,MATCH(REPT("z",255),A405:A426))="H","J",IF(INDEX(A405:A426,MATCH(REPT("z",255),A405:A426))="N","P",CHAR(CODE(INDEX(A405:A426,MATCH(REPT("z",255),A405:A426)))+1))),)</f>
        <v>U</v>
      </c>
      <c r="B428" s="175" t="s">
        <v>1437</v>
      </c>
      <c r="C428" s="183"/>
      <c r="D428" s="173" t="s">
        <v>1395</v>
      </c>
      <c r="E428" s="191"/>
    </row>
    <row r="429" spans="1:5" x14ac:dyDescent="0.3">
      <c r="A429" s="182"/>
      <c r="B429" s="175"/>
      <c r="C429" s="175"/>
      <c r="D429" s="173"/>
      <c r="E429" s="175"/>
    </row>
    <row r="430" spans="1:5" x14ac:dyDescent="0.3">
      <c r="A430" s="182" t="str">
        <f>IF(D430&gt;0,IF(INDEX(A409:A429,MATCH(REPT("z",255),A409:A429))="H","J",IF(INDEX(A409:A429,MATCH(REPT("z",255),A409:A429))="N","P",CHAR(CODE(INDEX(A409:A429,MATCH(REPT("z",255),A409:A429)))+1))),)</f>
        <v>V</v>
      </c>
      <c r="B430" s="175" t="s">
        <v>1438</v>
      </c>
      <c r="C430" s="183"/>
      <c r="D430" s="173" t="s">
        <v>1395</v>
      </c>
      <c r="E430" s="190"/>
    </row>
    <row r="431" spans="1:5" ht="8.25" customHeight="1" x14ac:dyDescent="0.3">
      <c r="A431" s="182"/>
      <c r="B431" s="175"/>
      <c r="C431" s="175"/>
      <c r="D431" s="173"/>
      <c r="E431" s="175"/>
    </row>
    <row r="432" spans="1:5" x14ac:dyDescent="0.3">
      <c r="A432" s="182" t="str">
        <f>IF(D432&gt;0,IF(INDEX(A411:A430,MATCH(REPT("z",255),A411:A430))="H","J",IF(INDEX(A411:A430,MATCH(REPT("z",255),A411:A430))="N","P",CHAR(CODE(INDEX(A411:A430,MATCH(REPT("z",255),A411:A430)))+1))),)</f>
        <v>W</v>
      </c>
      <c r="B432" s="175" t="s">
        <v>1434</v>
      </c>
      <c r="C432" s="183"/>
      <c r="D432" s="173" t="s">
        <v>1395</v>
      </c>
      <c r="E432" s="190"/>
    </row>
    <row r="433" spans="1:7" ht="8.6999999999999993" customHeight="1" x14ac:dyDescent="0.3">
      <c r="A433" s="182"/>
      <c r="B433" s="175"/>
      <c r="C433" s="175"/>
      <c r="D433" s="173"/>
      <c r="E433" s="175"/>
    </row>
    <row r="434" spans="1:7" x14ac:dyDescent="0.3">
      <c r="A434" s="182" t="str">
        <f>IF(D434&gt;0,IF(INDEX(A413:A432,MATCH(REPT("z",255),A413:A432))="H","J",IF(INDEX(A413:A432,MATCH(REPT("z",255),A413:A432))="N","P",CHAR(CODE(INDEX(A413:A432,MATCH(REPT("z",255),A413:A432)))+1))),)</f>
        <v>X</v>
      </c>
      <c r="B434" s="175" t="s">
        <v>1435</v>
      </c>
      <c r="C434" s="183"/>
      <c r="D434" s="173" t="s">
        <v>1395</v>
      </c>
      <c r="E434" s="190"/>
    </row>
    <row r="435" spans="1:7" ht="7.05" customHeight="1" x14ac:dyDescent="0.3">
      <c r="A435" s="182"/>
      <c r="B435" s="175"/>
      <c r="C435" s="175"/>
      <c r="D435" s="173"/>
      <c r="E435" s="175"/>
    </row>
    <row r="436" spans="1:7" x14ac:dyDescent="0.3">
      <c r="A436" s="182" t="str">
        <f>IF(D436&gt;0,IF(INDEX(A415:A434,MATCH(REPT("z",255),A415:A434))="H","J",IF(INDEX(A415:A434,MATCH(REPT("z",255),A415:A434))="N","P",CHAR(CODE(INDEX(A415:A434,MATCH(REPT("z",255),A415:A434)))+1))),)</f>
        <v>Y</v>
      </c>
      <c r="B436" s="175" t="s">
        <v>1436</v>
      </c>
      <c r="C436" s="183"/>
      <c r="D436" s="173" t="s">
        <v>1395</v>
      </c>
      <c r="E436" s="190"/>
    </row>
    <row r="437" spans="1:7" ht="7.5" customHeight="1" x14ac:dyDescent="0.3">
      <c r="A437" s="173"/>
      <c r="B437" s="175"/>
      <c r="C437" s="175"/>
      <c r="D437" s="173"/>
      <c r="E437" s="175"/>
    </row>
    <row r="438" spans="1:7" x14ac:dyDescent="0.3">
      <c r="A438" s="178"/>
      <c r="B438" s="179"/>
      <c r="C438" s="179"/>
      <c r="D438" s="178"/>
      <c r="E438" s="179"/>
    </row>
    <row r="439" spans="1:7" s="172" customFormat="1" ht="28.5" customHeight="1" x14ac:dyDescent="0.3">
      <c r="A439" s="166" t="s">
        <v>1257</v>
      </c>
      <c r="B439" s="167" t="s">
        <v>1258</v>
      </c>
      <c r="C439" s="168"/>
      <c r="D439" s="166" t="s">
        <v>1259</v>
      </c>
      <c r="E439" s="169" t="s">
        <v>1260</v>
      </c>
      <c r="F439" s="170"/>
      <c r="G439" s="171"/>
    </row>
    <row r="440" spans="1:7" ht="20.55" customHeight="1" x14ac:dyDescent="0.3">
      <c r="A440" s="184"/>
      <c r="B440" s="177" t="str">
        <f>B390</f>
        <v>MATERIALS CONT'D</v>
      </c>
      <c r="C440" s="175"/>
      <c r="D440" s="173"/>
      <c r="E440" s="175"/>
    </row>
    <row r="441" spans="1:7" x14ac:dyDescent="0.3">
      <c r="A441" s="184"/>
      <c r="B441" s="175"/>
      <c r="C441" s="175"/>
      <c r="D441" s="173"/>
      <c r="E441" s="175"/>
    </row>
    <row r="442" spans="1:7" x14ac:dyDescent="0.3">
      <c r="A442" s="182" t="s">
        <v>1293</v>
      </c>
      <c r="B442" s="175" t="s">
        <v>1439</v>
      </c>
      <c r="C442" s="183"/>
      <c r="D442" s="173" t="s">
        <v>1395</v>
      </c>
      <c r="E442" s="190"/>
    </row>
    <row r="443" spans="1:7" ht="7.05" customHeight="1" x14ac:dyDescent="0.3">
      <c r="A443" s="182"/>
      <c r="B443" s="175"/>
      <c r="C443" s="175"/>
      <c r="D443" s="173"/>
      <c r="E443" s="175"/>
    </row>
    <row r="444" spans="1:7" x14ac:dyDescent="0.3">
      <c r="A444" s="182" t="str">
        <f>IF(D444&gt;0,IF(INDEX(A422:A442,MATCH(REPT("z",255),A422:A442))="H","J",IF(INDEX(A422:A442,MATCH(REPT("z",255),A422:A442))="N","P",CHAR(CODE(INDEX(A422:A442,MATCH(REPT("z",255),A422:A442)))+1))),)</f>
        <v>B</v>
      </c>
      <c r="B444" s="175" t="s">
        <v>1440</v>
      </c>
      <c r="C444" s="183"/>
      <c r="D444" s="173" t="s">
        <v>1395</v>
      </c>
      <c r="E444" s="190"/>
    </row>
    <row r="445" spans="1:7" ht="10.050000000000001" customHeight="1" x14ac:dyDescent="0.3">
      <c r="A445" s="182"/>
      <c r="B445" s="175"/>
      <c r="C445" s="175"/>
      <c r="D445" s="173"/>
      <c r="E445" s="175"/>
    </row>
    <row r="446" spans="1:7" x14ac:dyDescent="0.3">
      <c r="A446" s="182" t="str">
        <f>IF(D446&gt;0,IF(INDEX(A424:A444,MATCH(REPT("z",255),A424:A444))="H","J",IF(INDEX(A424:A444,MATCH(REPT("z",255),A424:A444))="N","P",CHAR(CODE(INDEX(A424:A444,MATCH(REPT("z",255),A424:A444)))+1))),)</f>
        <v>C</v>
      </c>
      <c r="B446" s="175" t="s">
        <v>1441</v>
      </c>
      <c r="C446" s="183"/>
      <c r="D446" s="173" t="s">
        <v>1395</v>
      </c>
      <c r="E446" s="190"/>
    </row>
    <row r="447" spans="1:7" ht="9.15" customHeight="1" x14ac:dyDescent="0.3">
      <c r="A447" s="182"/>
      <c r="B447" s="175"/>
      <c r="C447" s="175"/>
      <c r="D447" s="173"/>
      <c r="E447" s="175"/>
    </row>
    <row r="448" spans="1:7" x14ac:dyDescent="0.3">
      <c r="A448" s="182" t="str">
        <f>IF(D448&gt;0,IF(INDEX(A426:A446,MATCH(REPT("z",255),A426:A446))="H","J",IF(INDEX(A426:A446,MATCH(REPT("z",255),A426:A446))="N","P",CHAR(CODE(INDEX(A426:A446,MATCH(REPT("z",255),A426:A446)))+1))),)</f>
        <v>D</v>
      </c>
      <c r="B448" s="175" t="s">
        <v>1442</v>
      </c>
      <c r="C448" s="183"/>
      <c r="D448" s="173" t="s">
        <v>1395</v>
      </c>
      <c r="E448" s="190"/>
    </row>
    <row r="449" spans="1:5" ht="10.050000000000001" customHeight="1" x14ac:dyDescent="0.3">
      <c r="A449" s="182"/>
      <c r="B449" s="175"/>
      <c r="C449" s="175"/>
      <c r="D449" s="173"/>
      <c r="E449" s="175"/>
    </row>
    <row r="450" spans="1:5" x14ac:dyDescent="0.3">
      <c r="A450" s="182" t="str">
        <f>IF(D450&gt;0,IF(INDEX(A428:A448,MATCH(REPT("z",255),A428:A448))="H","J",IF(INDEX(A428:A448,MATCH(REPT("z",255),A428:A448))="N","P",CHAR(CODE(INDEX(A428:A448,MATCH(REPT("z",255),A428:A448)))+1))),)</f>
        <v>E</v>
      </c>
      <c r="B450" s="175" t="s">
        <v>1443</v>
      </c>
      <c r="C450" s="183"/>
      <c r="D450" s="173" t="s">
        <v>1395</v>
      </c>
      <c r="E450" s="190"/>
    </row>
    <row r="451" spans="1:5" ht="8.6999999999999993" customHeight="1" x14ac:dyDescent="0.3">
      <c r="A451" s="182"/>
      <c r="B451" s="175"/>
      <c r="C451" s="175"/>
      <c r="D451" s="173"/>
      <c r="E451" s="175"/>
    </row>
    <row r="452" spans="1:5" x14ac:dyDescent="0.3">
      <c r="A452" s="182" t="str">
        <f>IF(D452&gt;0,IF(INDEX(A430:A450,MATCH(REPT("z",255),A430:A450))="H","J",IF(INDEX(A430:A450,MATCH(REPT("z",255),A430:A450))="N","P",CHAR(CODE(INDEX(A430:A450,MATCH(REPT("z",255),A430:A450)))+1))),)</f>
        <v>F</v>
      </c>
      <c r="B452" s="175" t="s">
        <v>1444</v>
      </c>
      <c r="C452" s="183"/>
      <c r="D452" s="173" t="s">
        <v>1395</v>
      </c>
      <c r="E452" s="190"/>
    </row>
    <row r="453" spans="1:5" ht="9.15" customHeight="1" x14ac:dyDescent="0.3">
      <c r="A453" s="182"/>
      <c r="B453" s="175"/>
      <c r="C453" s="175"/>
      <c r="D453" s="173"/>
      <c r="E453" s="175"/>
    </row>
    <row r="454" spans="1:5" x14ac:dyDescent="0.3">
      <c r="A454" s="182"/>
      <c r="B454" s="180" t="s">
        <v>1445</v>
      </c>
      <c r="C454" s="175"/>
      <c r="D454" s="173"/>
      <c r="E454" s="175"/>
    </row>
    <row r="455" spans="1:5" ht="9.15" customHeight="1" x14ac:dyDescent="0.3">
      <c r="A455" s="182"/>
      <c r="B455" s="175"/>
      <c r="C455" s="175"/>
      <c r="D455" s="173"/>
      <c r="E455" s="175"/>
    </row>
    <row r="456" spans="1:5" x14ac:dyDescent="0.3">
      <c r="A456" s="182" t="str">
        <f>IF(D456&gt;0,IF(INDEX(A432:A454,MATCH(REPT("z",255),A432:A454))="H","J",IF(INDEX(A432:A454,MATCH(REPT("z",255),A432:A454))="N","P",CHAR(CODE(INDEX(A432:A454,MATCH(REPT("z",255),A432:A454)))+1))),)</f>
        <v>G</v>
      </c>
      <c r="B456" s="175" t="s">
        <v>1446</v>
      </c>
      <c r="C456" s="183"/>
      <c r="D456" s="173" t="s">
        <v>1447</v>
      </c>
      <c r="E456" s="190"/>
    </row>
    <row r="457" spans="1:5" ht="8.25" customHeight="1" x14ac:dyDescent="0.3">
      <c r="A457" s="182"/>
      <c r="B457" s="175"/>
      <c r="C457" s="175"/>
      <c r="D457" s="173"/>
      <c r="E457" s="175"/>
    </row>
    <row r="458" spans="1:5" x14ac:dyDescent="0.3">
      <c r="A458" s="182" t="str">
        <f>IF(D458&gt;0,IF(INDEX(A434:A456,MATCH(REPT("z",255),A434:A456))="H","J",IF(INDEX(A434:A456,MATCH(REPT("z",255),A434:A456))="N","P",CHAR(CODE(INDEX(A434:A456,MATCH(REPT("z",255),A434:A456)))+1))),)</f>
        <v>H</v>
      </c>
      <c r="B458" s="175" t="s">
        <v>1448</v>
      </c>
      <c r="C458" s="183"/>
      <c r="D458" s="173" t="s">
        <v>1447</v>
      </c>
      <c r="E458" s="190"/>
    </row>
    <row r="459" spans="1:5" ht="7.05" customHeight="1" x14ac:dyDescent="0.3">
      <c r="A459" s="182"/>
      <c r="B459" s="175"/>
      <c r="C459" s="175"/>
      <c r="D459" s="173"/>
      <c r="E459" s="175"/>
    </row>
    <row r="460" spans="1:5" x14ac:dyDescent="0.3">
      <c r="A460" s="182" t="str">
        <f>IF(D460&gt;0,IF(INDEX(A436:A458,MATCH(REPT("z",255),A436:A458))="H","J",IF(INDEX(A436:A458,MATCH(REPT("z",255),A436:A458))="N","P",CHAR(CODE(INDEX(A436:A458,MATCH(REPT("z",255),A436:A458)))+1))),)</f>
        <v>J</v>
      </c>
      <c r="B460" s="175" t="s">
        <v>1449</v>
      </c>
      <c r="C460" s="183"/>
      <c r="D460" s="173" t="s">
        <v>1447</v>
      </c>
      <c r="E460" s="190"/>
    </row>
    <row r="461" spans="1:5" ht="10.050000000000001" customHeight="1" x14ac:dyDescent="0.3">
      <c r="A461" s="182"/>
      <c r="B461" s="175"/>
      <c r="C461" s="175"/>
      <c r="D461" s="173"/>
      <c r="E461" s="175"/>
    </row>
    <row r="462" spans="1:5" x14ac:dyDescent="0.3">
      <c r="A462" s="182" t="str">
        <f>IF(D462&gt;0,IF(INDEX(A437:A460,MATCH(REPT("z",255),A437:A460))="H","J",IF(INDEX(A437:A460,MATCH(REPT("z",255),A437:A460))="N","P",CHAR(CODE(INDEX(A437:A460,MATCH(REPT("z",255),A437:A460)))+1))),)</f>
        <v>K</v>
      </c>
      <c r="B462" s="175" t="s">
        <v>1450</v>
      </c>
      <c r="C462" s="183"/>
      <c r="D462" s="173" t="s">
        <v>1447</v>
      </c>
      <c r="E462" s="190"/>
    </row>
    <row r="463" spans="1:5" ht="7.05" customHeight="1" x14ac:dyDescent="0.3">
      <c r="A463" s="182"/>
      <c r="B463" s="175"/>
      <c r="C463" s="175"/>
      <c r="D463" s="173"/>
      <c r="E463" s="175"/>
    </row>
    <row r="464" spans="1:5" x14ac:dyDescent="0.3">
      <c r="A464" s="182" t="str">
        <f>IF(D464&gt;0,IF(INDEX(A438:A462,MATCH(REPT("z",255),A438:A462))="H","J",IF(INDEX(A438:A462,MATCH(REPT("z",255),A438:A462))="N","P",CHAR(CODE(INDEX(A438:A462,MATCH(REPT("z",255),A438:A462)))+1))),)</f>
        <v>L</v>
      </c>
      <c r="B464" s="175" t="s">
        <v>1451</v>
      </c>
      <c r="C464" s="183"/>
      <c r="D464" s="173" t="s">
        <v>1447</v>
      </c>
      <c r="E464" s="190"/>
    </row>
    <row r="465" spans="1:7" ht="10.5" customHeight="1" x14ac:dyDescent="0.3">
      <c r="A465" s="182"/>
      <c r="B465" s="175"/>
      <c r="C465" s="175"/>
      <c r="D465" s="173"/>
      <c r="E465" s="175"/>
    </row>
    <row r="466" spans="1:7" x14ac:dyDescent="0.3">
      <c r="A466" s="182" t="str">
        <f>IF(D466&gt;0,IF(INDEX(A440:A464,MATCH(REPT("z",255),A440:A464))="H","J",IF(INDEX(A440:A464,MATCH(REPT("z",255),A440:A464))="N","P",CHAR(CODE(INDEX(A440:A464,MATCH(REPT("z",255),A440:A464)))+1))),)</f>
        <v>M</v>
      </c>
      <c r="B466" s="175" t="s">
        <v>1452</v>
      </c>
      <c r="C466" s="183"/>
      <c r="D466" s="173" t="s">
        <v>1447</v>
      </c>
      <c r="E466" s="190"/>
    </row>
    <row r="467" spans="1:7" ht="10.5" customHeight="1" x14ac:dyDescent="0.3">
      <c r="A467" s="182"/>
      <c r="B467" s="175"/>
      <c r="C467" s="175"/>
      <c r="D467" s="173"/>
      <c r="E467" s="175"/>
    </row>
    <row r="468" spans="1:7" x14ac:dyDescent="0.3">
      <c r="A468" s="182" t="str">
        <f>IF(D468&gt;0,IF(INDEX(A443:A466,MATCH(REPT("z",255),A443:A466))="H","J",IF(INDEX(A443:A466,MATCH(REPT("z",255),A443:A466))="N","P",CHAR(CODE(INDEX(A443:A466,MATCH(REPT("z",255),A443:A466)))+1))),)</f>
        <v>N</v>
      </c>
      <c r="B468" s="175" t="s">
        <v>1453</v>
      </c>
      <c r="C468" s="183"/>
      <c r="D468" s="173" t="s">
        <v>1447</v>
      </c>
      <c r="E468" s="190"/>
      <c r="G468" s="192"/>
    </row>
    <row r="469" spans="1:7" ht="11.7" customHeight="1" x14ac:dyDescent="0.3">
      <c r="A469" s="182"/>
      <c r="B469" s="175"/>
      <c r="C469" s="175"/>
      <c r="D469" s="173"/>
      <c r="E469" s="175"/>
    </row>
    <row r="470" spans="1:7" x14ac:dyDescent="0.3">
      <c r="A470" s="182"/>
      <c r="B470" s="180" t="s">
        <v>1454</v>
      </c>
      <c r="C470" s="175"/>
      <c r="D470" s="173"/>
      <c r="E470" s="175"/>
    </row>
    <row r="471" spans="1:7" x14ac:dyDescent="0.3">
      <c r="A471" s="182"/>
      <c r="B471" s="175"/>
      <c r="C471" s="175"/>
      <c r="D471" s="173"/>
      <c r="E471" s="175"/>
    </row>
    <row r="472" spans="1:7" x14ac:dyDescent="0.3">
      <c r="A472" s="182" t="str">
        <f>IF(D472&gt;0,IF(INDEX(A447:A470,MATCH(REPT("z",255),A447:A470))="H","J",IF(INDEX(A447:A470,MATCH(REPT("z",255),A447:A470))="N","P",CHAR(CODE(INDEX(A447:A470,MATCH(REPT("z",255),A447:A470)))+1))),)</f>
        <v>P</v>
      </c>
      <c r="B472" s="175" t="s">
        <v>1455</v>
      </c>
      <c r="C472" s="183"/>
      <c r="D472" s="173" t="s">
        <v>1395</v>
      </c>
      <c r="E472" s="190"/>
    </row>
    <row r="473" spans="1:7" ht="8.6999999999999993" customHeight="1" x14ac:dyDescent="0.3">
      <c r="A473" s="182"/>
      <c r="B473" s="175"/>
      <c r="C473" s="175"/>
      <c r="D473" s="173"/>
      <c r="E473" s="175"/>
    </row>
    <row r="474" spans="1:7" x14ac:dyDescent="0.3">
      <c r="A474" s="182" t="str">
        <f>IF(D474&gt;0,IF(INDEX(A449:A472,MATCH(REPT("z",255),A449:A472))="H","J",IF(INDEX(A449:A472,MATCH(REPT("z",255),A449:A472))="N","P",CHAR(CODE(INDEX(A449:A472,MATCH(REPT("z",255),A449:A472)))+1))),)</f>
        <v>Q</v>
      </c>
      <c r="B474" s="175" t="s">
        <v>1456</v>
      </c>
      <c r="C474" s="183"/>
      <c r="D474" s="173" t="s">
        <v>1395</v>
      </c>
      <c r="E474" s="190"/>
    </row>
    <row r="475" spans="1:7" x14ac:dyDescent="0.3">
      <c r="A475" s="182"/>
      <c r="B475" s="175"/>
      <c r="C475" s="175"/>
      <c r="D475" s="173"/>
      <c r="E475" s="175"/>
    </row>
    <row r="476" spans="1:7" x14ac:dyDescent="0.3">
      <c r="A476" s="182" t="str">
        <f>IF(D476&gt;0,IF(INDEX(A451:A474,MATCH(REPT("z",255),A451:A474))="H","J",IF(INDEX(A451:A474,MATCH(REPT("z",255),A451:A474))="N","P",CHAR(CODE(INDEX(A451:A474,MATCH(REPT("z",255),A451:A474)))+1))),)</f>
        <v>R</v>
      </c>
      <c r="B476" s="175" t="s">
        <v>1457</v>
      </c>
      <c r="C476" s="183"/>
      <c r="D476" s="173" t="s">
        <v>1395</v>
      </c>
      <c r="E476" s="190"/>
    </row>
    <row r="477" spans="1:7" x14ac:dyDescent="0.3">
      <c r="A477" s="182"/>
      <c r="B477" s="175"/>
      <c r="C477" s="175"/>
      <c r="D477" s="173"/>
      <c r="E477" s="175"/>
    </row>
    <row r="478" spans="1:7" x14ac:dyDescent="0.3">
      <c r="A478" s="182" t="str">
        <f>IF(D478&gt;0,IF(INDEX(A453:A476,MATCH(REPT("z",255),A453:A476))="H","J",IF(INDEX(A453:A476,MATCH(REPT("z",255),A453:A476))="N","P",CHAR(CODE(INDEX(A453:A476,MATCH(REPT("z",255),A453:A476)))+1))),)</f>
        <v>S</v>
      </c>
      <c r="B478" s="175" t="s">
        <v>1458</v>
      </c>
      <c r="C478" s="183"/>
      <c r="D478" s="173" t="s">
        <v>1395</v>
      </c>
      <c r="E478" s="190"/>
    </row>
    <row r="479" spans="1:7" x14ac:dyDescent="0.3">
      <c r="A479" s="182"/>
      <c r="B479" s="175"/>
      <c r="C479" s="175"/>
      <c r="D479" s="173"/>
      <c r="E479" s="175"/>
    </row>
    <row r="480" spans="1:7" x14ac:dyDescent="0.3">
      <c r="A480" s="182" t="str">
        <f>IF(D480&gt;0,IF(INDEX(A455:A478,MATCH(REPT("z",255),A455:A478))="H","J",IF(INDEX(A455:A478,MATCH(REPT("z",255),A455:A478))="N","P",CHAR(CODE(INDEX(A455:A478,MATCH(REPT("z",255),A455:A478)))+1))),)</f>
        <v>T</v>
      </c>
      <c r="B480" s="175" t="s">
        <v>1459</v>
      </c>
      <c r="C480" s="183"/>
      <c r="D480" s="173" t="s">
        <v>1395</v>
      </c>
      <c r="E480" s="190"/>
    </row>
    <row r="481" spans="1:7" x14ac:dyDescent="0.3">
      <c r="A481" s="182"/>
      <c r="B481" s="175"/>
      <c r="C481" s="175"/>
      <c r="D481" s="173"/>
      <c r="E481" s="175"/>
    </row>
    <row r="482" spans="1:7" x14ac:dyDescent="0.3">
      <c r="A482" s="182" t="str">
        <f>IF(D482&gt;0,IF(INDEX(A457:A480,MATCH(REPT("z",255),A457:A480))="H","J",IF(INDEX(A457:A480,MATCH(REPT("z",255),A457:A480))="N","P",CHAR(CODE(INDEX(A457:A480,MATCH(REPT("z",255),A457:A480)))+1))),)</f>
        <v>U</v>
      </c>
      <c r="B482" s="175" t="s">
        <v>1460</v>
      </c>
      <c r="C482" s="183"/>
      <c r="D482" s="173" t="s">
        <v>1395</v>
      </c>
      <c r="E482" s="190"/>
    </row>
    <row r="483" spans="1:7" x14ac:dyDescent="0.3">
      <c r="A483" s="182"/>
      <c r="B483" s="175"/>
      <c r="C483" s="175"/>
      <c r="D483" s="173"/>
      <c r="E483" s="175"/>
    </row>
    <row r="484" spans="1:7" x14ac:dyDescent="0.3">
      <c r="A484" s="173"/>
      <c r="B484" s="175"/>
      <c r="C484" s="175"/>
      <c r="D484" s="173"/>
      <c r="E484" s="175"/>
    </row>
    <row r="485" spans="1:7" x14ac:dyDescent="0.3">
      <c r="A485" s="178"/>
      <c r="B485" s="179"/>
      <c r="C485" s="179"/>
      <c r="D485" s="178"/>
      <c r="E485" s="179"/>
    </row>
    <row r="486" spans="1:7" s="172" customFormat="1" ht="28.5" customHeight="1" x14ac:dyDescent="0.3">
      <c r="A486" s="166" t="s">
        <v>1257</v>
      </c>
      <c r="B486" s="167" t="s">
        <v>1258</v>
      </c>
      <c r="C486" s="168"/>
      <c r="D486" s="166" t="s">
        <v>1259</v>
      </c>
      <c r="E486" s="169" t="s">
        <v>1260</v>
      </c>
      <c r="F486" s="170"/>
      <c r="G486" s="171"/>
    </row>
    <row r="487" spans="1:7" ht="18.600000000000001" customHeight="1" x14ac:dyDescent="0.3">
      <c r="A487" s="184"/>
      <c r="B487" s="177" t="str">
        <f>B440</f>
        <v>MATERIALS CONT'D</v>
      </c>
      <c r="C487" s="175"/>
      <c r="D487" s="173"/>
      <c r="E487" s="175"/>
    </row>
    <row r="488" spans="1:7" ht="9.75" customHeight="1" x14ac:dyDescent="0.3">
      <c r="A488" s="173"/>
      <c r="B488" s="175"/>
      <c r="C488" s="175"/>
      <c r="D488" s="173"/>
      <c r="E488" s="175"/>
    </row>
    <row r="489" spans="1:7" x14ac:dyDescent="0.3">
      <c r="A489" s="182"/>
      <c r="B489" s="180" t="s">
        <v>1461</v>
      </c>
      <c r="C489" s="175"/>
      <c r="D489" s="173"/>
      <c r="E489" s="175"/>
    </row>
    <row r="490" spans="1:7" ht="7.5" customHeight="1" x14ac:dyDescent="0.3">
      <c r="A490" s="182"/>
      <c r="B490" s="175"/>
      <c r="C490" s="175"/>
      <c r="D490" s="173"/>
      <c r="E490" s="175"/>
    </row>
    <row r="491" spans="1:7" x14ac:dyDescent="0.3">
      <c r="A491" s="182" t="s">
        <v>1293</v>
      </c>
      <c r="B491" s="175" t="s">
        <v>1462</v>
      </c>
      <c r="C491" s="183"/>
      <c r="D491" s="173" t="s">
        <v>1395</v>
      </c>
      <c r="E491" s="190"/>
    </row>
    <row r="492" spans="1:7" ht="9.15" customHeight="1" x14ac:dyDescent="0.3">
      <c r="A492" s="182"/>
      <c r="B492" s="175"/>
      <c r="C492" s="175"/>
      <c r="D492" s="173"/>
      <c r="E492" s="175"/>
    </row>
    <row r="493" spans="1:7" x14ac:dyDescent="0.3">
      <c r="A493" s="182" t="s">
        <v>1377</v>
      </c>
      <c r="B493" s="175" t="s">
        <v>1463</v>
      </c>
      <c r="C493" s="183"/>
      <c r="D493" s="173" t="s">
        <v>1395</v>
      </c>
      <c r="E493" s="190"/>
    </row>
    <row r="494" spans="1:7" ht="10.050000000000001" customHeight="1" x14ac:dyDescent="0.3">
      <c r="A494" s="182"/>
      <c r="B494" s="175"/>
      <c r="C494" s="175"/>
      <c r="D494" s="173"/>
      <c r="E494" s="175"/>
    </row>
    <row r="495" spans="1:7" x14ac:dyDescent="0.3">
      <c r="A495" s="182" t="s">
        <v>1464</v>
      </c>
      <c r="B495" s="175" t="s">
        <v>1465</v>
      </c>
      <c r="C495" s="183"/>
      <c r="D495" s="173" t="s">
        <v>1395</v>
      </c>
      <c r="E495" s="190"/>
    </row>
    <row r="496" spans="1:7" ht="8.6999999999999993" customHeight="1" x14ac:dyDescent="0.3">
      <c r="A496" s="182"/>
      <c r="B496" s="175"/>
      <c r="C496" s="175"/>
      <c r="D496" s="173"/>
      <c r="E496" s="175"/>
    </row>
    <row r="497" spans="1:5" x14ac:dyDescent="0.3">
      <c r="A497" s="182" t="s">
        <v>1466</v>
      </c>
      <c r="B497" s="175" t="s">
        <v>1467</v>
      </c>
      <c r="C497" s="183"/>
      <c r="D497" s="173" t="s">
        <v>1395</v>
      </c>
      <c r="E497" s="190"/>
    </row>
    <row r="498" spans="1:5" ht="9.75" customHeight="1" x14ac:dyDescent="0.3">
      <c r="A498" s="182"/>
      <c r="B498" s="175"/>
      <c r="C498" s="175"/>
      <c r="D498" s="173"/>
      <c r="E498" s="175"/>
    </row>
    <row r="499" spans="1:5" x14ac:dyDescent="0.3">
      <c r="A499" s="182" t="s">
        <v>1468</v>
      </c>
      <c r="B499" s="175" t="s">
        <v>1469</v>
      </c>
      <c r="C499" s="183"/>
      <c r="D499" s="173" t="s">
        <v>1395</v>
      </c>
      <c r="E499" s="190"/>
    </row>
    <row r="500" spans="1:5" ht="10.5" customHeight="1" x14ac:dyDescent="0.3">
      <c r="A500" s="182"/>
      <c r="B500" s="175"/>
      <c r="C500" s="175"/>
      <c r="D500" s="173"/>
      <c r="E500" s="175"/>
    </row>
    <row r="501" spans="1:5" x14ac:dyDescent="0.3">
      <c r="A501" s="182" t="s">
        <v>1300</v>
      </c>
      <c r="B501" s="175" t="s">
        <v>1470</v>
      </c>
      <c r="C501" s="183"/>
      <c r="D501" s="173" t="s">
        <v>1395</v>
      </c>
      <c r="E501" s="190"/>
    </row>
    <row r="502" spans="1:5" ht="7.5" customHeight="1" x14ac:dyDescent="0.3">
      <c r="A502" s="182"/>
      <c r="B502" s="175"/>
      <c r="C502" s="175"/>
      <c r="D502" s="173"/>
      <c r="E502" s="175"/>
    </row>
    <row r="503" spans="1:5" x14ac:dyDescent="0.3">
      <c r="A503" s="182" t="s">
        <v>1471</v>
      </c>
      <c r="B503" s="175" t="s">
        <v>1472</v>
      </c>
      <c r="C503" s="183"/>
      <c r="D503" s="173" t="s">
        <v>1395</v>
      </c>
      <c r="E503" s="190"/>
    </row>
    <row r="504" spans="1:5" ht="10.5" customHeight="1" x14ac:dyDescent="0.3">
      <c r="A504" s="182"/>
      <c r="B504" s="175"/>
      <c r="C504" s="175"/>
      <c r="D504" s="173"/>
      <c r="E504" s="175"/>
    </row>
    <row r="505" spans="1:5" x14ac:dyDescent="0.3">
      <c r="A505" s="182" t="s">
        <v>1473</v>
      </c>
      <c r="B505" s="175" t="s">
        <v>1474</v>
      </c>
      <c r="C505" s="183"/>
      <c r="D505" s="173" t="s">
        <v>1395</v>
      </c>
      <c r="E505" s="190"/>
    </row>
    <row r="506" spans="1:5" ht="10.5" customHeight="1" x14ac:dyDescent="0.3">
      <c r="A506" s="182"/>
      <c r="B506" s="175"/>
      <c r="C506" s="175"/>
      <c r="D506" s="173"/>
      <c r="E506" s="175"/>
    </row>
    <row r="507" spans="1:5" x14ac:dyDescent="0.3">
      <c r="A507" s="182" t="s">
        <v>1475</v>
      </c>
      <c r="B507" s="175" t="s">
        <v>1476</v>
      </c>
      <c r="C507" s="183"/>
      <c r="D507" s="173" t="s">
        <v>1395</v>
      </c>
      <c r="E507" s="190"/>
    </row>
    <row r="508" spans="1:5" ht="8.25" customHeight="1" x14ac:dyDescent="0.3">
      <c r="A508" s="182"/>
      <c r="B508" s="175"/>
      <c r="C508" s="175"/>
      <c r="D508" s="173"/>
      <c r="E508" s="175"/>
    </row>
    <row r="509" spans="1:5" x14ac:dyDescent="0.3">
      <c r="A509" s="182" t="s">
        <v>1477</v>
      </c>
      <c r="B509" s="175" t="s">
        <v>1478</v>
      </c>
      <c r="C509" s="183"/>
      <c r="D509" s="173" t="s">
        <v>1395</v>
      </c>
      <c r="E509" s="190"/>
    </row>
    <row r="510" spans="1:5" x14ac:dyDescent="0.3">
      <c r="A510" s="182"/>
      <c r="B510" s="175"/>
      <c r="C510" s="175"/>
      <c r="D510" s="173"/>
      <c r="E510" s="175"/>
    </row>
    <row r="511" spans="1:5" x14ac:dyDescent="0.3">
      <c r="A511" s="182" t="s">
        <v>1479</v>
      </c>
      <c r="B511" s="175" t="s">
        <v>1480</v>
      </c>
      <c r="C511" s="183"/>
      <c r="D511" s="173" t="s">
        <v>1395</v>
      </c>
      <c r="E511" s="190"/>
    </row>
    <row r="512" spans="1:5" x14ac:dyDescent="0.3">
      <c r="A512" s="182"/>
      <c r="B512" s="175"/>
      <c r="C512" s="175"/>
      <c r="D512" s="173"/>
      <c r="E512" s="175"/>
    </row>
    <row r="513" spans="1:5" x14ac:dyDescent="0.3">
      <c r="A513" s="182" t="s">
        <v>1395</v>
      </c>
      <c r="B513" s="175" t="s">
        <v>1481</v>
      </c>
      <c r="C513" s="183"/>
      <c r="D513" s="173" t="s">
        <v>1395</v>
      </c>
      <c r="E513" s="190"/>
    </row>
    <row r="514" spans="1:5" x14ac:dyDescent="0.3">
      <c r="A514" s="182"/>
      <c r="B514" s="175"/>
      <c r="C514" s="175"/>
      <c r="D514" s="173"/>
      <c r="E514" s="175"/>
    </row>
    <row r="515" spans="1:5" x14ac:dyDescent="0.3">
      <c r="A515" s="182" t="s">
        <v>1482</v>
      </c>
      <c r="B515" s="175" t="s">
        <v>1483</v>
      </c>
      <c r="C515" s="183"/>
      <c r="D515" s="173" t="s">
        <v>1395</v>
      </c>
      <c r="E515" s="190"/>
    </row>
    <row r="516" spans="1:5" ht="10.050000000000001" customHeight="1" x14ac:dyDescent="0.3">
      <c r="A516" s="182"/>
      <c r="B516" s="175"/>
      <c r="C516" s="175"/>
      <c r="D516" s="173"/>
      <c r="E516" s="175"/>
    </row>
    <row r="517" spans="1:5" x14ac:dyDescent="0.3">
      <c r="A517" s="182" t="s">
        <v>1484</v>
      </c>
      <c r="B517" s="175" t="s">
        <v>1485</v>
      </c>
      <c r="C517" s="183"/>
      <c r="D517" s="173" t="s">
        <v>1395</v>
      </c>
      <c r="E517" s="190"/>
    </row>
    <row r="518" spans="1:5" ht="10.050000000000001" customHeight="1" x14ac:dyDescent="0.3">
      <c r="A518" s="182"/>
      <c r="B518" s="175"/>
      <c r="C518" s="175"/>
      <c r="D518" s="173"/>
      <c r="E518" s="175"/>
    </row>
    <row r="519" spans="1:5" x14ac:dyDescent="0.3">
      <c r="A519" s="182" t="s">
        <v>1486</v>
      </c>
      <c r="B519" s="175" t="s">
        <v>1487</v>
      </c>
      <c r="C519" s="183"/>
      <c r="D519" s="173" t="s">
        <v>1395</v>
      </c>
      <c r="E519" s="190"/>
    </row>
    <row r="520" spans="1:5" ht="10.050000000000001" customHeight="1" x14ac:dyDescent="0.3">
      <c r="A520" s="182"/>
      <c r="B520" s="175"/>
      <c r="C520" s="175"/>
      <c r="D520" s="173"/>
      <c r="E520" s="175"/>
    </row>
    <row r="521" spans="1:5" x14ac:dyDescent="0.3">
      <c r="A521" s="182" t="s">
        <v>1488</v>
      </c>
      <c r="B521" s="175" t="s">
        <v>1489</v>
      </c>
      <c r="C521" s="183"/>
      <c r="D521" s="173" t="s">
        <v>1395</v>
      </c>
      <c r="E521" s="190"/>
    </row>
    <row r="522" spans="1:5" ht="10.050000000000001" customHeight="1" x14ac:dyDescent="0.3">
      <c r="A522" s="182"/>
      <c r="B522" s="175"/>
      <c r="C522" s="175"/>
      <c r="D522" s="173"/>
      <c r="E522" s="175"/>
    </row>
    <row r="523" spans="1:5" x14ac:dyDescent="0.3">
      <c r="A523" s="182" t="s">
        <v>1490</v>
      </c>
      <c r="B523" s="175" t="s">
        <v>1491</v>
      </c>
      <c r="C523" s="183"/>
      <c r="D523" s="173" t="s">
        <v>1395</v>
      </c>
      <c r="E523" s="190"/>
    </row>
    <row r="524" spans="1:5" ht="10.050000000000001" customHeight="1" x14ac:dyDescent="0.3">
      <c r="A524" s="182"/>
      <c r="B524" s="175"/>
      <c r="C524" s="175"/>
      <c r="D524" s="173"/>
      <c r="E524" s="175"/>
    </row>
    <row r="525" spans="1:5" x14ac:dyDescent="0.3">
      <c r="A525" s="182" t="s">
        <v>1492</v>
      </c>
      <c r="B525" s="175" t="s">
        <v>1493</v>
      </c>
      <c r="C525" s="183"/>
      <c r="D525" s="173" t="s">
        <v>1395</v>
      </c>
      <c r="E525" s="190"/>
    </row>
    <row r="526" spans="1:5" ht="10.050000000000001" customHeight="1" x14ac:dyDescent="0.3">
      <c r="A526" s="182"/>
      <c r="B526" s="175"/>
      <c r="C526" s="175"/>
      <c r="D526" s="173"/>
      <c r="E526" s="175"/>
    </row>
    <row r="527" spans="1:5" x14ac:dyDescent="0.3">
      <c r="A527" s="182" t="s">
        <v>1494</v>
      </c>
      <c r="B527" s="175" t="s">
        <v>1495</v>
      </c>
      <c r="C527" s="183"/>
      <c r="D527" s="173" t="s">
        <v>1395</v>
      </c>
      <c r="E527" s="190"/>
    </row>
    <row r="528" spans="1:5" ht="10.050000000000001" customHeight="1" x14ac:dyDescent="0.3">
      <c r="A528" s="182"/>
      <c r="B528" s="175"/>
      <c r="C528" s="175"/>
      <c r="D528" s="173"/>
      <c r="E528" s="175"/>
    </row>
    <row r="529" spans="1:7" x14ac:dyDescent="0.3">
      <c r="A529" s="182" t="s">
        <v>1496</v>
      </c>
      <c r="B529" s="175" t="s">
        <v>1497</v>
      </c>
      <c r="C529" s="183"/>
      <c r="D529" s="173" t="s">
        <v>1395</v>
      </c>
      <c r="E529" s="190"/>
    </row>
    <row r="530" spans="1:7" ht="10.050000000000001" customHeight="1" x14ac:dyDescent="0.3">
      <c r="A530" s="182"/>
      <c r="B530" s="175"/>
      <c r="C530" s="175"/>
      <c r="D530" s="173"/>
      <c r="E530" s="175"/>
    </row>
    <row r="531" spans="1:7" x14ac:dyDescent="0.3">
      <c r="A531" s="182" t="s">
        <v>1498</v>
      </c>
      <c r="B531" s="175" t="s">
        <v>1499</v>
      </c>
      <c r="C531" s="183"/>
      <c r="D531" s="173" t="s">
        <v>1395</v>
      </c>
      <c r="E531" s="190"/>
    </row>
    <row r="532" spans="1:7" ht="10.050000000000001" customHeight="1" x14ac:dyDescent="0.3">
      <c r="A532" s="182"/>
      <c r="B532" s="175"/>
      <c r="C532" s="175"/>
      <c r="D532" s="173"/>
      <c r="E532" s="175"/>
    </row>
    <row r="533" spans="1:7" x14ac:dyDescent="0.3">
      <c r="A533" s="182" t="s">
        <v>1500</v>
      </c>
      <c r="B533" s="175" t="s">
        <v>1501</v>
      </c>
      <c r="C533" s="183"/>
      <c r="D533" s="173" t="s">
        <v>1395</v>
      </c>
      <c r="E533" s="190"/>
    </row>
    <row r="534" spans="1:7" ht="10.050000000000001" customHeight="1" x14ac:dyDescent="0.3">
      <c r="A534" s="182"/>
      <c r="B534" s="175"/>
      <c r="C534" s="175"/>
      <c r="D534" s="173"/>
      <c r="E534" s="175"/>
    </row>
    <row r="535" spans="1:7" x14ac:dyDescent="0.3">
      <c r="A535" s="182" t="s">
        <v>1502</v>
      </c>
      <c r="B535" s="175" t="s">
        <v>1503</v>
      </c>
      <c r="C535" s="183"/>
      <c r="D535" s="173" t="s">
        <v>1395</v>
      </c>
      <c r="E535" s="190"/>
    </row>
    <row r="536" spans="1:7" ht="8.6999999999999993" customHeight="1" x14ac:dyDescent="0.3">
      <c r="A536" s="173"/>
      <c r="B536" s="175"/>
      <c r="C536" s="175"/>
      <c r="D536" s="173"/>
      <c r="E536" s="190"/>
    </row>
    <row r="537" spans="1:7" x14ac:dyDescent="0.3">
      <c r="A537" s="178"/>
      <c r="B537" s="179"/>
      <c r="C537" s="179"/>
      <c r="D537" s="178"/>
      <c r="E537" s="179"/>
    </row>
    <row r="538" spans="1:7" s="172" customFormat="1" ht="28.5" customHeight="1" x14ac:dyDescent="0.3">
      <c r="A538" s="166" t="s">
        <v>1257</v>
      </c>
      <c r="B538" s="167" t="s">
        <v>1258</v>
      </c>
      <c r="C538" s="168"/>
      <c r="D538" s="166" t="s">
        <v>1259</v>
      </c>
      <c r="E538" s="169" t="s">
        <v>1260</v>
      </c>
      <c r="F538" s="170"/>
      <c r="G538" s="171"/>
    </row>
    <row r="539" spans="1:7" ht="18" customHeight="1" x14ac:dyDescent="0.3">
      <c r="A539" s="184"/>
      <c r="B539" s="177" t="str">
        <f>B487</f>
        <v>MATERIALS CONT'D</v>
      </c>
      <c r="C539" s="175"/>
      <c r="D539" s="173"/>
      <c r="E539" s="175"/>
    </row>
    <row r="540" spans="1:7" x14ac:dyDescent="0.3">
      <c r="A540" s="182"/>
      <c r="B540" s="175"/>
      <c r="C540" s="175"/>
      <c r="D540" s="173"/>
      <c r="E540" s="175"/>
    </row>
    <row r="541" spans="1:7" x14ac:dyDescent="0.3">
      <c r="A541" s="182" t="s">
        <v>1293</v>
      </c>
      <c r="B541" s="175" t="s">
        <v>1504</v>
      </c>
      <c r="C541" s="183"/>
      <c r="D541" s="173" t="s">
        <v>1395</v>
      </c>
      <c r="E541" s="190"/>
    </row>
    <row r="542" spans="1:7" ht="8.6999999999999993" customHeight="1" x14ac:dyDescent="0.3">
      <c r="A542" s="182"/>
      <c r="B542" s="175"/>
      <c r="C542" s="175"/>
      <c r="D542" s="173"/>
      <c r="E542" s="175"/>
    </row>
    <row r="543" spans="1:7" x14ac:dyDescent="0.3">
      <c r="A543" s="182" t="s">
        <v>1377</v>
      </c>
      <c r="B543" s="175" t="s">
        <v>1505</v>
      </c>
      <c r="C543" s="183"/>
      <c r="D543" s="173" t="s">
        <v>1395</v>
      </c>
      <c r="E543" s="190"/>
    </row>
    <row r="544" spans="1:7" ht="8.25" customHeight="1" x14ac:dyDescent="0.3">
      <c r="A544" s="182"/>
      <c r="B544" s="175"/>
      <c r="C544" s="175"/>
      <c r="D544" s="173"/>
      <c r="E544" s="175"/>
    </row>
    <row r="545" spans="1:5" x14ac:dyDescent="0.3">
      <c r="A545" s="182" t="s">
        <v>1464</v>
      </c>
      <c r="B545" s="175" t="s">
        <v>1506</v>
      </c>
      <c r="C545" s="183"/>
      <c r="D545" s="173" t="s">
        <v>1395</v>
      </c>
      <c r="E545" s="190"/>
    </row>
    <row r="546" spans="1:5" ht="10.5" customHeight="1" x14ac:dyDescent="0.3">
      <c r="A546" s="182"/>
      <c r="B546" s="175"/>
      <c r="C546" s="175"/>
      <c r="D546" s="173"/>
      <c r="E546" s="175"/>
    </row>
    <row r="547" spans="1:5" x14ac:dyDescent="0.3">
      <c r="A547" s="182" t="s">
        <v>1466</v>
      </c>
      <c r="B547" s="175" t="s">
        <v>1507</v>
      </c>
      <c r="C547" s="183"/>
      <c r="D547" s="173" t="s">
        <v>1395</v>
      </c>
      <c r="E547" s="190"/>
    </row>
    <row r="548" spans="1:5" ht="9.75" customHeight="1" x14ac:dyDescent="0.3">
      <c r="A548" s="182"/>
      <c r="B548" s="175"/>
      <c r="C548" s="175"/>
      <c r="D548" s="173"/>
      <c r="E548" s="175"/>
    </row>
    <row r="549" spans="1:5" x14ac:dyDescent="0.3">
      <c r="A549" s="182" t="s">
        <v>1468</v>
      </c>
      <c r="B549" s="175" t="s">
        <v>1508</v>
      </c>
      <c r="C549" s="183"/>
      <c r="D549" s="173" t="s">
        <v>1395</v>
      </c>
      <c r="E549" s="190"/>
    </row>
    <row r="550" spans="1:5" ht="10.050000000000001" customHeight="1" x14ac:dyDescent="0.3">
      <c r="A550" s="182"/>
      <c r="B550" s="175"/>
      <c r="C550" s="175"/>
      <c r="D550" s="173"/>
      <c r="E550" s="175"/>
    </row>
    <row r="551" spans="1:5" x14ac:dyDescent="0.3">
      <c r="A551" s="182" t="s">
        <v>1300</v>
      </c>
      <c r="B551" s="175" t="s">
        <v>1509</v>
      </c>
      <c r="C551" s="183"/>
      <c r="D551" s="173" t="s">
        <v>1395</v>
      </c>
      <c r="E551" s="190"/>
    </row>
    <row r="552" spans="1:5" ht="9.15" customHeight="1" x14ac:dyDescent="0.3">
      <c r="A552" s="182"/>
      <c r="B552" s="175"/>
      <c r="C552" s="175"/>
      <c r="D552" s="173"/>
      <c r="E552" s="190"/>
    </row>
    <row r="553" spans="1:5" x14ac:dyDescent="0.3">
      <c r="A553" s="182" t="s">
        <v>1471</v>
      </c>
      <c r="B553" s="175" t="s">
        <v>1510</v>
      </c>
      <c r="C553" s="183"/>
      <c r="D553" s="173" t="s">
        <v>1395</v>
      </c>
      <c r="E553" s="190"/>
    </row>
    <row r="554" spans="1:5" ht="9.15" customHeight="1" x14ac:dyDescent="0.3">
      <c r="A554" s="182"/>
      <c r="B554" s="175"/>
      <c r="C554" s="175"/>
      <c r="D554" s="173"/>
      <c r="E554" s="175"/>
    </row>
    <row r="555" spans="1:5" x14ac:dyDescent="0.3">
      <c r="A555" s="182" t="s">
        <v>1473</v>
      </c>
      <c r="B555" s="175" t="s">
        <v>1511</v>
      </c>
      <c r="C555" s="183"/>
      <c r="D555" s="173" t="s">
        <v>1395</v>
      </c>
      <c r="E555" s="190"/>
    </row>
    <row r="556" spans="1:5" ht="10.050000000000001" customHeight="1" x14ac:dyDescent="0.3">
      <c r="A556" s="182"/>
      <c r="B556" s="175"/>
      <c r="C556" s="175"/>
      <c r="D556" s="173"/>
      <c r="E556" s="175"/>
    </row>
    <row r="557" spans="1:5" x14ac:dyDescent="0.3">
      <c r="A557" s="182" t="s">
        <v>1475</v>
      </c>
      <c r="B557" s="175" t="s">
        <v>1512</v>
      </c>
      <c r="C557" s="183"/>
      <c r="D557" s="173" t="s">
        <v>1395</v>
      </c>
      <c r="E557" s="190"/>
    </row>
    <row r="558" spans="1:5" ht="9.15" customHeight="1" x14ac:dyDescent="0.3">
      <c r="A558" s="182"/>
      <c r="B558" s="175"/>
      <c r="C558" s="175"/>
      <c r="D558" s="173"/>
      <c r="E558" s="175"/>
    </row>
    <row r="559" spans="1:5" x14ac:dyDescent="0.3">
      <c r="A559" s="182" t="s">
        <v>1477</v>
      </c>
      <c r="B559" s="175" t="s">
        <v>1513</v>
      </c>
      <c r="C559" s="183"/>
      <c r="D559" s="173" t="s">
        <v>1395</v>
      </c>
      <c r="E559" s="190"/>
    </row>
    <row r="560" spans="1:5" ht="10.050000000000001" customHeight="1" x14ac:dyDescent="0.3">
      <c r="A560" s="182"/>
      <c r="B560" s="175"/>
      <c r="C560" s="175"/>
      <c r="D560" s="173"/>
      <c r="E560" s="175"/>
    </row>
    <row r="561" spans="1:5" x14ac:dyDescent="0.3">
      <c r="A561" s="182" t="s">
        <v>1479</v>
      </c>
      <c r="B561" s="175" t="s">
        <v>1514</v>
      </c>
      <c r="C561" s="183"/>
      <c r="D561" s="173" t="s">
        <v>1395</v>
      </c>
      <c r="E561" s="190"/>
    </row>
    <row r="562" spans="1:5" ht="10.5" customHeight="1" x14ac:dyDescent="0.3">
      <c r="A562" s="182"/>
      <c r="B562" s="175"/>
      <c r="C562" s="175"/>
      <c r="D562" s="173"/>
      <c r="E562" s="175"/>
    </row>
    <row r="563" spans="1:5" x14ac:dyDescent="0.3">
      <c r="A563" s="182" t="s">
        <v>1395</v>
      </c>
      <c r="B563" s="175" t="s">
        <v>1515</v>
      </c>
      <c r="C563" s="183"/>
      <c r="D563" s="173" t="s">
        <v>1395</v>
      </c>
      <c r="E563" s="190"/>
    </row>
    <row r="564" spans="1:5" ht="9.75" customHeight="1" x14ac:dyDescent="0.3">
      <c r="A564" s="182"/>
      <c r="B564" s="175"/>
      <c r="C564" s="175"/>
      <c r="D564" s="173"/>
      <c r="E564" s="175"/>
    </row>
    <row r="565" spans="1:5" x14ac:dyDescent="0.3">
      <c r="A565" s="182" t="s">
        <v>1482</v>
      </c>
      <c r="B565" s="175" t="s">
        <v>1516</v>
      </c>
      <c r="C565" s="183"/>
      <c r="D565" s="173" t="s">
        <v>1395</v>
      </c>
      <c r="E565" s="190"/>
    </row>
    <row r="566" spans="1:5" ht="9.75" customHeight="1" x14ac:dyDescent="0.3">
      <c r="A566" s="182"/>
      <c r="B566" s="175"/>
      <c r="C566" s="175"/>
      <c r="D566" s="173"/>
      <c r="E566" s="175"/>
    </row>
    <row r="567" spans="1:5" x14ac:dyDescent="0.3">
      <c r="A567" s="182" t="s">
        <v>1484</v>
      </c>
      <c r="B567" s="175" t="s">
        <v>1517</v>
      </c>
      <c r="C567" s="183"/>
      <c r="D567" s="173" t="s">
        <v>1395</v>
      </c>
      <c r="E567" s="190"/>
    </row>
    <row r="568" spans="1:5" ht="10.5" customHeight="1" x14ac:dyDescent="0.3">
      <c r="A568" s="182"/>
      <c r="B568" s="175"/>
      <c r="C568" s="175"/>
      <c r="D568" s="173"/>
      <c r="E568" s="175"/>
    </row>
    <row r="569" spans="1:5" x14ac:dyDescent="0.3">
      <c r="A569" s="182" t="s">
        <v>1486</v>
      </c>
      <c r="B569" s="175" t="s">
        <v>1518</v>
      </c>
      <c r="C569" s="183"/>
      <c r="D569" s="173" t="s">
        <v>1395</v>
      </c>
      <c r="E569" s="190"/>
    </row>
    <row r="570" spans="1:5" ht="8.6999999999999993" customHeight="1" x14ac:dyDescent="0.3">
      <c r="A570" s="182"/>
      <c r="B570" s="175"/>
      <c r="C570" s="175"/>
      <c r="D570" s="173"/>
      <c r="E570" s="175"/>
    </row>
    <row r="571" spans="1:5" x14ac:dyDescent="0.3">
      <c r="A571" s="182"/>
      <c r="B571" s="180" t="s">
        <v>1519</v>
      </c>
      <c r="C571" s="175"/>
      <c r="D571" s="173"/>
      <c r="E571" s="175"/>
    </row>
    <row r="572" spans="1:5" ht="8.6999999999999993" customHeight="1" x14ac:dyDescent="0.3">
      <c r="A572" s="182"/>
      <c r="B572" s="175"/>
      <c r="C572" s="175"/>
      <c r="D572" s="173"/>
      <c r="E572" s="175"/>
    </row>
    <row r="573" spans="1:5" x14ac:dyDescent="0.3">
      <c r="A573" s="182" t="s">
        <v>1488</v>
      </c>
      <c r="B573" s="175" t="s">
        <v>1520</v>
      </c>
      <c r="C573" s="183"/>
      <c r="D573" s="173" t="s">
        <v>1395</v>
      </c>
      <c r="E573" s="193"/>
    </row>
    <row r="574" spans="1:5" ht="8.6999999999999993" customHeight="1" x14ac:dyDescent="0.3">
      <c r="A574" s="182"/>
      <c r="B574" s="175"/>
      <c r="C574" s="175"/>
      <c r="D574" s="173"/>
      <c r="E574" s="175"/>
    </row>
    <row r="575" spans="1:5" x14ac:dyDescent="0.3">
      <c r="A575" s="182" t="s">
        <v>1490</v>
      </c>
      <c r="B575" s="175" t="s">
        <v>1050</v>
      </c>
      <c r="C575" s="183"/>
      <c r="D575" s="173" t="s">
        <v>1395</v>
      </c>
      <c r="E575" s="193"/>
    </row>
    <row r="576" spans="1:5" x14ac:dyDescent="0.3">
      <c r="A576" s="182"/>
      <c r="B576" s="175"/>
      <c r="C576" s="175"/>
      <c r="D576" s="173"/>
      <c r="E576" s="175"/>
    </row>
    <row r="577" spans="1:7" x14ac:dyDescent="0.3">
      <c r="A577" s="182" t="s">
        <v>1492</v>
      </c>
      <c r="B577" s="175" t="s">
        <v>1065</v>
      </c>
      <c r="C577" s="183"/>
      <c r="D577" s="173" t="s">
        <v>1395</v>
      </c>
      <c r="E577" s="193"/>
    </row>
    <row r="578" spans="1:7" x14ac:dyDescent="0.3">
      <c r="A578" s="182"/>
      <c r="B578" s="175"/>
      <c r="C578" s="175"/>
      <c r="D578" s="173"/>
      <c r="E578" s="175"/>
    </row>
    <row r="579" spans="1:7" x14ac:dyDescent="0.3">
      <c r="A579" s="182" t="s">
        <v>1494</v>
      </c>
      <c r="B579" s="175" t="s">
        <v>1521</v>
      </c>
      <c r="C579" s="183"/>
      <c r="D579" s="173" t="s">
        <v>1395</v>
      </c>
      <c r="E579" s="193"/>
    </row>
    <row r="580" spans="1:7" x14ac:dyDescent="0.3">
      <c r="A580" s="182"/>
      <c r="B580" s="175"/>
      <c r="C580" s="175"/>
      <c r="D580" s="173"/>
      <c r="E580" s="175"/>
    </row>
    <row r="581" spans="1:7" x14ac:dyDescent="0.3">
      <c r="A581" s="182" t="s">
        <v>1496</v>
      </c>
      <c r="B581" s="175" t="s">
        <v>1522</v>
      </c>
      <c r="C581" s="183"/>
      <c r="D581" s="173" t="s">
        <v>1395</v>
      </c>
      <c r="E581" s="193"/>
    </row>
    <row r="582" spans="1:7" x14ac:dyDescent="0.3">
      <c r="A582" s="182"/>
      <c r="B582" s="175"/>
      <c r="C582" s="175"/>
      <c r="D582" s="173"/>
      <c r="E582" s="175"/>
    </row>
    <row r="583" spans="1:7" x14ac:dyDescent="0.3">
      <c r="A583" s="182" t="s">
        <v>1498</v>
      </c>
      <c r="B583" s="175" t="s">
        <v>1523</v>
      </c>
      <c r="C583" s="183"/>
      <c r="D583" s="173" t="s">
        <v>1392</v>
      </c>
      <c r="E583" s="193"/>
    </row>
    <row r="584" spans="1:7" x14ac:dyDescent="0.3">
      <c r="A584" s="182"/>
      <c r="B584" s="175"/>
      <c r="C584" s="183"/>
      <c r="D584" s="173"/>
      <c r="E584" s="190"/>
    </row>
    <row r="585" spans="1:7" x14ac:dyDescent="0.3">
      <c r="A585" s="178"/>
      <c r="B585" s="179"/>
      <c r="C585" s="179"/>
      <c r="D585" s="178"/>
      <c r="E585" s="179"/>
    </row>
    <row r="586" spans="1:7" s="172" customFormat="1" ht="28.5" customHeight="1" x14ac:dyDescent="0.3">
      <c r="A586" s="166" t="s">
        <v>1257</v>
      </c>
      <c r="B586" s="167" t="s">
        <v>1258</v>
      </c>
      <c r="C586" s="168"/>
      <c r="D586" s="166" t="s">
        <v>1259</v>
      </c>
      <c r="E586" s="169" t="s">
        <v>1260</v>
      </c>
      <c r="F586" s="170"/>
      <c r="G586" s="171"/>
    </row>
    <row r="587" spans="1:7" ht="28.5" customHeight="1" x14ac:dyDescent="0.3">
      <c r="A587" s="173"/>
      <c r="B587" s="177" t="s">
        <v>1524</v>
      </c>
      <c r="C587" s="175"/>
      <c r="D587" s="173"/>
      <c r="E587" s="175"/>
    </row>
    <row r="588" spans="1:7" x14ac:dyDescent="0.3">
      <c r="A588" s="173"/>
      <c r="B588" s="175"/>
      <c r="C588" s="175"/>
      <c r="D588" s="173"/>
      <c r="E588" s="175"/>
    </row>
    <row r="589" spans="1:7" ht="27.6" x14ac:dyDescent="0.3">
      <c r="A589" s="173"/>
      <c r="B589" s="187" t="s">
        <v>1525</v>
      </c>
      <c r="C589" s="175"/>
      <c r="D589" s="173"/>
      <c r="E589" s="175"/>
    </row>
    <row r="590" spans="1:7" x14ac:dyDescent="0.3">
      <c r="A590" s="173"/>
      <c r="B590" s="180"/>
      <c r="C590" s="175"/>
      <c r="D590" s="173"/>
      <c r="E590" s="175"/>
    </row>
    <row r="591" spans="1:7" x14ac:dyDescent="0.3">
      <c r="A591" s="173"/>
      <c r="B591" s="180"/>
      <c r="C591" s="175"/>
      <c r="D591" s="173"/>
      <c r="E591" s="175"/>
    </row>
    <row r="592" spans="1:7" x14ac:dyDescent="0.3">
      <c r="A592" s="173"/>
      <c r="B592" s="175"/>
      <c r="C592" s="175"/>
      <c r="D592" s="173"/>
      <c r="E592" s="175"/>
    </row>
    <row r="593" spans="1:5" x14ac:dyDescent="0.3">
      <c r="A593" s="173"/>
      <c r="B593" s="175"/>
      <c r="C593" s="175"/>
      <c r="D593" s="173"/>
      <c r="E593" s="175"/>
    </row>
    <row r="594" spans="1:5" x14ac:dyDescent="0.3">
      <c r="A594" s="173"/>
      <c r="B594" s="175"/>
      <c r="C594" s="175"/>
      <c r="D594" s="173"/>
      <c r="E594" s="175"/>
    </row>
    <row r="595" spans="1:5" x14ac:dyDescent="0.3">
      <c r="A595" s="173"/>
      <c r="B595" s="175"/>
      <c r="C595" s="175"/>
      <c r="D595" s="173"/>
      <c r="E595" s="175"/>
    </row>
    <row r="596" spans="1:5" x14ac:dyDescent="0.3">
      <c r="A596" s="173"/>
      <c r="B596" s="175"/>
      <c r="C596" s="175"/>
      <c r="D596" s="173"/>
      <c r="E596" s="175"/>
    </row>
    <row r="597" spans="1:5" x14ac:dyDescent="0.3">
      <c r="A597" s="173"/>
      <c r="B597" s="175"/>
      <c r="C597" s="175"/>
      <c r="D597" s="173"/>
      <c r="E597" s="175"/>
    </row>
    <row r="598" spans="1:5" x14ac:dyDescent="0.3">
      <c r="A598" s="173"/>
      <c r="B598" s="175"/>
      <c r="C598" s="175"/>
      <c r="D598" s="173"/>
      <c r="E598" s="175"/>
    </row>
    <row r="599" spans="1:5" x14ac:dyDescent="0.3">
      <c r="A599" s="173"/>
      <c r="B599" s="175"/>
      <c r="C599" s="175"/>
      <c r="D599" s="173"/>
      <c r="E599" s="175"/>
    </row>
    <row r="600" spans="1:5" x14ac:dyDescent="0.3">
      <c r="A600" s="173"/>
      <c r="B600" s="175"/>
      <c r="C600" s="175"/>
      <c r="D600" s="173"/>
      <c r="E600" s="175"/>
    </row>
    <row r="601" spans="1:5" x14ac:dyDescent="0.3">
      <c r="A601" s="173"/>
      <c r="B601" s="175"/>
      <c r="C601" s="175"/>
      <c r="D601" s="173"/>
      <c r="E601" s="175"/>
    </row>
    <row r="602" spans="1:5" x14ac:dyDescent="0.3">
      <c r="A602" s="173"/>
      <c r="B602" s="175"/>
      <c r="C602" s="175"/>
      <c r="D602" s="173"/>
      <c r="E602" s="175"/>
    </row>
    <row r="603" spans="1:5" x14ac:dyDescent="0.3">
      <c r="A603" s="173"/>
      <c r="B603" s="175"/>
      <c r="C603" s="175"/>
      <c r="D603" s="173"/>
      <c r="E603" s="175"/>
    </row>
    <row r="604" spans="1:5" x14ac:dyDescent="0.3">
      <c r="A604" s="173"/>
      <c r="B604" s="175"/>
      <c r="C604" s="175"/>
      <c r="D604" s="173"/>
      <c r="E604" s="175"/>
    </row>
    <row r="605" spans="1:5" x14ac:dyDescent="0.3">
      <c r="A605" s="173"/>
      <c r="B605" s="175"/>
      <c r="C605" s="175"/>
      <c r="D605" s="173"/>
      <c r="E605" s="175"/>
    </row>
    <row r="606" spans="1:5" x14ac:dyDescent="0.3">
      <c r="A606" s="173"/>
      <c r="B606" s="175"/>
      <c r="C606" s="175"/>
      <c r="D606" s="173"/>
      <c r="E606" s="175"/>
    </row>
    <row r="607" spans="1:5" x14ac:dyDescent="0.3">
      <c r="A607" s="173"/>
      <c r="B607" s="175"/>
      <c r="C607" s="175"/>
      <c r="D607" s="173"/>
      <c r="E607" s="175"/>
    </row>
    <row r="608" spans="1:5" x14ac:dyDescent="0.3">
      <c r="A608" s="173"/>
      <c r="B608" s="175"/>
      <c r="C608" s="175"/>
      <c r="D608" s="173"/>
      <c r="E608" s="175"/>
    </row>
    <row r="609" spans="1:5" x14ac:dyDescent="0.3">
      <c r="A609" s="173"/>
      <c r="B609" s="175"/>
      <c r="C609" s="175"/>
      <c r="D609" s="173"/>
      <c r="E609" s="175"/>
    </row>
    <row r="610" spans="1:5" x14ac:dyDescent="0.3">
      <c r="A610" s="173"/>
      <c r="B610" s="175"/>
      <c r="C610" s="175"/>
      <c r="D610" s="173"/>
      <c r="E610" s="175"/>
    </row>
    <row r="611" spans="1:5" x14ac:dyDescent="0.3">
      <c r="A611" s="173"/>
      <c r="B611" s="175"/>
      <c r="C611" s="175"/>
      <c r="D611" s="173"/>
      <c r="E611" s="175"/>
    </row>
    <row r="612" spans="1:5" x14ac:dyDescent="0.3">
      <c r="A612" s="173"/>
      <c r="B612" s="175"/>
      <c r="C612" s="175"/>
      <c r="D612" s="173"/>
      <c r="E612" s="175"/>
    </row>
    <row r="613" spans="1:5" x14ac:dyDescent="0.3">
      <c r="A613" s="173"/>
      <c r="B613" s="175"/>
      <c r="C613" s="175"/>
      <c r="D613" s="173"/>
      <c r="E613" s="175"/>
    </row>
    <row r="614" spans="1:5" x14ac:dyDescent="0.3">
      <c r="A614" s="173"/>
      <c r="B614" s="175"/>
      <c r="C614" s="175"/>
      <c r="D614" s="173"/>
      <c r="E614" s="175"/>
    </row>
    <row r="615" spans="1:5" x14ac:dyDescent="0.3">
      <c r="A615" s="173"/>
      <c r="B615" s="175"/>
      <c r="C615" s="175"/>
      <c r="D615" s="173"/>
      <c r="E615" s="175"/>
    </row>
    <row r="616" spans="1:5" x14ac:dyDescent="0.3">
      <c r="A616" s="173"/>
      <c r="B616" s="175"/>
      <c r="C616" s="175"/>
      <c r="D616" s="173"/>
      <c r="E616" s="175"/>
    </row>
    <row r="617" spans="1:5" x14ac:dyDescent="0.3">
      <c r="A617" s="173"/>
      <c r="B617" s="175"/>
      <c r="C617" s="175"/>
      <c r="D617" s="173"/>
      <c r="E617" s="175"/>
    </row>
    <row r="618" spans="1:5" x14ac:dyDescent="0.3">
      <c r="A618" s="173"/>
      <c r="B618" s="175"/>
      <c r="C618" s="175"/>
      <c r="D618" s="173"/>
      <c r="E618" s="175"/>
    </row>
    <row r="619" spans="1:5" x14ac:dyDescent="0.3">
      <c r="A619" s="173"/>
      <c r="B619" s="175"/>
      <c r="C619" s="175"/>
      <c r="D619" s="173"/>
      <c r="E619" s="175"/>
    </row>
    <row r="620" spans="1:5" x14ac:dyDescent="0.3">
      <c r="A620" s="173"/>
      <c r="B620" s="175"/>
      <c r="C620" s="175"/>
      <c r="D620" s="173"/>
      <c r="E620" s="175"/>
    </row>
    <row r="621" spans="1:5" x14ac:dyDescent="0.3">
      <c r="A621" s="173"/>
      <c r="B621" s="175"/>
      <c r="C621" s="175"/>
      <c r="D621" s="173"/>
      <c r="E621" s="175"/>
    </row>
    <row r="622" spans="1:5" x14ac:dyDescent="0.3">
      <c r="A622" s="173"/>
      <c r="B622" s="175"/>
      <c r="C622" s="175"/>
      <c r="D622" s="173"/>
      <c r="E622" s="175"/>
    </row>
    <row r="623" spans="1:5" x14ac:dyDescent="0.3">
      <c r="A623" s="173"/>
      <c r="B623" s="175"/>
      <c r="C623" s="175"/>
      <c r="D623" s="173"/>
      <c r="E623" s="175"/>
    </row>
    <row r="624" spans="1:5" x14ac:dyDescent="0.3">
      <c r="A624" s="173"/>
      <c r="B624" s="175"/>
      <c r="C624" s="175"/>
      <c r="D624" s="173"/>
      <c r="E624" s="175"/>
    </row>
    <row r="625" spans="1:5" x14ac:dyDescent="0.3">
      <c r="A625" s="173"/>
      <c r="B625" s="175"/>
      <c r="C625" s="175"/>
      <c r="D625" s="173"/>
      <c r="E625" s="175"/>
    </row>
    <row r="626" spans="1:5" x14ac:dyDescent="0.3">
      <c r="A626" s="178"/>
      <c r="B626" s="179"/>
      <c r="C626" s="179"/>
      <c r="D626" s="178"/>
      <c r="E626" s="179"/>
    </row>
    <row r="627" spans="1:5" x14ac:dyDescent="0.3">
      <c r="A627" s="194"/>
      <c r="B627" s="195"/>
      <c r="C627" s="195"/>
      <c r="D627" s="194"/>
      <c r="E627" s="195"/>
    </row>
    <row r="628" spans="1:5" x14ac:dyDescent="0.3">
      <c r="A628" s="196" t="str">
        <f>$B$339</f>
        <v xml:space="preserve">MATERIALS </v>
      </c>
      <c r="B628" s="197"/>
      <c r="C628" s="197"/>
      <c r="D628" s="141"/>
      <c r="E628" s="197"/>
    </row>
  </sheetData>
  <protectedRanges>
    <protectedRange sqref="C53:E626" name="Range1"/>
  </protectedRanges>
  <mergeCells count="2">
    <mergeCell ref="A30:E30"/>
    <mergeCell ref="A32:E3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05BA7-E1ED-4B1C-9A36-18775861FC40}">
  <dimension ref="A1:J49"/>
  <sheetViews>
    <sheetView workbookViewId="0">
      <selection activeCell="B5" sqref="B5"/>
    </sheetView>
  </sheetViews>
  <sheetFormatPr defaultColWidth="8.77734375" defaultRowHeight="13.8" x14ac:dyDescent="0.3"/>
  <cols>
    <col min="1" max="1" width="8.77734375" style="92"/>
    <col min="2" max="2" width="32.21875" style="92" customWidth="1"/>
    <col min="3" max="4" width="8.77734375" style="92"/>
    <col min="5" max="5" width="12.5546875" style="92" customWidth="1"/>
    <col min="6" max="6" width="13.77734375" style="92" customWidth="1"/>
    <col min="7" max="7" width="35.77734375" style="92" customWidth="1"/>
    <col min="8" max="9" width="8.77734375" style="92"/>
    <col min="10" max="10" width="10.21875" style="92" bestFit="1" customWidth="1"/>
    <col min="11" max="16384" width="8.77734375" style="92"/>
  </cols>
  <sheetData>
    <row r="1" spans="1:8" x14ac:dyDescent="0.3">
      <c r="A1" s="1" t="s">
        <v>0</v>
      </c>
      <c r="B1" s="85"/>
      <c r="C1" s="86"/>
      <c r="D1" s="87"/>
      <c r="E1" s="88"/>
      <c r="F1" s="89"/>
      <c r="G1" s="90"/>
      <c r="H1" s="91"/>
    </row>
    <row r="2" spans="1:8" x14ac:dyDescent="0.3">
      <c r="A2" s="1" t="s">
        <v>1</v>
      </c>
      <c r="B2" s="85"/>
      <c r="C2" s="86"/>
      <c r="D2" s="87"/>
      <c r="E2" s="88"/>
      <c r="F2" s="89"/>
      <c r="G2" s="90"/>
      <c r="H2" s="91"/>
    </row>
    <row r="3" spans="1:8" x14ac:dyDescent="0.3">
      <c r="A3" s="1" t="s">
        <v>2</v>
      </c>
      <c r="B3" s="85"/>
      <c r="C3" s="86"/>
      <c r="D3" s="87"/>
      <c r="E3" s="88"/>
      <c r="F3" s="89"/>
      <c r="G3" s="90"/>
      <c r="H3" s="91"/>
    </row>
    <row r="4" spans="1:8" x14ac:dyDescent="0.3">
      <c r="A4" s="1" t="s">
        <v>3</v>
      </c>
      <c r="B4" s="85"/>
      <c r="C4" s="86"/>
      <c r="D4" s="87"/>
      <c r="E4" s="88"/>
      <c r="F4" s="89"/>
      <c r="G4" s="90"/>
      <c r="H4" s="91"/>
    </row>
    <row r="5" spans="1:8" x14ac:dyDescent="0.3">
      <c r="A5" s="1" t="s">
        <v>4</v>
      </c>
      <c r="B5" s="85"/>
      <c r="C5" s="86"/>
      <c r="D5" s="87"/>
      <c r="E5" s="88"/>
      <c r="F5" s="89"/>
      <c r="G5" s="90"/>
      <c r="H5" s="91"/>
    </row>
    <row r="6" spans="1:8" x14ac:dyDescent="0.3">
      <c r="A6" s="342"/>
      <c r="B6" s="342"/>
      <c r="C6" s="86"/>
      <c r="D6" s="87"/>
      <c r="E6" s="88"/>
      <c r="F6" s="89"/>
      <c r="G6" s="90"/>
      <c r="H6" s="91"/>
    </row>
    <row r="7" spans="1:8" ht="14.4" x14ac:dyDescent="0.3">
      <c r="A7" s="93"/>
      <c r="B7" s="91"/>
      <c r="C7" s="86"/>
      <c r="D7" s="87"/>
      <c r="E7" s="88"/>
      <c r="F7" s="89"/>
      <c r="G7" s="91"/>
      <c r="H7" s="94"/>
    </row>
    <row r="8" spans="1:8" s="95" customFormat="1" ht="13.2" x14ac:dyDescent="0.3">
      <c r="A8" s="343" t="s">
        <v>6</v>
      </c>
      <c r="B8" s="345" t="s">
        <v>7</v>
      </c>
      <c r="C8" s="348" t="s">
        <v>8</v>
      </c>
      <c r="D8" s="339" t="s">
        <v>9</v>
      </c>
      <c r="E8" s="336" t="s">
        <v>10</v>
      </c>
      <c r="F8" s="336" t="s">
        <v>11</v>
      </c>
      <c r="G8" s="339" t="s">
        <v>12</v>
      </c>
    </row>
    <row r="9" spans="1:8" x14ac:dyDescent="0.3">
      <c r="A9" s="343"/>
      <c r="B9" s="346"/>
      <c r="C9" s="349"/>
      <c r="D9" s="340"/>
      <c r="E9" s="337"/>
      <c r="F9" s="337"/>
      <c r="G9" s="340"/>
      <c r="H9" s="96"/>
    </row>
    <row r="10" spans="1:8" x14ac:dyDescent="0.3">
      <c r="A10" s="344"/>
      <c r="B10" s="347"/>
      <c r="C10" s="350"/>
      <c r="D10" s="341"/>
      <c r="E10" s="338"/>
      <c r="F10" s="338"/>
      <c r="G10" s="341"/>
      <c r="H10" s="96"/>
    </row>
    <row r="11" spans="1:8" ht="41.4" x14ac:dyDescent="0.3">
      <c r="A11" s="97"/>
      <c r="B11" s="98" t="s">
        <v>1232</v>
      </c>
      <c r="C11" s="99"/>
      <c r="D11" s="99"/>
      <c r="E11" s="99"/>
      <c r="F11" s="100"/>
      <c r="G11" s="101"/>
      <c r="H11" s="96"/>
    </row>
    <row r="12" spans="1:8" x14ac:dyDescent="0.3">
      <c r="A12" s="102"/>
      <c r="B12" s="103"/>
      <c r="C12" s="104"/>
      <c r="D12" s="105"/>
      <c r="E12" s="106"/>
      <c r="F12" s="107"/>
      <c r="G12" s="108"/>
      <c r="H12" s="96"/>
    </row>
    <row r="13" spans="1:8" ht="14.4" x14ac:dyDescent="0.3">
      <c r="A13" s="109">
        <v>1</v>
      </c>
      <c r="B13" s="110" t="s">
        <v>1233</v>
      </c>
      <c r="C13" s="111">
        <v>1</v>
      </c>
      <c r="D13" s="112" t="s">
        <v>38</v>
      </c>
      <c r="E13" s="113"/>
      <c r="F13" s="114"/>
      <c r="G13" s="115"/>
      <c r="H13" s="116"/>
    </row>
    <row r="14" spans="1:8" ht="10.050000000000001" customHeight="1" x14ac:dyDescent="0.3">
      <c r="A14" s="109" t="s">
        <v>1234</v>
      </c>
      <c r="B14" s="110" t="s">
        <v>1234</v>
      </c>
      <c r="C14" s="111" t="s">
        <v>1234</v>
      </c>
      <c r="D14" s="112" t="s">
        <v>1234</v>
      </c>
      <c r="E14" s="117"/>
      <c r="F14" s="114"/>
      <c r="G14" s="115"/>
      <c r="H14" s="118"/>
    </row>
    <row r="15" spans="1:8" ht="14.4" x14ac:dyDescent="0.3">
      <c r="A15" s="119">
        <v>2</v>
      </c>
      <c r="B15" s="110" t="s">
        <v>1235</v>
      </c>
      <c r="C15" s="111">
        <v>1</v>
      </c>
      <c r="D15" s="112" t="s">
        <v>38</v>
      </c>
      <c r="E15" s="120"/>
      <c r="F15" s="114"/>
      <c r="G15" s="115"/>
      <c r="H15" s="118"/>
    </row>
    <row r="16" spans="1:8" ht="10.050000000000001" customHeight="1" x14ac:dyDescent="0.3">
      <c r="A16" s="109" t="s">
        <v>1234</v>
      </c>
      <c r="B16" s="110" t="s">
        <v>1234</v>
      </c>
      <c r="C16" s="111" t="s">
        <v>1234</v>
      </c>
      <c r="D16" s="112" t="s">
        <v>1234</v>
      </c>
      <c r="E16" s="117"/>
      <c r="F16" s="114"/>
      <c r="G16" s="115"/>
      <c r="H16" s="118"/>
    </row>
    <row r="17" spans="1:8" ht="14.4" x14ac:dyDescent="0.3">
      <c r="A17" s="109">
        <v>3</v>
      </c>
      <c r="B17" s="121" t="s">
        <v>1236</v>
      </c>
      <c r="C17" s="122">
        <v>1</v>
      </c>
      <c r="D17" s="123" t="s">
        <v>38</v>
      </c>
      <c r="E17" s="124"/>
      <c r="F17" s="114"/>
      <c r="G17" s="115"/>
      <c r="H17" s="118"/>
    </row>
    <row r="18" spans="1:8" ht="10.050000000000001" customHeight="1" x14ac:dyDescent="0.3">
      <c r="A18" s="109" t="s">
        <v>1234</v>
      </c>
      <c r="B18" s="110" t="s">
        <v>1234</v>
      </c>
      <c r="C18" s="111" t="s">
        <v>1234</v>
      </c>
      <c r="D18" s="112" t="s">
        <v>1234</v>
      </c>
      <c r="E18" s="117"/>
      <c r="F18" s="114"/>
      <c r="G18" s="115"/>
      <c r="H18" s="118"/>
    </row>
    <row r="19" spans="1:8" ht="14.4" x14ac:dyDescent="0.3">
      <c r="A19" s="109">
        <v>4</v>
      </c>
      <c r="B19" s="121" t="s">
        <v>1237</v>
      </c>
      <c r="C19" s="122">
        <v>1</v>
      </c>
      <c r="D19" s="123" t="s">
        <v>38</v>
      </c>
      <c r="E19" s="124"/>
      <c r="F19" s="114"/>
      <c r="G19" s="115"/>
      <c r="H19" s="118"/>
    </row>
    <row r="20" spans="1:8" ht="10.050000000000001" customHeight="1" x14ac:dyDescent="0.3">
      <c r="A20" s="109" t="s">
        <v>1234</v>
      </c>
      <c r="B20" s="110" t="s">
        <v>1234</v>
      </c>
      <c r="C20" s="125" t="s">
        <v>1234</v>
      </c>
      <c r="D20" s="126" t="s">
        <v>1234</v>
      </c>
      <c r="E20" s="127"/>
      <c r="F20" s="114"/>
      <c r="G20" s="115"/>
      <c r="H20" s="118"/>
    </row>
    <row r="21" spans="1:8" ht="27.6" x14ac:dyDescent="0.3">
      <c r="A21" s="109">
        <v>5</v>
      </c>
      <c r="B21" s="110" t="s">
        <v>1238</v>
      </c>
      <c r="C21" s="111">
        <v>1</v>
      </c>
      <c r="D21" s="112" t="s">
        <v>38</v>
      </c>
      <c r="E21" s="120"/>
      <c r="F21" s="114"/>
      <c r="G21" s="115"/>
      <c r="H21" s="118"/>
    </row>
    <row r="22" spans="1:8" ht="10.050000000000001" customHeight="1" x14ac:dyDescent="0.3">
      <c r="A22" s="109" t="s">
        <v>1234</v>
      </c>
      <c r="B22" s="110" t="s">
        <v>1234</v>
      </c>
      <c r="C22" s="111" t="s">
        <v>1234</v>
      </c>
      <c r="D22" s="112" t="s">
        <v>1234</v>
      </c>
      <c r="E22" s="117"/>
      <c r="F22" s="114"/>
      <c r="G22" s="115"/>
      <c r="H22" s="118"/>
    </row>
    <row r="23" spans="1:8" ht="14.4" x14ac:dyDescent="0.3">
      <c r="A23" s="109">
        <v>6</v>
      </c>
      <c r="B23" s="110" t="s">
        <v>1239</v>
      </c>
      <c r="C23" s="111">
        <v>1</v>
      </c>
      <c r="D23" s="112" t="s">
        <v>38</v>
      </c>
      <c r="E23" s="120"/>
      <c r="F23" s="114"/>
      <c r="G23" s="115"/>
      <c r="H23" s="118"/>
    </row>
    <row r="24" spans="1:8" ht="14.4" x14ac:dyDescent="0.3">
      <c r="A24" s="109"/>
      <c r="B24" s="128" t="s">
        <v>1240</v>
      </c>
      <c r="C24" s="111"/>
      <c r="D24" s="112"/>
      <c r="E24" s="120"/>
      <c r="F24" s="114"/>
      <c r="G24" s="115"/>
      <c r="H24" s="118"/>
    </row>
    <row r="25" spans="1:8" ht="14.4" x14ac:dyDescent="0.3">
      <c r="A25" s="109"/>
      <c r="B25" s="128" t="s">
        <v>1241</v>
      </c>
      <c r="C25" s="111"/>
      <c r="D25" s="112"/>
      <c r="E25" s="120"/>
      <c r="F25" s="114"/>
      <c r="G25" s="115"/>
      <c r="H25" s="118"/>
    </row>
    <row r="26" spans="1:8" ht="14.4" x14ac:dyDescent="0.3">
      <c r="A26" s="109"/>
      <c r="B26" s="128" t="s">
        <v>1242</v>
      </c>
      <c r="C26" s="111"/>
      <c r="D26" s="112"/>
      <c r="E26" s="120"/>
      <c r="F26" s="114"/>
      <c r="G26" s="115"/>
      <c r="H26" s="118"/>
    </row>
    <row r="27" spans="1:8" ht="14.4" x14ac:dyDescent="0.3">
      <c r="A27" s="109"/>
      <c r="B27" s="128" t="s">
        <v>1243</v>
      </c>
      <c r="C27" s="111"/>
      <c r="D27" s="112"/>
      <c r="E27" s="120"/>
      <c r="F27" s="114"/>
      <c r="G27" s="115"/>
      <c r="H27" s="118"/>
    </row>
    <row r="28" spans="1:8" ht="14.4" x14ac:dyDescent="0.3">
      <c r="A28" s="109"/>
      <c r="B28" s="128" t="s">
        <v>1244</v>
      </c>
      <c r="C28" s="111"/>
      <c r="D28" s="112"/>
      <c r="E28" s="120"/>
      <c r="F28" s="114"/>
      <c r="G28" s="115"/>
      <c r="H28" s="118"/>
    </row>
    <row r="29" spans="1:8" ht="10.050000000000001" customHeight="1" x14ac:dyDescent="0.3">
      <c r="A29" s="109" t="s">
        <v>1234</v>
      </c>
      <c r="B29" s="110" t="s">
        <v>1234</v>
      </c>
      <c r="C29" s="111" t="s">
        <v>1234</v>
      </c>
      <c r="D29" s="112" t="s">
        <v>1234</v>
      </c>
      <c r="E29" s="117"/>
      <c r="F29" s="114"/>
      <c r="G29" s="115"/>
      <c r="H29" s="118"/>
    </row>
    <row r="30" spans="1:8" ht="41.4" x14ac:dyDescent="0.3">
      <c r="A30" s="119">
        <v>7</v>
      </c>
      <c r="B30" s="110" t="s">
        <v>1245</v>
      </c>
      <c r="C30" s="111">
        <v>1</v>
      </c>
      <c r="D30" s="112" t="s">
        <v>38</v>
      </c>
      <c r="E30" s="120"/>
      <c r="F30" s="114"/>
      <c r="G30" s="115"/>
      <c r="H30" s="118"/>
    </row>
    <row r="31" spans="1:8" ht="10.050000000000001" customHeight="1" x14ac:dyDescent="0.3">
      <c r="A31" s="119" t="s">
        <v>1234</v>
      </c>
      <c r="B31" s="110" t="s">
        <v>1234</v>
      </c>
      <c r="C31" s="111" t="s">
        <v>1234</v>
      </c>
      <c r="D31" s="112" t="s">
        <v>1234</v>
      </c>
      <c r="E31" s="117"/>
      <c r="F31" s="114"/>
      <c r="G31" s="115"/>
      <c r="H31" s="118"/>
    </row>
    <row r="32" spans="1:8" ht="41.4" x14ac:dyDescent="0.3">
      <c r="A32" s="119">
        <v>8</v>
      </c>
      <c r="B32" s="110" t="s">
        <v>1246</v>
      </c>
      <c r="C32" s="111">
        <v>1</v>
      </c>
      <c r="D32" s="112" t="s">
        <v>38</v>
      </c>
      <c r="E32" s="120"/>
      <c r="F32" s="114"/>
      <c r="G32" s="115"/>
      <c r="H32" s="118"/>
    </row>
    <row r="33" spans="1:10" ht="10.050000000000001" customHeight="1" x14ac:dyDescent="0.3">
      <c r="A33" s="119" t="s">
        <v>1234</v>
      </c>
      <c r="B33" s="110" t="s">
        <v>1234</v>
      </c>
      <c r="C33" s="111" t="s">
        <v>1234</v>
      </c>
      <c r="D33" s="112" t="s">
        <v>1234</v>
      </c>
      <c r="E33" s="117"/>
      <c r="F33" s="114"/>
      <c r="G33" s="115"/>
      <c r="H33" s="118"/>
    </row>
    <row r="34" spans="1:10" ht="27.6" x14ac:dyDescent="0.3">
      <c r="A34" s="119">
        <v>9</v>
      </c>
      <c r="B34" s="110" t="s">
        <v>1247</v>
      </c>
      <c r="C34" s="111">
        <v>1</v>
      </c>
      <c r="D34" s="112" t="s">
        <v>38</v>
      </c>
      <c r="E34" s="120"/>
      <c r="F34" s="114"/>
      <c r="G34" s="115"/>
      <c r="H34" s="118"/>
    </row>
    <row r="35" spans="1:10" ht="10.050000000000001" customHeight="1" x14ac:dyDescent="0.3">
      <c r="A35" s="109" t="s">
        <v>1234</v>
      </c>
      <c r="B35" s="110" t="s">
        <v>1234</v>
      </c>
      <c r="C35" s="111" t="s">
        <v>1234</v>
      </c>
      <c r="D35" s="112" t="s">
        <v>1234</v>
      </c>
      <c r="E35" s="129"/>
      <c r="F35" s="114"/>
      <c r="G35" s="115"/>
      <c r="H35" s="118"/>
    </row>
    <row r="36" spans="1:10" ht="14.4" x14ac:dyDescent="0.3">
      <c r="A36" s="119">
        <v>10</v>
      </c>
      <c r="B36" s="110" t="s">
        <v>1248</v>
      </c>
      <c r="C36" s="111">
        <v>1</v>
      </c>
      <c r="D36" s="112" t="s">
        <v>38</v>
      </c>
      <c r="E36" s="120"/>
      <c r="F36" s="114"/>
      <c r="G36" s="115"/>
      <c r="H36" s="130"/>
      <c r="J36" s="131"/>
    </row>
    <row r="37" spans="1:10" ht="10.050000000000001" customHeight="1" x14ac:dyDescent="0.3">
      <c r="A37" s="119" t="s">
        <v>1234</v>
      </c>
      <c r="B37" s="110" t="s">
        <v>1234</v>
      </c>
      <c r="C37" s="111" t="s">
        <v>1234</v>
      </c>
      <c r="D37" s="112" t="s">
        <v>1234</v>
      </c>
      <c r="E37" s="117"/>
      <c r="F37" s="114"/>
      <c r="G37" s="115"/>
    </row>
    <row r="38" spans="1:10" ht="27.6" x14ac:dyDescent="0.3">
      <c r="A38" s="119">
        <v>11</v>
      </c>
      <c r="B38" s="110" t="s">
        <v>1249</v>
      </c>
      <c r="C38" s="111">
        <v>1</v>
      </c>
      <c r="D38" s="112" t="s">
        <v>38</v>
      </c>
      <c r="E38" s="120"/>
      <c r="F38" s="114"/>
      <c r="G38" s="115"/>
    </row>
    <row r="39" spans="1:10" ht="10.050000000000001" customHeight="1" x14ac:dyDescent="0.3">
      <c r="A39" s="119" t="s">
        <v>1234</v>
      </c>
      <c r="B39" s="110" t="s">
        <v>1234</v>
      </c>
      <c r="C39" s="111" t="s">
        <v>1234</v>
      </c>
      <c r="D39" s="112" t="s">
        <v>1234</v>
      </c>
      <c r="E39" s="117"/>
      <c r="F39" s="114"/>
      <c r="G39" s="115"/>
    </row>
    <row r="40" spans="1:10" ht="14.4" x14ac:dyDescent="0.3">
      <c r="A40" s="119">
        <v>12</v>
      </c>
      <c r="B40" s="110" t="s">
        <v>1250</v>
      </c>
      <c r="C40" s="111">
        <v>1</v>
      </c>
      <c r="D40" s="112" t="s">
        <v>38</v>
      </c>
      <c r="E40" s="120"/>
      <c r="F40" s="114"/>
      <c r="G40" s="115"/>
    </row>
    <row r="41" spans="1:10" ht="10.050000000000001" customHeight="1" x14ac:dyDescent="0.3">
      <c r="A41" s="119" t="s">
        <v>1234</v>
      </c>
      <c r="B41" s="110" t="s">
        <v>1234</v>
      </c>
      <c r="C41" s="111" t="s">
        <v>1234</v>
      </c>
      <c r="D41" s="112" t="s">
        <v>1234</v>
      </c>
      <c r="E41" s="117"/>
      <c r="F41" s="114"/>
      <c r="G41" s="115"/>
    </row>
    <row r="42" spans="1:10" ht="27.6" x14ac:dyDescent="0.3">
      <c r="A42" s="119">
        <v>13</v>
      </c>
      <c r="B42" s="110" t="s">
        <v>1251</v>
      </c>
      <c r="C42" s="111">
        <v>1</v>
      </c>
      <c r="D42" s="112" t="s">
        <v>38</v>
      </c>
      <c r="E42" s="120"/>
      <c r="F42" s="114"/>
      <c r="G42" s="115"/>
    </row>
    <row r="43" spans="1:10" ht="10.050000000000001" customHeight="1" x14ac:dyDescent="0.3">
      <c r="A43" s="119"/>
      <c r="B43" s="110"/>
      <c r="C43" s="111"/>
      <c r="D43" s="112"/>
      <c r="E43" s="117"/>
      <c r="F43" s="114"/>
      <c r="G43" s="115"/>
    </row>
    <row r="44" spans="1:10" ht="14.4" x14ac:dyDescent="0.3">
      <c r="A44" s="119">
        <v>14</v>
      </c>
      <c r="B44" s="110" t="s">
        <v>1252</v>
      </c>
      <c r="C44" s="111">
        <v>1</v>
      </c>
      <c r="D44" s="112" t="s">
        <v>38</v>
      </c>
      <c r="E44" s="120"/>
      <c r="F44" s="114"/>
      <c r="G44" s="115"/>
    </row>
    <row r="45" spans="1:10" ht="10.050000000000001" customHeight="1" x14ac:dyDescent="0.3">
      <c r="A45" s="119"/>
      <c r="B45" s="110"/>
      <c r="C45" s="111"/>
      <c r="D45" s="112"/>
      <c r="E45" s="120"/>
      <c r="F45" s="114"/>
      <c r="G45" s="115"/>
    </row>
    <row r="46" spans="1:10" ht="14.4" x14ac:dyDescent="0.3">
      <c r="A46" s="119">
        <v>15</v>
      </c>
      <c r="B46" s="110" t="s">
        <v>1253</v>
      </c>
      <c r="C46" s="111">
        <v>1</v>
      </c>
      <c r="D46" s="112" t="s">
        <v>38</v>
      </c>
      <c r="E46" s="120"/>
      <c r="F46" s="114"/>
      <c r="G46" s="115"/>
    </row>
    <row r="47" spans="1:10" ht="10.050000000000001" customHeight="1" x14ac:dyDescent="0.3">
      <c r="A47" s="119"/>
      <c r="B47" s="110"/>
      <c r="C47" s="111"/>
      <c r="D47" s="112"/>
      <c r="E47" s="120"/>
      <c r="F47" s="114"/>
      <c r="G47" s="115"/>
    </row>
    <row r="48" spans="1:10" ht="14.4" x14ac:dyDescent="0.3">
      <c r="A48" s="119" t="s">
        <v>1234</v>
      </c>
      <c r="B48" s="110" t="s">
        <v>1234</v>
      </c>
      <c r="C48" s="111" t="s">
        <v>1234</v>
      </c>
      <c r="D48" s="117" t="s">
        <v>1234</v>
      </c>
      <c r="E48" s="120" t="s">
        <v>1234</v>
      </c>
      <c r="F48" s="132"/>
      <c r="G48" s="115"/>
    </row>
    <row r="49" spans="1:7" ht="29.25" customHeight="1" x14ac:dyDescent="0.3">
      <c r="A49" s="133"/>
      <c r="B49" s="134" t="s">
        <v>1231</v>
      </c>
      <c r="C49" s="135"/>
      <c r="D49" s="135"/>
      <c r="E49" s="136"/>
      <c r="F49" s="137"/>
      <c r="G49" s="138"/>
    </row>
  </sheetData>
  <protectedRanges>
    <protectedRange algorithmName="SHA-512" hashValue="8HpRGPygmTyjCkVK+G4+XCjm/1hEfYFSzm6p0EZBMRGMCdBVBLbp5ZaXVV2WQdqKuTY2MY+ggeNi9MGNuhMChg==" saltValue="USwAat1YtDlhyZ/FFRIlLw==" spinCount="100000" sqref="A1:D1048576" name="Range1"/>
  </protectedRanges>
  <mergeCells count="8">
    <mergeCell ref="F8:F10"/>
    <mergeCell ref="G8:G10"/>
    <mergeCell ref="A6:B6"/>
    <mergeCell ref="A8:A10"/>
    <mergeCell ref="B8:B10"/>
    <mergeCell ref="C8:C10"/>
    <mergeCell ref="D8:D10"/>
    <mergeCell ref="E8:E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 Requirments</vt:lpstr>
      <vt:lpstr>MAIN BOQ</vt:lpstr>
      <vt:lpstr>DAY Work BOQ</vt:lpstr>
      <vt:lpstr>Provisional Sum BOQ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Mamoun Khaled</cp:lastModifiedBy>
  <dcterms:created xsi:type="dcterms:W3CDTF">2022-12-01T07:28:04Z</dcterms:created>
  <dcterms:modified xsi:type="dcterms:W3CDTF">2023-01-29T13:28:42Z</dcterms:modified>
</cp:coreProperties>
</file>