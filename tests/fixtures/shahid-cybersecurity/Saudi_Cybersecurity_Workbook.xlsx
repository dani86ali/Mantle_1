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Compliance Matrix" sheetId="1" state="visible" r:id="rId3"/>
    <sheet name="Technology Mapping Matrix" sheetId="2" state="visible" r:id="rId4"/>
    <sheet name="Bill of Materials (BOM)" sheetId="3" state="visible" r:id="rId5"/>
    <sheet name="High Level Sizing" sheetId="4" state="visible" r:id="rId6"/>
    <sheet name="Questions &amp; Assumptions" sheetId="5" state="visible" r:id="rId7"/>
  </sheets>
  <definedNames>
    <definedName function="false" hidden="true" localSheetId="2" name="_xlnm._FilterDatabase" vbProcedure="false">'Bill of Materials (BOM)'!$A$3:$L$38</definedName>
    <definedName function="false" hidden="true" localSheetId="0" name="_xlnm._FilterDatabase" vbProcedure="false">'Master Compliance Matrix'!$A$3:$N$56</definedName>
    <definedName function="false" hidden="true" localSheetId="1" name="_xlnm._FilterDatabase" vbProcedure="false">'Technology Mapping Matrix'!$A$3:$Q$41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<sst xmlns="http://schemas.openxmlformats.org/spreadsheetml/2006/main" count="1835" uniqueCount="833">
  <si>
    <t xml:space="preserve">MASTER COMPLIANCE MATRIX</t>
  </si>
  <si>
    <t xml:space="preserve">Saudi Enterprise Cybersecurity Transformation Program | NCA ECC / CSCC / ISO 27001 / NDMO Aligned</t>
  </si>
  <si>
    <t xml:space="preserve">Framework</t>
  </si>
  <si>
    <t xml:space="preserve">Domain</t>
  </si>
  <si>
    <t xml:space="preserve">Subdomain</t>
  </si>
  <si>
    <t xml:space="preserve">Control ID</t>
  </si>
  <si>
    <t xml:space="preserve">Control Name</t>
  </si>
  <si>
    <t xml:space="preserve">Detailed Description</t>
  </si>
  <si>
    <t xml:space="preserve">Risk Level</t>
  </si>
  <si>
    <t xml:space="preserve">Priority</t>
  </si>
  <si>
    <t xml:space="preserve">Technology Category</t>
  </si>
  <si>
    <t xml:space="preserve">Recommended Technology</t>
  </si>
  <si>
    <t xml:space="preserve">Vendor</t>
  </si>
  <si>
    <t xml:space="preserve">Compliance Status</t>
  </si>
  <si>
    <t xml:space="preserve">Implementation Phase</t>
  </si>
  <si>
    <t xml:space="preserve">Comments</t>
  </si>
  <si>
    <t xml:space="preserve">NCA ECC</t>
  </si>
  <si>
    <t xml:space="preserve">1. Cybersecurity Governance</t>
  </si>
  <si>
    <t xml:space="preserve">1-1 Cybersecurity Strategy</t>
  </si>
  <si>
    <t xml:space="preserve">ECC-1-1-1</t>
  </si>
  <si>
    <t xml:space="preserve">Cybersecurity Strategy</t>
  </si>
  <si>
    <t xml:space="preserve">Establish and approve cybersecurity strategy aligned with national regulations</t>
  </si>
  <si>
    <t xml:space="preserve">Critical</t>
  </si>
  <si>
    <t xml:space="preserve">P1</t>
  </si>
  <si>
    <t xml:space="preserve">GRC</t>
  </si>
  <si>
    <t xml:space="preserve">GRC Platform</t>
  </si>
  <si>
    <t xml:space="preserve">CyberArrow</t>
  </si>
  <si>
    <t xml:space="preserve">Not Started</t>
  </si>
  <si>
    <t xml:space="preserve">Phase 1</t>
  </si>
  <si>
    <t xml:space="preserve">Mandatory for NCA compliance</t>
  </si>
  <si>
    <t xml:space="preserve">ECC-1-1-2</t>
  </si>
  <si>
    <t xml:space="preserve">Cybersecurity Policy</t>
  </si>
  <si>
    <t xml:space="preserve">Develop and approve comprehensive cybersecurity policies</t>
  </si>
  <si>
    <t xml:space="preserve">Policy Management</t>
  </si>
  <si>
    <t xml:space="preserve">1-2 Cybersecurity Management</t>
  </si>
  <si>
    <t xml:space="preserve">ECC-1-2-1</t>
  </si>
  <si>
    <t xml:space="preserve">Cybersecurity Roles &amp; Responsibilities</t>
  </si>
  <si>
    <t xml:space="preserve">Define cybersecurity roles and assign responsibilities</t>
  </si>
  <si>
    <t xml:space="preserve">High</t>
  </si>
  <si>
    <t xml:space="preserve">ECC-1-2-2</t>
  </si>
  <si>
    <t xml:space="preserve">Cybersecurity Risk Management</t>
  </si>
  <si>
    <t xml:space="preserve">Implement cybersecurity risk management process</t>
  </si>
  <si>
    <t xml:space="preserve">Risk Management</t>
  </si>
  <si>
    <t xml:space="preserve">1-3 Compliance</t>
  </si>
  <si>
    <t xml:space="preserve">ECC-1-3-1</t>
  </si>
  <si>
    <t xml:space="preserve">Regulatory Compliance</t>
  </si>
  <si>
    <t xml:space="preserve">Ensure compliance with NCA, SAMA, NDMO regulations</t>
  </si>
  <si>
    <t xml:space="preserve">Compliance Management</t>
  </si>
  <si>
    <t xml:space="preserve">1-4 Cybersecurity Awareness</t>
  </si>
  <si>
    <t xml:space="preserve">ECC-1-4-1</t>
  </si>
  <si>
    <t xml:space="preserve">Security Awareness Training</t>
  </si>
  <si>
    <t xml:space="preserve">Implement security awareness and training program</t>
  </si>
  <si>
    <t xml:space="preserve">Security Awareness</t>
  </si>
  <si>
    <t xml:space="preserve">Security Awareness Platform</t>
  </si>
  <si>
    <t xml:space="preserve">Proofpoint</t>
  </si>
  <si>
    <t xml:space="preserve">Phase 2</t>
  </si>
  <si>
    <t xml:space="preserve">2. Cybersecurity Defense</t>
  </si>
  <si>
    <t xml:space="preserve">2-1 Asset Management</t>
  </si>
  <si>
    <t xml:space="preserve">ECC-2-1-1</t>
  </si>
  <si>
    <t xml:space="preserve">Asset Inventory</t>
  </si>
  <si>
    <t xml:space="preserve">Maintain comprehensive inventory of all IT and OT assets</t>
  </si>
  <si>
    <t xml:space="preserve">Asset Management</t>
  </si>
  <si>
    <t xml:space="preserve">CMDB / Asset Discovery</t>
  </si>
  <si>
    <t xml:space="preserve">Fortinet FortiNAC</t>
  </si>
  <si>
    <t xml:space="preserve">2-2 Identity &amp; Access Management</t>
  </si>
  <si>
    <t xml:space="preserve">ECC-2-2-1</t>
  </si>
  <si>
    <t xml:space="preserve">Identity Management</t>
  </si>
  <si>
    <t xml:space="preserve">Implement centralized identity management system</t>
  </si>
  <si>
    <t xml:space="preserve">IAM</t>
  </si>
  <si>
    <t xml:space="preserve">Identity Governance</t>
  </si>
  <si>
    <t xml:space="preserve">Fortinet FortiAuthenticator</t>
  </si>
  <si>
    <t xml:space="preserve">802.1X / RADIUS</t>
  </si>
  <si>
    <t xml:space="preserve">ECC-2-2-2</t>
  </si>
  <si>
    <t xml:space="preserve">Privileged Access Management</t>
  </si>
  <si>
    <t xml:space="preserve">Implement PAM solution for privileged accounts</t>
  </si>
  <si>
    <t xml:space="preserve">PAM</t>
  </si>
  <si>
    <t xml:space="preserve">PAM Solution</t>
  </si>
  <si>
    <t xml:space="preserve">Fortinet FortiPAM</t>
  </si>
  <si>
    <t xml:space="preserve">Zero Trust aligned</t>
  </si>
  <si>
    <t xml:space="preserve">ECC-2-2-3</t>
  </si>
  <si>
    <t xml:space="preserve">Multi-Factor Authentication</t>
  </si>
  <si>
    <t xml:space="preserve">Enforce MFA for all critical systems</t>
  </si>
  <si>
    <t xml:space="preserve">MFA</t>
  </si>
  <si>
    <t xml:space="preserve">MFA Tokens</t>
  </si>
  <si>
    <t xml:space="preserve">Fortinet FortiToken</t>
  </si>
  <si>
    <t xml:space="preserve">2-3 Information System Protection</t>
  </si>
  <si>
    <t xml:space="preserve">ECC-2-3-1</t>
  </si>
  <si>
    <t xml:space="preserve">Network Security</t>
  </si>
  <si>
    <t xml:space="preserve">Implement network security controls including NGFW</t>
  </si>
  <si>
    <t xml:space="preserve">NGFW</t>
  </si>
  <si>
    <t xml:space="preserve">Next-Gen Firewall</t>
  </si>
  <si>
    <t xml:space="preserve">Fortinet FortiGate</t>
  </si>
  <si>
    <t xml:space="preserve">Defense in Depth</t>
  </si>
  <si>
    <t xml:space="preserve">ECC-2-3-2</t>
  </si>
  <si>
    <t xml:space="preserve">Network Segmentation</t>
  </si>
  <si>
    <t xml:space="preserve">Implement network segmentation and micro-segmentation</t>
  </si>
  <si>
    <t xml:space="preserve">Segmentation</t>
  </si>
  <si>
    <t xml:space="preserve">NGFW + Switch Segmentation</t>
  </si>
  <si>
    <t xml:space="preserve">Fortinet FortiGate/FortiSwitch</t>
  </si>
  <si>
    <t xml:space="preserve">VRF/VLAN based</t>
  </si>
  <si>
    <t xml:space="preserve">ECC-2-3-3</t>
  </si>
  <si>
    <t xml:space="preserve">Intrusion Prevention</t>
  </si>
  <si>
    <t xml:space="preserve">Deploy IPS for network threat detection</t>
  </si>
  <si>
    <t xml:space="preserve">IPS</t>
  </si>
  <si>
    <t xml:space="preserve">Inline IPS</t>
  </si>
  <si>
    <t xml:space="preserve">Fortinet FortiGate IPS</t>
  </si>
  <si>
    <t xml:space="preserve">ECC-2-3-4</t>
  </si>
  <si>
    <t xml:space="preserve">Web Application Firewall</t>
  </si>
  <si>
    <t xml:space="preserve">Deploy WAF for web application protection</t>
  </si>
  <si>
    <t xml:space="preserve">WAF</t>
  </si>
  <si>
    <t xml:space="preserve">WAF Appliance</t>
  </si>
  <si>
    <t xml:space="preserve">Fortinet FortiWeb</t>
  </si>
  <si>
    <t xml:space="preserve">ECC-2-3-5</t>
  </si>
  <si>
    <t xml:space="preserve">Email Security</t>
  </si>
  <si>
    <t xml:space="preserve">Implement email security gateway</t>
  </si>
  <si>
    <t xml:space="preserve">Email Security Gateway</t>
  </si>
  <si>
    <t xml:space="preserve">Fortinet FortiMail</t>
  </si>
  <si>
    <t xml:space="preserve">ECC-2-3-6</t>
  </si>
  <si>
    <t xml:space="preserve">Endpoint Security</t>
  </si>
  <si>
    <t xml:space="preserve">Deploy endpoint detection and response</t>
  </si>
  <si>
    <t xml:space="preserve">EDR</t>
  </si>
  <si>
    <t xml:space="preserve">EDR/XDR Solution</t>
  </si>
  <si>
    <t xml:space="preserve">Fortinet FortiEDR</t>
  </si>
  <si>
    <t xml:space="preserve">Air-gap compatible</t>
  </si>
  <si>
    <t xml:space="preserve">ECC-2-3-7</t>
  </si>
  <si>
    <t xml:space="preserve">Data Loss Prevention</t>
  </si>
  <si>
    <t xml:space="preserve">Implement DLP for data at rest, in motion, in use</t>
  </si>
  <si>
    <t xml:space="preserve">DLP</t>
  </si>
  <si>
    <t xml:space="preserve">DLP Solution</t>
  </si>
  <si>
    <t xml:space="preserve">Fortinet FortiDLP</t>
  </si>
  <si>
    <t xml:space="preserve">ECC-2-3-8</t>
  </si>
  <si>
    <t xml:space="preserve">Sandbox / APT Protection</t>
  </si>
  <si>
    <t xml:space="preserve">Deploy sandboxing for advanced threat protection</t>
  </si>
  <si>
    <t xml:space="preserve">P2</t>
  </si>
  <si>
    <t xml:space="preserve">Sandbox</t>
  </si>
  <si>
    <t xml:space="preserve">Sandbox Appliance</t>
  </si>
  <si>
    <t xml:space="preserve">Fortinet FortiSandbox</t>
  </si>
  <si>
    <t xml:space="preserve">ECC-2-3-9</t>
  </si>
  <si>
    <t xml:space="preserve">Network Access Control</t>
  </si>
  <si>
    <t xml:space="preserve">Implement 802.1X NAC for all network ports</t>
  </si>
  <si>
    <t xml:space="preserve">NAC</t>
  </si>
  <si>
    <t xml:space="preserve">NAC Solution</t>
  </si>
  <si>
    <t xml:space="preserve">Zero Trust</t>
  </si>
  <si>
    <t xml:space="preserve">ECC-2-3-10</t>
  </si>
  <si>
    <t xml:space="preserve">Wireless Security</t>
  </si>
  <si>
    <t xml:space="preserve">Secure wireless access with WPA3 and WIPS</t>
  </si>
  <si>
    <t xml:space="preserve">Wireless</t>
  </si>
  <si>
    <t xml:space="preserve">Enterprise Wireless</t>
  </si>
  <si>
    <t xml:space="preserve">Fortinet FortiAP</t>
  </si>
  <si>
    <t xml:space="preserve">ECC-2-3-11</t>
  </si>
  <si>
    <t xml:space="preserve">Secure Remote Access</t>
  </si>
  <si>
    <t xml:space="preserve">Implement ZTNA/VPN for secure remote access</t>
  </si>
  <si>
    <t xml:space="preserve">SASE/ZTNA</t>
  </si>
  <si>
    <t xml:space="preserve">SASE Platform</t>
  </si>
  <si>
    <t xml:space="preserve">Fortinet FortiSASE</t>
  </si>
  <si>
    <t xml:space="preserve">ECC-2-3-12</t>
  </si>
  <si>
    <t xml:space="preserve">Air-Gap Media Security</t>
  </si>
  <si>
    <t xml:space="preserve">Deploy secure file transfer for air-gapped environments</t>
  </si>
  <si>
    <t xml:space="preserve">Media Security</t>
  </si>
  <si>
    <t xml:space="preserve">Kiosk / Media Scanning</t>
  </si>
  <si>
    <t xml:space="preserve">OPSWAT MetaDefender</t>
  </si>
  <si>
    <t xml:space="preserve">Mandatory for air-gap</t>
  </si>
  <si>
    <t xml:space="preserve">2-4 Encryption</t>
  </si>
  <si>
    <t xml:space="preserve">ECC-2-4-1</t>
  </si>
  <si>
    <t xml:space="preserve">Data Encryption</t>
  </si>
  <si>
    <t xml:space="preserve">Implement encryption for data at rest and in transit</t>
  </si>
  <si>
    <t xml:space="preserve">Encryption</t>
  </si>
  <si>
    <t xml:space="preserve">HSM / Encryption</t>
  </si>
  <si>
    <t xml:space="preserve">Thales</t>
  </si>
  <si>
    <t xml:space="preserve">3. Cybersecurity Resilience</t>
  </si>
  <si>
    <t xml:space="preserve">3-1 BC &amp; DR</t>
  </si>
  <si>
    <t xml:space="preserve">ECC-3-1-1</t>
  </si>
  <si>
    <t xml:space="preserve">Business Continuity</t>
  </si>
  <si>
    <t xml:space="preserve">Develop and test BCP/DR plans</t>
  </si>
  <si>
    <t xml:space="preserve">BC/DR</t>
  </si>
  <si>
    <t xml:space="preserve">BC/DR Platform</t>
  </si>
  <si>
    <t xml:space="preserve">N/A</t>
  </si>
  <si>
    <t xml:space="preserve">Phase 3</t>
  </si>
  <si>
    <t xml:space="preserve">3-2 Incident Response</t>
  </si>
  <si>
    <t xml:space="preserve">ECC-3-2-1</t>
  </si>
  <si>
    <t xml:space="preserve">Incident Response Plan</t>
  </si>
  <si>
    <t xml:space="preserve">Establish incident response procedures</t>
  </si>
  <si>
    <t xml:space="preserve">SOAR</t>
  </si>
  <si>
    <t xml:space="preserve">SOAR Platform</t>
  </si>
  <si>
    <t xml:space="preserve">Fortinet FortiSOAR</t>
  </si>
  <si>
    <t xml:space="preserve">3-3 Threat Management</t>
  </si>
  <si>
    <t xml:space="preserve">ECC-3-3-1</t>
  </si>
  <si>
    <t xml:space="preserve">Threat Intelligence</t>
  </si>
  <si>
    <t xml:space="preserve">Implement threat intelligence feeds and analysis</t>
  </si>
  <si>
    <t xml:space="preserve">Threat Intel</t>
  </si>
  <si>
    <t xml:space="preserve">Threat Intel Platform</t>
  </si>
  <si>
    <t xml:space="preserve">Recorded Future</t>
  </si>
  <si>
    <t xml:space="preserve">4. Third Party Security</t>
  </si>
  <si>
    <t xml:space="preserve">4-1 Vendor Risk</t>
  </si>
  <si>
    <t xml:space="preserve">ECC-4-1-1</t>
  </si>
  <si>
    <t xml:space="preserve">Third Party Risk Management</t>
  </si>
  <si>
    <t xml:space="preserve">Assess and manage third-party cybersecurity risks</t>
  </si>
  <si>
    <t xml:space="preserve">TPRM Module</t>
  </si>
  <si>
    <t xml:space="preserve">5. ICS/OT Security</t>
  </si>
  <si>
    <t xml:space="preserve">5-1 OT Protection</t>
  </si>
  <si>
    <t xml:space="preserve">ECC-5-1-1</t>
  </si>
  <si>
    <t xml:space="preserve">OT Network Security</t>
  </si>
  <si>
    <t xml:space="preserve">Implement OT/ICS specific security controls</t>
  </si>
  <si>
    <t xml:space="preserve">OT Security</t>
  </si>
  <si>
    <t xml:space="preserve">OT NDR/IDS</t>
  </si>
  <si>
    <t xml:space="preserve">Nozomi Networks</t>
  </si>
  <si>
    <t xml:space="preserve">Purdue Model</t>
  </si>
  <si>
    <t xml:space="preserve">ECC-5-1-2</t>
  </si>
  <si>
    <t xml:space="preserve">IT/OT Segregation</t>
  </si>
  <si>
    <t xml:space="preserve">Enforce strict IT/OT network segregation</t>
  </si>
  <si>
    <t xml:space="preserve">NGFW IT/OT Boundary</t>
  </si>
  <si>
    <t xml:space="preserve">DMZ between IT/OT</t>
  </si>
  <si>
    <t xml:space="preserve">NCA CSCC</t>
  </si>
  <si>
    <t xml:space="preserve">1-1 Strategy</t>
  </si>
  <si>
    <t xml:space="preserve">CSCC-1-1</t>
  </si>
  <si>
    <t xml:space="preserve">Cloud Security Strategy</t>
  </si>
  <si>
    <t xml:space="preserve">Define cloud security strategy and governance</t>
  </si>
  <si>
    <t xml:space="preserve">Cloud Security</t>
  </si>
  <si>
    <t xml:space="preserve">CASB/CSPM</t>
  </si>
  <si>
    <t xml:space="preserve">Netskope</t>
  </si>
  <si>
    <t xml:space="preserve">2. Cloud Protection</t>
  </si>
  <si>
    <t xml:space="preserve">2-1 Cloud IAM</t>
  </si>
  <si>
    <t xml:space="preserve">CSCC-2-1</t>
  </si>
  <si>
    <t xml:space="preserve">Cloud Identity Management</t>
  </si>
  <si>
    <t xml:space="preserve">Implement cloud-native IAM with MFA</t>
  </si>
  <si>
    <t xml:space="preserve">Cloud IAM</t>
  </si>
  <si>
    <t xml:space="preserve">Cloud IAM/SSO</t>
  </si>
  <si>
    <t xml:space="preserve">2-2 Data Protection</t>
  </si>
  <si>
    <t xml:space="preserve">CSCC-2-2</t>
  </si>
  <si>
    <t xml:space="preserve">Cloud Data Classification</t>
  </si>
  <si>
    <t xml:space="preserve">Classify and protect cloud data</t>
  </si>
  <si>
    <t xml:space="preserve">Data Classification</t>
  </si>
  <si>
    <t xml:space="preserve">DLP/Classification</t>
  </si>
  <si>
    <t xml:space="preserve">Forcepoint</t>
  </si>
  <si>
    <t xml:space="preserve">2-3 Network Security</t>
  </si>
  <si>
    <t xml:space="preserve">CSCC-2-3</t>
  </si>
  <si>
    <t xml:space="preserve">Cloud Network Security</t>
  </si>
  <si>
    <t xml:space="preserve">Implement cloud network security controls</t>
  </si>
  <si>
    <t xml:space="preserve">Cloud Firewall</t>
  </si>
  <si>
    <t xml:space="preserve">Cloud NGFW</t>
  </si>
  <si>
    <t xml:space="preserve">Fortinet FortiGate-VM</t>
  </si>
  <si>
    <t xml:space="preserve">3. Cloud Monitoring</t>
  </si>
  <si>
    <t xml:space="preserve">3-1 Logging</t>
  </si>
  <si>
    <t xml:space="preserve">CSCC-3-1</t>
  </si>
  <si>
    <t xml:space="preserve">Cloud Logging &amp; Monitoring</t>
  </si>
  <si>
    <t xml:space="preserve">Centralize cloud security event logging</t>
  </si>
  <si>
    <t xml:space="preserve">SIEM</t>
  </si>
  <si>
    <t xml:space="preserve">Cloud SIEM Integration</t>
  </si>
  <si>
    <t xml:space="preserve">Fortinet FortiSIEM</t>
  </si>
  <si>
    <t xml:space="preserve">ISO 27001</t>
  </si>
  <si>
    <t xml:space="preserve">A.5 Information Security Policies</t>
  </si>
  <si>
    <t xml:space="preserve">A.5.1</t>
  </si>
  <si>
    <t xml:space="preserve">ISO-A.5.1</t>
  </si>
  <si>
    <t xml:space="preserve">Information Security Policy</t>
  </si>
  <si>
    <t xml:space="preserve">Management direction for information security</t>
  </si>
  <si>
    <t xml:space="preserve">Policy Framework</t>
  </si>
  <si>
    <t xml:space="preserve">A.6 Organization of IS</t>
  </si>
  <si>
    <t xml:space="preserve">A.6.1</t>
  </si>
  <si>
    <t xml:space="preserve">ISO-A.6.1</t>
  </si>
  <si>
    <t xml:space="preserve">Internal Organization</t>
  </si>
  <si>
    <t xml:space="preserve">Roles and responsibilities for IS</t>
  </si>
  <si>
    <t xml:space="preserve">A.7 Human Resource Security</t>
  </si>
  <si>
    <t xml:space="preserve">A.7.2</t>
  </si>
  <si>
    <t xml:space="preserve">ISO-A.7.2</t>
  </si>
  <si>
    <t xml:space="preserve">During Employment</t>
  </si>
  <si>
    <t xml:space="preserve">Security awareness and training</t>
  </si>
  <si>
    <t xml:space="preserve">Training Platform</t>
  </si>
  <si>
    <t xml:space="preserve">KnowBe4</t>
  </si>
  <si>
    <t xml:space="preserve">A.8 Asset Management</t>
  </si>
  <si>
    <t xml:space="preserve">A.8.1</t>
  </si>
  <si>
    <t xml:space="preserve">ISO-A.8.1</t>
  </si>
  <si>
    <t xml:space="preserve">Responsibility for Assets</t>
  </si>
  <si>
    <t xml:space="preserve">Asset inventory and classification</t>
  </si>
  <si>
    <t xml:space="preserve">Asset Discovery</t>
  </si>
  <si>
    <t xml:space="preserve">A.9 Access Control</t>
  </si>
  <si>
    <t xml:space="preserve">A.9.1</t>
  </si>
  <si>
    <t xml:space="preserve">ISO-A.9.1</t>
  </si>
  <si>
    <t xml:space="preserve">Business Requirements of AC</t>
  </si>
  <si>
    <t xml:space="preserve">Access control policy</t>
  </si>
  <si>
    <t xml:space="preserve">IAM/PAM</t>
  </si>
  <si>
    <t xml:space="preserve">A.9.4</t>
  </si>
  <si>
    <t xml:space="preserve">ISO-A.9.4</t>
  </si>
  <si>
    <t xml:space="preserve">System and Application AC</t>
  </si>
  <si>
    <t xml:space="preserve">MFA and strong authentication</t>
  </si>
  <si>
    <t xml:space="preserve">Multi-Factor Auth</t>
  </si>
  <si>
    <t xml:space="preserve">A.10 Cryptography</t>
  </si>
  <si>
    <t xml:space="preserve">A.10.1</t>
  </si>
  <si>
    <t xml:space="preserve">ISO-A.10.1</t>
  </si>
  <si>
    <t xml:space="preserve">Cryptographic Controls</t>
  </si>
  <si>
    <t xml:space="preserve">Encryption policy and implementation</t>
  </si>
  <si>
    <t xml:space="preserve">HSM/Encryption</t>
  </si>
  <si>
    <t xml:space="preserve">A.12 Operations Security</t>
  </si>
  <si>
    <t xml:space="preserve">A.12.4</t>
  </si>
  <si>
    <t xml:space="preserve">ISO-A.12.4</t>
  </si>
  <si>
    <t xml:space="preserve">Logging and Monitoring</t>
  </si>
  <si>
    <t xml:space="preserve">Event logging and monitoring</t>
  </si>
  <si>
    <t xml:space="preserve">SIEM/Log Management</t>
  </si>
  <si>
    <t xml:space="preserve">A.12.6</t>
  </si>
  <si>
    <t xml:space="preserve">ISO-A.12.6</t>
  </si>
  <si>
    <t xml:space="preserve">Technical Vulnerability Mgmt</t>
  </si>
  <si>
    <t xml:space="preserve">Vulnerability scanning and management</t>
  </si>
  <si>
    <t xml:space="preserve">Vulnerability Mgmt</t>
  </si>
  <si>
    <t xml:space="preserve">VA Scanner</t>
  </si>
  <si>
    <t xml:space="preserve">Qualys</t>
  </si>
  <si>
    <t xml:space="preserve">A.13 Communications Security</t>
  </si>
  <si>
    <t xml:space="preserve">A.13.1</t>
  </si>
  <si>
    <t xml:space="preserve">ISO-A.13.1</t>
  </si>
  <si>
    <t xml:space="preserve">Network Security Management</t>
  </si>
  <si>
    <t xml:space="preserve">Network segmentation and controls</t>
  </si>
  <si>
    <t xml:space="preserve">NGFW/Segmentation</t>
  </si>
  <si>
    <t xml:space="preserve">A.14 System Acquisition</t>
  </si>
  <si>
    <t xml:space="preserve">A.14.2</t>
  </si>
  <si>
    <t xml:space="preserve">ISO-A.14.2</t>
  </si>
  <si>
    <t xml:space="preserve">Security in Development</t>
  </si>
  <si>
    <t xml:space="preserve">Secure SDLC and code review</t>
  </si>
  <si>
    <t xml:space="preserve">Medium</t>
  </si>
  <si>
    <t xml:space="preserve">P3</t>
  </si>
  <si>
    <t xml:space="preserve">AppSec</t>
  </si>
  <si>
    <t xml:space="preserve">SAST/DAST</t>
  </si>
  <si>
    <t xml:space="preserve">Black Duck</t>
  </si>
  <si>
    <t xml:space="preserve">A.16 IS Incident Management</t>
  </si>
  <si>
    <t xml:space="preserve">A.16.1</t>
  </si>
  <si>
    <t xml:space="preserve">ISO-A.16.1</t>
  </si>
  <si>
    <t xml:space="preserve">Incident Management</t>
  </si>
  <si>
    <t xml:space="preserve">Incident response procedures</t>
  </si>
  <si>
    <t xml:space="preserve">Incident Response</t>
  </si>
  <si>
    <t xml:space="preserve">A.17 Business Continuity</t>
  </si>
  <si>
    <t xml:space="preserve">A.17.1</t>
  </si>
  <si>
    <t xml:space="preserve">ISO-A.17.1</t>
  </si>
  <si>
    <t xml:space="preserve">IS Continuity</t>
  </si>
  <si>
    <t xml:space="preserve">Business continuity planning</t>
  </si>
  <si>
    <t xml:space="preserve">A.18 Compliance</t>
  </si>
  <si>
    <t xml:space="preserve">A.18.1</t>
  </si>
  <si>
    <t xml:space="preserve">ISO-A.18.1</t>
  </si>
  <si>
    <t xml:space="preserve">Compliance with Legal Reqs</t>
  </si>
  <si>
    <t xml:space="preserve">Regulatory compliance management</t>
  </si>
  <si>
    <t xml:space="preserve">Compliance Platform</t>
  </si>
  <si>
    <t xml:space="preserve">NDMO</t>
  </si>
  <si>
    <t xml:space="preserve">Data Governance</t>
  </si>
  <si>
    <t xml:space="preserve">DG-1</t>
  </si>
  <si>
    <t xml:space="preserve">NDMO-DG-1</t>
  </si>
  <si>
    <t xml:space="preserve">Classify organizational data per NDMO framework</t>
  </si>
  <si>
    <t xml:space="preserve">DG-2</t>
  </si>
  <si>
    <t xml:space="preserve">NDMO-DG-2</t>
  </si>
  <si>
    <t xml:space="preserve">Data Protection</t>
  </si>
  <si>
    <t xml:space="preserve">Implement data protection controls</t>
  </si>
  <si>
    <t xml:space="preserve">DG-3</t>
  </si>
  <si>
    <t xml:space="preserve">NDMO-DG-3</t>
  </si>
  <si>
    <t xml:space="preserve">Data Sharing</t>
  </si>
  <si>
    <t xml:space="preserve">Control data sharing with third parties</t>
  </si>
  <si>
    <t xml:space="preserve">DRM</t>
  </si>
  <si>
    <t xml:space="preserve">Digital Rights Mgmt</t>
  </si>
  <si>
    <t xml:space="preserve">Seclore</t>
  </si>
  <si>
    <t xml:space="preserve">Data Privacy</t>
  </si>
  <si>
    <t xml:space="preserve">DP-1</t>
  </si>
  <si>
    <t xml:space="preserve">NDMO-DP-1</t>
  </si>
  <si>
    <t xml:space="preserve">Privacy Controls</t>
  </si>
  <si>
    <t xml:space="preserve">Implement privacy controls per PDPL</t>
  </si>
  <si>
    <t xml:space="preserve">Privacy</t>
  </si>
  <si>
    <t xml:space="preserve">Privacy Platform</t>
  </si>
  <si>
    <t xml:space="preserve">Data Quality</t>
  </si>
  <si>
    <t xml:space="preserve">DQ-1</t>
  </si>
  <si>
    <t xml:space="preserve">NDMO-DQ-1</t>
  </si>
  <si>
    <t xml:space="preserve">Data Quality Management</t>
  </si>
  <si>
    <t xml:space="preserve">Ensure data quality and integrity</t>
  </si>
  <si>
    <t xml:space="preserve">Data Governance Tool</t>
  </si>
  <si>
    <t xml:space="preserve">TECHNOLOGY MAPPING &amp; VENDOR SELECTION MATRIX</t>
  </si>
  <si>
    <t xml:space="preserve">Control Description</t>
  </si>
  <si>
    <t xml:space="preserve">Technology</t>
  </si>
  <si>
    <t xml:space="preserve">Strategic Vendor</t>
  </si>
  <si>
    <t xml:space="preserve">Non-Strategic Vendor</t>
  </si>
  <si>
    <t xml:space="preserve">Product Name</t>
  </si>
  <si>
    <t xml:space="preserve">Part Number</t>
  </si>
  <si>
    <t xml:space="preserve">Qty</t>
  </si>
  <si>
    <t xml:space="preserve">Unit Price (USD)</t>
  </si>
  <si>
    <t xml:space="preserve">Total Price (USD)</t>
  </si>
  <si>
    <t xml:space="preserve">Sizing Notes</t>
  </si>
  <si>
    <t xml:space="preserve">HA Required</t>
  </si>
  <si>
    <t xml:space="preserve">Air-Gapped Compatible</t>
  </si>
  <si>
    <t xml:space="preserve">Zero Trust Compatible</t>
  </si>
  <si>
    <t xml:space="preserve">Network Perimeter Security - NGFW</t>
  </si>
  <si>
    <t xml:space="preserve">Next-Generation Firewall (Core/DC)</t>
  </si>
  <si>
    <t xml:space="preserve">Fortinet</t>
  </si>
  <si>
    <t xml:space="preserve">FortiGate-1800F HW+3Y UTP Bundle</t>
  </si>
  <si>
    <t xml:space="preserve">FG-1800F-BDL-950-36</t>
  </si>
  <si>
    <t xml:space="preserve">DC Core Firewall, HA Pair</t>
  </si>
  <si>
    <t xml:space="preserve">Yes</t>
  </si>
  <si>
    <t xml:space="preserve">Enterprise Protection Bundle</t>
  </si>
  <si>
    <t xml:space="preserve">Next-Generation Firewall (Internet Edge)</t>
  </si>
  <si>
    <t xml:space="preserve">FortiGate-900G HW+3Y UTP Bundle</t>
  </si>
  <si>
    <t xml:space="preserve">FG-900G-BDL-950-36</t>
  </si>
  <si>
    <t xml:space="preserve">Internet Edge HA Pair</t>
  </si>
  <si>
    <t xml:space="preserve">No</t>
  </si>
  <si>
    <t xml:space="preserve">Next-Generation Firewall (Distribution)</t>
  </si>
  <si>
    <t xml:space="preserve">FortiGate-400F HW+3Y UTP Bundle</t>
  </si>
  <si>
    <t xml:space="preserve">FG-400F-BDL-950-36</t>
  </si>
  <si>
    <t xml:space="preserve">Campus Distribution, 2 per site</t>
  </si>
  <si>
    <t xml:space="preserve">East-West inspection</t>
  </si>
  <si>
    <t xml:space="preserve">Branch Firewall</t>
  </si>
  <si>
    <t xml:space="preserve">FortiGate-120G HW+3Y UTP Bundle</t>
  </si>
  <si>
    <t xml:space="preserve">FG-120G-BDL-950-36</t>
  </si>
  <si>
    <t xml:space="preserve">Branch offices</t>
  </si>
  <si>
    <t xml:space="preserve">SD-WAN capable</t>
  </si>
  <si>
    <t xml:space="preserve">Network Infrastructure</t>
  </si>
  <si>
    <t xml:space="preserve">Access Layer Switch (48-port PoE+)</t>
  </si>
  <si>
    <t xml:space="preserve">FortiSwitch-248E-FPOE</t>
  </si>
  <si>
    <t xml:space="preserve">FS-248E-FPOE</t>
  </si>
  <si>
    <t xml:space="preserve">Access layer, PoE for AP/phones</t>
  </si>
  <si>
    <t xml:space="preserve">Access Layer Switch (24-port PoE+)</t>
  </si>
  <si>
    <t xml:space="preserve">FortiSwitch-124F-FPOE</t>
  </si>
  <si>
    <t xml:space="preserve">FS-124F-FPOE</t>
  </si>
  <si>
    <t xml:space="preserve">Branch/small IDF</t>
  </si>
  <si>
    <t xml:space="preserve">Distribution/Core Switch (48-port 10G)</t>
  </si>
  <si>
    <t xml:space="preserve">FortiSwitch-1048G</t>
  </si>
  <si>
    <t xml:space="preserve">FS-1048G</t>
  </si>
  <si>
    <t xml:space="preserve">Core aggregation</t>
  </si>
  <si>
    <t xml:space="preserve">Enterprise Access Point (Wi-Fi 6E)</t>
  </si>
  <si>
    <t xml:space="preserve">FortiAP-23JF-A</t>
  </si>
  <si>
    <t xml:space="preserve">FAP-23JF-A</t>
  </si>
  <si>
    <t xml:space="preserve">Indoor AP, 1 per 25 users</t>
  </si>
  <si>
    <t xml:space="preserve">WPA3 Enterprise</t>
  </si>
  <si>
    <t xml:space="preserve">NAC Controller Appliance</t>
  </si>
  <si>
    <t xml:space="preserve">Forescout</t>
  </si>
  <si>
    <t xml:space="preserve">FortiNAC-CA-500F</t>
  </si>
  <si>
    <t xml:space="preserve">FNC-CA-500F</t>
  </si>
  <si>
    <t xml:space="preserve">Up to 15000 endpoints, HA</t>
  </si>
  <si>
    <t xml:space="preserve">802.1X enforcement</t>
  </si>
  <si>
    <t xml:space="preserve">NAC 3Y Support</t>
  </si>
  <si>
    <t xml:space="preserve">FortiNAC-CA-500F 3Y FC Premium</t>
  </si>
  <si>
    <t xml:space="preserve">FC-10-NF500-247-02-36</t>
  </si>
  <si>
    <t xml:space="preserve">Identity &amp; Access Management</t>
  </si>
  <si>
    <t xml:space="preserve">Authentication Server</t>
  </si>
  <si>
    <t xml:space="preserve">One Identity</t>
  </si>
  <si>
    <t xml:space="preserve">FortiAuthenticator Cloud 3Y (500-1999)</t>
  </si>
  <si>
    <t xml:space="preserve">FC3-10-ACCLD-511-02-36</t>
  </si>
  <si>
    <t xml:space="preserve">Per-user 3Y subscription</t>
  </si>
  <si>
    <t xml:space="preserve">RADIUS/LDAP/SAML</t>
  </si>
  <si>
    <t xml:space="preserve">PAM Appliance</t>
  </si>
  <si>
    <t xml:space="preserve">BeyondTrust</t>
  </si>
  <si>
    <t xml:space="preserve">FortiPAM-1000G</t>
  </si>
  <si>
    <t xml:space="preserve">FPA-1000G</t>
  </si>
  <si>
    <t xml:space="preserve">Up to 50 concurrent users, HA</t>
  </si>
  <si>
    <t xml:space="preserve">Session recording</t>
  </si>
  <si>
    <t xml:space="preserve">PAM 3Y AV+DLP</t>
  </si>
  <si>
    <t xml:space="preserve">FortiPAM-1000G 3Y AV+DLP</t>
  </si>
  <si>
    <t xml:space="preserve">FC-10-PA1KG-681-02-36</t>
  </si>
  <si>
    <t xml:space="preserve">MFA Tokens (Software)</t>
  </si>
  <si>
    <t xml:space="preserve">FortiToken Mobile License (100 users)</t>
  </si>
  <si>
    <t xml:space="preserve">FTM-ELIC-100</t>
  </si>
  <si>
    <t xml:space="preserve">400 tokens for initial deployment</t>
  </si>
  <si>
    <t xml:space="preserve">Endpoint Detection &amp; Response</t>
  </si>
  <si>
    <t xml:space="preserve">EDR Solution (On-Prem, 500 endpoints, 3Y)</t>
  </si>
  <si>
    <t xml:space="preserve">CrowdStrike</t>
  </si>
  <si>
    <t xml:space="preserve">FortiEDR D&amp;P&amp;R On-Prem 3Y (500ep)</t>
  </si>
  <si>
    <t xml:space="preserve">FC2-10-FEDR1-352-01-36</t>
  </si>
  <si>
    <t xml:space="preserve">500 endpoints initial</t>
  </si>
  <si>
    <t xml:space="preserve">On-premise deployment</t>
  </si>
  <si>
    <t xml:space="preserve">Endpoint VPN/ZTNA Agent</t>
  </si>
  <si>
    <t xml:space="preserve">Endpoint</t>
  </si>
  <si>
    <t xml:space="preserve">VPN/ZTNA Agent (500 endpoints, 3Y)</t>
  </si>
  <si>
    <t xml:space="preserve">FortiClient VPN/ZTNA 3Y (500ep)</t>
  </si>
  <si>
    <t xml:space="preserve">FC2-10-EMS05-428-01-36</t>
  </si>
  <si>
    <t xml:space="preserve">FortiMail-200F HW+3Y Base Bundle</t>
  </si>
  <si>
    <t xml:space="preserve">FML-200F-BDL-640-36</t>
  </si>
  <si>
    <t xml:space="preserve">HA pair, up to 600 users</t>
  </si>
  <si>
    <t xml:space="preserve">AS/AV/DLP</t>
  </si>
  <si>
    <t xml:space="preserve">FortiWeb-100F HW+3Y Standard</t>
  </si>
  <si>
    <t xml:space="preserve">FWB-100F-BDL-934-12</t>
  </si>
  <si>
    <t xml:space="preserve">HA pair (1Y bundle, extend)</t>
  </si>
  <si>
    <t xml:space="preserve">OWASP Top 10</t>
  </si>
  <si>
    <t xml:space="preserve">FortiSandbox-500G</t>
  </si>
  <si>
    <t xml:space="preserve">FSA-500G</t>
  </si>
  <si>
    <t xml:space="preserve">SMB appliance for initial</t>
  </si>
  <si>
    <t xml:space="preserve">Air-gap capable</t>
  </si>
  <si>
    <t xml:space="preserve">DLP Solution (500 endpoints, 3Y)</t>
  </si>
  <si>
    <t xml:space="preserve">FortiDLP Core 3Y (500-1999ep)</t>
  </si>
  <si>
    <t xml:space="preserve">FC3-10-DLPEP-1097-02-36</t>
  </si>
  <si>
    <t xml:space="preserve">Per endpoint, 3Y</t>
  </si>
  <si>
    <t xml:space="preserve">Security Monitoring - SIEM</t>
  </si>
  <si>
    <t xml:space="preserve">SIEM All-in-One Appliance</t>
  </si>
  <si>
    <t xml:space="preserve">FortiSIEM-2200G</t>
  </si>
  <si>
    <t xml:space="preserve">FSM-2200G</t>
  </si>
  <si>
    <t xml:space="preserve">All-in-one appliance</t>
  </si>
  <si>
    <t xml:space="preserve">SIEM Collector</t>
  </si>
  <si>
    <t xml:space="preserve">FortiSIEM-500G Collector</t>
  </si>
  <si>
    <t xml:space="preserve">FSM-500G</t>
  </si>
  <si>
    <t xml:space="preserve">Remote log collection</t>
  </si>
  <si>
    <t xml:space="preserve">Security Orchestration</t>
  </si>
  <si>
    <t xml:space="preserve">SOAR Platform (Cloud, 3Y)</t>
  </si>
  <si>
    <t xml:space="preserve">FortiSOAR Cloud Enterprise 3Y</t>
  </si>
  <si>
    <t xml:space="preserve">FC-10-SRCLD-385-02-36</t>
  </si>
  <si>
    <t xml:space="preserve">Enterprise Edition</t>
  </si>
  <si>
    <t xml:space="preserve">Playbook automation</t>
  </si>
  <si>
    <t xml:space="preserve">Network Detection &amp; Response</t>
  </si>
  <si>
    <t xml:space="preserve">NDR</t>
  </si>
  <si>
    <t xml:space="preserve">NDR Appliance</t>
  </si>
  <si>
    <t xml:space="preserve">Vectra</t>
  </si>
  <si>
    <t xml:space="preserve">FortiNDR-1000F HW+3Y Bundle</t>
  </si>
  <si>
    <t xml:space="preserve">FNR-1000F-BDL-331-36</t>
  </si>
  <si>
    <t xml:space="preserve">AI-based detection</t>
  </si>
  <si>
    <t xml:space="preserve">Secure Media Kiosk</t>
  </si>
  <si>
    <t xml:space="preserve">OPSWAT</t>
  </si>
  <si>
    <t xml:space="preserve">MetaDefender Kiosk</t>
  </si>
  <si>
    <t xml:space="preserve">MDF-KIOSK</t>
  </si>
  <si>
    <t xml:space="preserve">Pricing TBD, contact OPSWAT</t>
  </si>
  <si>
    <t xml:space="preserve">USB/media scanning</t>
  </si>
  <si>
    <t xml:space="preserve">Centralized Logging</t>
  </si>
  <si>
    <t xml:space="preserve">Log Management</t>
  </si>
  <si>
    <t xml:space="preserve">Log Analyzer Appliance</t>
  </si>
  <si>
    <t xml:space="preserve">FortiAnalyzer-300G HW+3Y Enterprise</t>
  </si>
  <si>
    <t xml:space="preserve">FAZ-300G-BDL-1263-36</t>
  </si>
  <si>
    <t xml:space="preserve">Centralized logging</t>
  </si>
  <si>
    <t xml:space="preserve">Check pricing</t>
  </si>
  <si>
    <t xml:space="preserve">Centralized Management</t>
  </si>
  <si>
    <t xml:space="preserve">Management</t>
  </si>
  <si>
    <t xml:space="preserve">Centralized FW Management</t>
  </si>
  <si>
    <t xml:space="preserve">FortiManager-200G</t>
  </si>
  <si>
    <t xml:space="preserve">FMG-200G</t>
  </si>
  <si>
    <t xml:space="preserve">Manages up to 30 devices</t>
  </si>
  <si>
    <t xml:space="preserve">Secure Access Service Edge</t>
  </si>
  <si>
    <t xml:space="preserve">SASE</t>
  </si>
  <si>
    <t xml:space="preserve">SASE User License (500 users, 3Y)</t>
  </si>
  <si>
    <t xml:space="preserve">Zscaler</t>
  </si>
  <si>
    <t xml:space="preserve">FortiSASE Standard 3Y (500-1999)</t>
  </si>
  <si>
    <t xml:space="preserve">FC3-10-EMS05-547-02-36</t>
  </si>
  <si>
    <t xml:space="preserve">Per user, 3Y</t>
  </si>
  <si>
    <t xml:space="preserve">ZTNA+SWG+CASB</t>
  </si>
  <si>
    <t xml:space="preserve">Encryption &amp; Key Management</t>
  </si>
  <si>
    <t xml:space="preserve">HSM Appliance</t>
  </si>
  <si>
    <t xml:space="preserve">Entrust</t>
  </si>
  <si>
    <t xml:space="preserve">Thales Luna Network HSM</t>
  </si>
  <si>
    <t xml:space="preserve">LUNA-HSM</t>
  </si>
  <si>
    <t xml:space="preserve">Pricing TBD</t>
  </si>
  <si>
    <t xml:space="preserve">FIPS 140-2 L3</t>
  </si>
  <si>
    <t xml:space="preserve">OT/ICS Security</t>
  </si>
  <si>
    <t xml:space="preserve">OT Network Monitor</t>
  </si>
  <si>
    <t xml:space="preserve">Nozomi</t>
  </si>
  <si>
    <t xml:space="preserve">Dragos</t>
  </si>
  <si>
    <t xml:space="preserve">Nozomi Guardian</t>
  </si>
  <si>
    <t xml:space="preserve">NOZOMI-GUARD</t>
  </si>
  <si>
    <t xml:space="preserve">Purdue Model L3.5</t>
  </si>
  <si>
    <t xml:space="preserve">Vulnerability Management</t>
  </si>
  <si>
    <t xml:space="preserve">Tenable</t>
  </si>
  <si>
    <t xml:space="preserve">Qualys VMDR</t>
  </si>
  <si>
    <t xml:space="preserve">QUALYS-VMDR</t>
  </si>
  <si>
    <t xml:space="preserve">SaaS, pricing TBD</t>
  </si>
  <si>
    <t xml:space="preserve">Proofpoint SAT</t>
  </si>
  <si>
    <t xml:space="preserve">PROOFPOINT-SAT</t>
  </si>
  <si>
    <t xml:space="preserve">SaaS, per user</t>
  </si>
  <si>
    <t xml:space="preserve">GRC/Compliance Platform</t>
  </si>
  <si>
    <t xml:space="preserve">Jethur</t>
  </si>
  <si>
    <t xml:space="preserve">CyberArrow GRC</t>
  </si>
  <si>
    <t xml:space="preserve">CYBERARROW-GRC</t>
  </si>
  <si>
    <t xml:space="preserve">NCA ECC/CSCC mapped</t>
  </si>
  <si>
    <t xml:space="preserve">Digital Rights Management</t>
  </si>
  <si>
    <t xml:space="preserve">DRM Solution</t>
  </si>
  <si>
    <t xml:space="preserve">Seclore Rights Mgmt</t>
  </si>
  <si>
    <t xml:space="preserve">SECLORE-DRM</t>
  </si>
  <si>
    <t xml:space="preserve">DDoS Protection</t>
  </si>
  <si>
    <t xml:space="preserve">DDoS</t>
  </si>
  <si>
    <t xml:space="preserve">A10</t>
  </si>
  <si>
    <t xml:space="preserve">Netscout</t>
  </si>
  <si>
    <t xml:space="preserve">A10 Thunder TPS</t>
  </si>
  <si>
    <t xml:space="preserve">A10-TPS</t>
  </si>
  <si>
    <t xml:space="preserve">Application Security Testing</t>
  </si>
  <si>
    <t xml:space="preserve">SAST/DAST Platform</t>
  </si>
  <si>
    <t xml:space="preserve">Veracode</t>
  </si>
  <si>
    <t xml:space="preserve">Black Duck SAST</t>
  </si>
  <si>
    <t xml:space="preserve">BLACKDUCK-SAST</t>
  </si>
  <si>
    <t xml:space="preserve">Network Packet Broker</t>
  </si>
  <si>
    <t xml:space="preserve">NPB</t>
  </si>
  <si>
    <t xml:space="preserve">Network Visibility</t>
  </si>
  <si>
    <t xml:space="preserve">Gigamon</t>
  </si>
  <si>
    <t xml:space="preserve">Gigamon GigaVUE</t>
  </si>
  <si>
    <t xml:space="preserve">GIGAMON-GVUE</t>
  </si>
  <si>
    <t xml:space="preserve">UEM / Device Management</t>
  </si>
  <si>
    <t xml:space="preserve">UEM</t>
  </si>
  <si>
    <t xml:space="preserve">Unified Endpoint Mgmt</t>
  </si>
  <si>
    <t xml:space="preserve">Ivanti</t>
  </si>
  <si>
    <t xml:space="preserve">Ivanti Neurons for UEM</t>
  </si>
  <si>
    <t xml:space="preserve">IVANTI-UEM</t>
  </si>
  <si>
    <t xml:space="preserve">CONSOLIDATED BILL OF MATERIALS (BOM)</t>
  </si>
  <si>
    <t xml:space="preserve">#</t>
  </si>
  <si>
    <t xml:space="preserve">Category</t>
  </si>
  <si>
    <t xml:space="preserve">Product</t>
  </si>
  <si>
    <t xml:space="preserve">Subscription Term</t>
  </si>
  <si>
    <t xml:space="preserve">Support Level</t>
  </si>
  <si>
    <t xml:space="preserve">Deployment Zone</t>
  </si>
  <si>
    <t xml:space="preserve">Notes</t>
  </si>
  <si>
    <t xml:space="preserve">NGFW - DC Core</t>
  </si>
  <si>
    <t xml:space="preserve">FortiGate-1800F HW+3Y UTP</t>
  </si>
  <si>
    <t xml:space="preserve">3 Year</t>
  </si>
  <si>
    <t xml:space="preserve">FortiCare Premium</t>
  </si>
  <si>
    <t xml:space="preserve">Enterprise DC</t>
  </si>
  <si>
    <t xml:space="preserve">HA Pair - DC Core</t>
  </si>
  <si>
    <t xml:space="preserve">NGFW - Internet Edge</t>
  </si>
  <si>
    <t xml:space="preserve">FortiGate-900G HW+3Y UTP</t>
  </si>
  <si>
    <t xml:space="preserve">Internet Edge</t>
  </si>
  <si>
    <t xml:space="preserve">HA Pair</t>
  </si>
  <si>
    <t xml:space="preserve">NGFW - Distribution</t>
  </si>
  <si>
    <t xml:space="preserve">FortiGate-400F HW+3Y UTP</t>
  </si>
  <si>
    <t xml:space="preserve">Campus Distribution</t>
  </si>
  <si>
    <t xml:space="preserve">2 HA pairs</t>
  </si>
  <si>
    <t xml:space="preserve">NGFW - Branch</t>
  </si>
  <si>
    <t xml:space="preserve">FortiGate-120G HW+3Y UTP</t>
  </si>
  <si>
    <t xml:space="preserve">Branch</t>
  </si>
  <si>
    <t xml:space="preserve">Access Switch 48P</t>
  </si>
  <si>
    <t xml:space="preserve">FortiCare</t>
  </si>
  <si>
    <t xml:space="preserve">Access Layer</t>
  </si>
  <si>
    <t xml:space="preserve">48-port PoE+</t>
  </si>
  <si>
    <t xml:space="preserve">Access Switch 24P</t>
  </si>
  <si>
    <t xml:space="preserve">24-port PoE+</t>
  </si>
  <si>
    <t xml:space="preserve">Core Switch</t>
  </si>
  <si>
    <t xml:space="preserve">Core/Distribution</t>
  </si>
  <si>
    <t xml:space="preserve">48x 10G SFP+</t>
  </si>
  <si>
    <t xml:space="preserve">Wireless AP</t>
  </si>
  <si>
    <t xml:space="preserve">Wi-Fi 6E</t>
  </si>
  <si>
    <t xml:space="preserve">NAC Controller</t>
  </si>
  <si>
    <t xml:space="preserve">Security</t>
  </si>
  <si>
    <t xml:space="preserve">NAC Support</t>
  </si>
  <si>
    <t xml:space="preserve">FortiNAC 3Y FC Premium</t>
  </si>
  <si>
    <t xml:space="preserve">IAM - Authentication</t>
  </si>
  <si>
    <t xml:space="preserve">FortiAuthenticator Cloud 3Y</t>
  </si>
  <si>
    <t xml:space="preserve">Per user</t>
  </si>
  <si>
    <t xml:space="preserve">HA Pair, 50 users</t>
  </si>
  <si>
    <t xml:space="preserve">PAM AV+DLP</t>
  </si>
  <si>
    <t xml:space="preserve">FortiToken Mobile (100)</t>
  </si>
  <si>
    <t xml:space="preserve">Perpetual</t>
  </si>
  <si>
    <t xml:space="preserve">400 tokens</t>
  </si>
  <si>
    <t xml:space="preserve">FortiEDR D&amp;P&amp;R 3Y (500ep)</t>
  </si>
  <si>
    <t xml:space="preserve">On-premise</t>
  </si>
  <si>
    <t xml:space="preserve">VPN/ZTNA Client</t>
  </si>
  <si>
    <t xml:space="preserve">FortiMail-200F HW+3Y Base</t>
  </si>
  <si>
    <t xml:space="preserve">FortiWeb-100F HW+1Y Standard</t>
  </si>
  <si>
    <t xml:space="preserve">1 Year</t>
  </si>
  <si>
    <t xml:space="preserve">Per endpoint</t>
  </si>
  <si>
    <t xml:space="preserve">SIEM Appliance</t>
  </si>
  <si>
    <t xml:space="preserve">SOC</t>
  </si>
  <si>
    <t xml:space="preserve">All-in-one</t>
  </si>
  <si>
    <t xml:space="preserve">FortiSIEM-500G</t>
  </si>
  <si>
    <t xml:space="preserve">Remote collection</t>
  </si>
  <si>
    <t xml:space="preserve">FortiNDR-1000F HW+3Y</t>
  </si>
  <si>
    <t xml:space="preserve">AI-based</t>
  </si>
  <si>
    <t xml:space="preserve">Log Analyzer</t>
  </si>
  <si>
    <t xml:space="preserve">FortiAnalyzer-150G HW+3Y</t>
  </si>
  <si>
    <t xml:space="preserve">FAZ-150G-BDL-1263-36</t>
  </si>
  <si>
    <t xml:space="preserve">25GB/day</t>
  </si>
  <si>
    <t xml:space="preserve">Central Management</t>
  </si>
  <si>
    <t xml:space="preserve">30 devices</t>
  </si>
  <si>
    <t xml:space="preserve">FortiSASE Standard 3Y</t>
  </si>
  <si>
    <t xml:space="preserve">Remote Access</t>
  </si>
  <si>
    <t xml:space="preserve">Media Kiosk</t>
  </si>
  <si>
    <t xml:space="preserve">Annual</t>
  </si>
  <si>
    <t xml:space="preserve">OPSWAT Support</t>
  </si>
  <si>
    <t xml:space="preserve">Air-Gap</t>
  </si>
  <si>
    <t xml:space="preserve">TBD</t>
  </si>
  <si>
    <t xml:space="preserve">HSM</t>
  </si>
  <si>
    <t xml:space="preserve">Luna Network HSM</t>
  </si>
  <si>
    <t xml:space="preserve">Thales Support</t>
  </si>
  <si>
    <t xml:space="preserve">Nozomi Support</t>
  </si>
  <si>
    <t xml:space="preserve">OT Network</t>
  </si>
  <si>
    <t xml:space="preserve">Qualys Support</t>
  </si>
  <si>
    <t xml:space="preserve">CyberArrow Support</t>
  </si>
  <si>
    <t xml:space="preserve">Training</t>
  </si>
  <si>
    <t xml:space="preserve">A10 Support</t>
  </si>
  <si>
    <t xml:space="preserve">Packet Broker</t>
  </si>
  <si>
    <t xml:space="preserve">Gigamon Support</t>
  </si>
  <si>
    <t xml:space="preserve">Network</t>
  </si>
  <si>
    <t xml:space="preserve">GRAND TOTAL (USD):</t>
  </si>
  <si>
    <t xml:space="preserve">* Items showing $0.00 require vendor quotation</t>
  </si>
  <si>
    <t xml:space="preserve">HIGH LEVEL SIZING — 200 to 4000 USER SCALE</t>
  </si>
  <si>
    <t xml:space="preserve">Technology Area</t>
  </si>
  <si>
    <t xml:space="preserve">Component</t>
  </si>
  <si>
    <t xml:space="preserve">200 Users (Initial)</t>
  </si>
  <si>
    <t xml:space="preserve">Model/SKU</t>
  </si>
  <si>
    <t xml:space="preserve">Qty (Initial)</t>
  </si>
  <si>
    <t xml:space="preserve">4000 Users (Future)</t>
  </si>
  <si>
    <t xml:space="preserve">Model/SKU (Future)</t>
  </si>
  <si>
    <t xml:space="preserve">Qty (Future)</t>
  </si>
  <si>
    <t xml:space="preserve">Sizing Rationale</t>
  </si>
  <si>
    <t xml:space="preserve">Air-Gap Consideration</t>
  </si>
  <si>
    <t xml:space="preserve">Firewall - DC Core</t>
  </si>
  <si>
    <t xml:space="preserve">FortiGate NGFW</t>
  </si>
  <si>
    <t xml:space="preserve">FG-400F (12 Gbps FW throughput)</t>
  </si>
  <si>
    <t xml:space="preserve">FG-1800F (75 Gbps FW throughput)</t>
  </si>
  <si>
    <t xml:space="preserve">DC core handles E-W traffic; size for 10x growth</t>
  </si>
  <si>
    <t xml:space="preserve">Same model supports air-gap zone</t>
  </si>
  <si>
    <t xml:space="preserve">Firewall - Internet Edge</t>
  </si>
  <si>
    <t xml:space="preserve">FG-200F (27 Gbps FW throughput)</t>
  </si>
  <si>
    <t xml:space="preserve">FG-200F-BDL-950-36</t>
  </si>
  <si>
    <t xml:space="preserve">FG-900G (78 Gbps FW throughput)</t>
  </si>
  <si>
    <t xml:space="preserve">Internet breakout; sized for bandwidth growth</t>
  </si>
  <si>
    <t xml:space="preserve">N/A for air-gap</t>
  </si>
  <si>
    <t xml:space="preserve">Firewall - Distribution</t>
  </si>
  <si>
    <t xml:space="preserve">FG-120G (25 Gbps FW throughput)</t>
  </si>
  <si>
    <t xml:space="preserve">FG-400F (68 Gbps FW throughput)</t>
  </si>
  <si>
    <t xml:space="preserve">East-West segmentation between zones</t>
  </si>
  <si>
    <t xml:space="preserve">Dedicated pair for secure zone</t>
  </si>
  <si>
    <t xml:space="preserve">Firewall - Branch</t>
  </si>
  <si>
    <t xml:space="preserve">FG-60F (10 Gbps FW throughput)</t>
  </si>
  <si>
    <t xml:space="preserve">FG-60F-BDL-950-36</t>
  </si>
  <si>
    <t xml:space="preserve">1 per branch, SD-WAN</t>
  </si>
  <si>
    <t xml:space="preserve">Access Switches</t>
  </si>
  <si>
    <t xml:space="preserve">FortiSwitch PoE+</t>
  </si>
  <si>
    <t xml:space="preserve">FS-124F-FPOE (24-port)</t>
  </si>
  <si>
    <t xml:space="preserve">FS-248E-FPOE (48-port)</t>
  </si>
  <si>
    <t xml:space="preserve">1 switch per 24 users, grow to 48-port</t>
  </si>
  <si>
    <t xml:space="preserve">Same models for secure/air-gap</t>
  </si>
  <si>
    <t xml:space="preserve">Core Switches</t>
  </si>
  <si>
    <t xml:space="preserve">FortiSwitch 10G</t>
  </si>
  <si>
    <t xml:space="preserve">FS-1048G (48x10G)</t>
  </si>
  <si>
    <t xml:space="preserve">Core aggregation layer</t>
  </si>
  <si>
    <t xml:space="preserve">Dedicated pair for air-gap</t>
  </si>
  <si>
    <t xml:space="preserve">Wireless APs</t>
  </si>
  <si>
    <t xml:space="preserve">FortiAP Wi-Fi 6E</t>
  </si>
  <si>
    <t xml:space="preserve">1 AP per 25 users; density coverage</t>
  </si>
  <si>
    <t xml:space="preserve">No wireless in air-gap</t>
  </si>
  <si>
    <t xml:space="preserve">FortiNAC</t>
  </si>
  <si>
    <t xml:space="preserve">FNC-CA-500F (15000 EP)</t>
  </si>
  <si>
    <t xml:space="preserve">Single appliance covers 200-4000</t>
  </si>
  <si>
    <t xml:space="preserve">HA for air-gap zone</t>
  </si>
  <si>
    <t xml:space="preserve">VPN/ZTNA</t>
  </si>
  <si>
    <t xml:space="preserve">FortiClient + FortiSASE</t>
  </si>
  <si>
    <t xml:space="preserve">FC1 (25ep) + FortiSASE</t>
  </si>
  <si>
    <t xml:space="preserve">FC1/FSASE</t>
  </si>
  <si>
    <t xml:space="preserve">FC2 (500ep) + FortiSASE</t>
  </si>
  <si>
    <t xml:space="preserve">FC2/FSASE</t>
  </si>
  <si>
    <t xml:space="preserve">Scale endpoint licenses</t>
  </si>
  <si>
    <t xml:space="preserve">Endpoint EDR</t>
  </si>
  <si>
    <t xml:space="preserve">FortiEDR</t>
  </si>
  <si>
    <t xml:space="preserve">FC1 (25ep packs x8)</t>
  </si>
  <si>
    <t xml:space="preserve">FC1-10-FEDR1</t>
  </si>
  <si>
    <t xml:space="preserve">FC2 (500ep)</t>
  </si>
  <si>
    <t xml:space="preserve">200 initial → 500 pack</t>
  </si>
  <si>
    <t xml:space="preserve">On-prem for air-gap</t>
  </si>
  <si>
    <t xml:space="preserve">FortiMail</t>
  </si>
  <si>
    <t xml:space="preserve">FML-200F (HA pair)</t>
  </si>
  <si>
    <t xml:space="preserve">FML-400F (HA pair)</t>
  </si>
  <si>
    <t xml:space="preserve">FML-400F-BDL-640-36</t>
  </si>
  <si>
    <t xml:space="preserve">200F handles up to 600 users</t>
  </si>
  <si>
    <t xml:space="preserve">Standalone in secure zone</t>
  </si>
  <si>
    <t xml:space="preserve">FortiSIEM</t>
  </si>
  <si>
    <t xml:space="preserve">FSM-2200G (AIO)</t>
  </si>
  <si>
    <t xml:space="preserve">FSM-3600G + Collectors</t>
  </si>
  <si>
    <t xml:space="preserve">FSM-3600G</t>
  </si>
  <si>
    <t xml:space="preserve">25GB/day initial → 100GB+/day</t>
  </si>
  <si>
    <t xml:space="preserve">Dedicated SIEM for air-gap</t>
  </si>
  <si>
    <t xml:space="preserve">FortiSOAR</t>
  </si>
  <si>
    <t xml:space="preserve">Cloud Enterprise</t>
  </si>
  <si>
    <t xml:space="preserve">FSR-Cloud</t>
  </si>
  <si>
    <t xml:space="preserve">Cloud MT or On-Prem</t>
  </si>
  <si>
    <t xml:space="preserve">FSR-Enterprise</t>
  </si>
  <si>
    <t xml:space="preserve">Scale playbooks and users</t>
  </si>
  <si>
    <t xml:space="preserve">FortiAnalyzer</t>
  </si>
  <si>
    <t xml:space="preserve">FAZ-150G (25GB/day)</t>
  </si>
  <si>
    <t xml:space="preserve">FAZ-300G (100GB/day)</t>
  </si>
  <si>
    <t xml:space="preserve">FAZ-300G</t>
  </si>
  <si>
    <t xml:space="preserve">Scale with log volume</t>
  </si>
  <si>
    <t xml:space="preserve">Dedicated for air-gap</t>
  </si>
  <si>
    <t xml:space="preserve">Central Mgmt</t>
  </si>
  <si>
    <t xml:space="preserve">FortiManager</t>
  </si>
  <si>
    <t xml:space="preserve">FMG-200G (30 devices)</t>
  </si>
  <si>
    <t xml:space="preserve">FMG-410G (300+ devices)</t>
  </si>
  <si>
    <t xml:space="preserve">FMG-410G</t>
  </si>
  <si>
    <t xml:space="preserve">Scale with device count</t>
  </si>
  <si>
    <t xml:space="preserve">Can manage air-gap FWs</t>
  </si>
  <si>
    <t xml:space="preserve">FortiPAM</t>
  </si>
  <si>
    <t xml:space="preserve">FPA-1000G (50 users)</t>
  </si>
  <si>
    <t xml:space="preserve">FPA-1000G HA</t>
  </si>
  <si>
    <t xml:space="preserve">50 concurrent admin sessions</t>
  </si>
  <si>
    <t xml:space="preserve">FortiDLP</t>
  </si>
  <si>
    <t xml:space="preserve">200 endpoints</t>
  </si>
  <si>
    <t xml:space="preserve">FortiDLP Core</t>
  </si>
  <si>
    <t xml:space="preserve">4000 endpoints</t>
  </si>
  <si>
    <t xml:space="preserve">Per-endpoint licensing</t>
  </si>
  <si>
    <t xml:space="preserve">Agent-based for air-gap</t>
  </si>
  <si>
    <t xml:space="preserve">FortiSandbox</t>
  </si>
  <si>
    <t xml:space="preserve">FSA-1500G</t>
  </si>
  <si>
    <t xml:space="preserve">Scale with file volume</t>
  </si>
  <si>
    <t xml:space="preserve">Critical for air-gap media scan</t>
  </si>
  <si>
    <t xml:space="preserve">Kiosk x2</t>
  </si>
  <si>
    <t xml:space="preserve">Kiosk x4 + Vault</t>
  </si>
  <si>
    <t xml:space="preserve">Air-gap file transfer</t>
  </si>
  <si>
    <t xml:space="preserve">Core air-gap control</t>
  </si>
  <si>
    <t xml:space="preserve">FortiNDR</t>
  </si>
  <si>
    <t xml:space="preserve">FNR-1000F</t>
  </si>
  <si>
    <t xml:space="preserve">FNR-1000F (HA)</t>
  </si>
  <si>
    <t xml:space="preserve">Network anomaly detection</t>
  </si>
  <si>
    <t xml:space="preserve">Deploy in secure zone</t>
  </si>
  <si>
    <t xml:space="preserve">QUESTIONS TO CUSTOMER &amp; PROJECT ASSUMPTIONS</t>
  </si>
  <si>
    <t xml:space="preserve">Type</t>
  </si>
  <si>
    <t xml:space="preserve">Question / Assumption</t>
  </si>
  <si>
    <t xml:space="preserve">Status</t>
  </si>
  <si>
    <t xml:space="preserve">Response</t>
  </si>
  <si>
    <t xml:space="preserve">Question</t>
  </si>
  <si>
    <t xml:space="preserve">How many physical sites/branches require connectivity?</t>
  </si>
  <si>
    <t xml:space="preserve">Open</t>
  </si>
  <si>
    <t xml:space="preserve">What is the current WAN/MPLS provider and bandwidth per site?</t>
  </si>
  <si>
    <t xml:space="preserve">Is there an existing network infrastructure that must be retained or replaced?</t>
  </si>
  <si>
    <t xml:space="preserve">What is the expected internet bandwidth at the main site?</t>
  </si>
  <si>
    <t xml:space="preserve">Is there an existing SOC team or will SOC be outsourced to an MSSP?</t>
  </si>
  <si>
    <t xml:space="preserve">What classification level does the air-gapped network require (Secret/Top Secret)?</t>
  </si>
  <si>
    <t xml:space="preserve">Are there specific NCA ECC controls already implemented?</t>
  </si>
  <si>
    <t xml:space="preserve">What is the current incident response maturity level?</t>
  </si>
  <si>
    <t xml:space="preserve">Is OT/SCADA equipment present? If yes, provide asset inventory.</t>
  </si>
  <si>
    <t xml:space="preserve">What is the approved method for software/patch updates in the air-gapped environment?</t>
  </si>
  <si>
    <t xml:space="preserve">How many data transfer points exist between enterprise and air-gapped networks?</t>
  </si>
  <si>
    <t xml:space="preserve">Is one-way data diode required for the air-gapped network?</t>
  </si>
  <si>
    <t xml:space="preserve">What removable media types are approved (USB, CD, external HDD)?</t>
  </si>
  <si>
    <t xml:space="preserve">Compliance</t>
  </si>
  <si>
    <t xml:space="preserve">Has the organization undergone a prior NCA ECC assessment?</t>
  </si>
  <si>
    <t xml:space="preserve">Are there specific SAMA or sector-specific regulatory requirements?</t>
  </si>
  <si>
    <t xml:space="preserve">Is there a Data Classification policy already in place per NDMO?</t>
  </si>
  <si>
    <t xml:space="preserve">Identity</t>
  </si>
  <si>
    <t xml:space="preserve">What is the current directory service (AD, Azure AD, LDAP)?</t>
  </si>
  <si>
    <t xml:space="preserve">Is SSO/SAML federation required with external entities?</t>
  </si>
  <si>
    <t xml:space="preserve">Sizing</t>
  </si>
  <si>
    <t xml:space="preserve">Confirm the 5-year user growth projection (200 → 4000)?</t>
  </si>
  <si>
    <t xml:space="preserve">What is the expected number of servers, VMs, and containers?</t>
  </si>
  <si>
    <t xml:space="preserve">What is the expected daily log volume (GB/day)?</t>
  </si>
  <si>
    <t xml:space="preserve">How many concurrent VPN/remote access users are expected?</t>
  </si>
  <si>
    <t xml:space="preserve">General</t>
  </si>
  <si>
    <t xml:space="preserve">Assumption</t>
  </si>
  <si>
    <t xml:space="preserve">All pricing is based on 3-year subscription terms unless noted</t>
  </si>
  <si>
    <t xml:space="preserve">Confirmed</t>
  </si>
  <si>
    <t xml:space="preserve">Fortinet is the strategic vendor for network and security infrastructure</t>
  </si>
  <si>
    <t xml:space="preserve">Customer will provide rack space, power, and cooling at all sites</t>
  </si>
  <si>
    <t xml:space="preserve">Assumed</t>
  </si>
  <si>
    <t xml:space="preserve">Professional services and implementation labor are excluded from BOM</t>
  </si>
  <si>
    <t xml:space="preserve">Air-gapped network requires dedicated, physically separated infrastructure</t>
  </si>
  <si>
    <t xml:space="preserve">HA (Active-Passive or Active-Active) is required for all critical security controls</t>
  </si>
  <si>
    <t xml:space="preserve">The customer has or will obtain necessary NCA/SAMA licenses and approvals</t>
  </si>
  <si>
    <t xml:space="preserve">Network cabling (copper/fiber) infrastructure is in place or will be provided by customer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</si>
</sst>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1B2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F9A825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i val="true"/>
      <sz val="9"/>
      <color rgb="FF99999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5090"/>
        <bgColor rgb="FF666699"/>
      </patternFill>
    </fill>
    <fill>
      <patternFill patternType="solid">
        <fgColor rgb="FFD6E4F0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FFFFF"/>
        <bgColor rgb="FFFFFFF0"/>
      </patternFill>
    </fill>
    <fill>
      <patternFill patternType="solid">
        <fgColor rgb="FFFFE0E0"/>
        <bgColor rgb="FFFFF3E0"/>
      </patternFill>
    </fill>
    <fill>
      <patternFill patternType="solid">
        <fgColor rgb="FFF2F2F2"/>
        <bgColor rgb="FFFFF3E0"/>
      </patternFill>
    </fill>
    <fill>
      <patternFill patternType="solid">
        <fgColor rgb="FFFFF3E0"/>
        <bgColor rgb="FFF2F2F2"/>
      </patternFill>
    </fill>
    <fill>
      <patternFill patternType="solid">
        <fgColor rgb="FFFFFFF0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/>
      <right/>
      <top/>
      <bottom style="double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FF0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F9A825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C27B0"/>
      <rgbColor rgb="FFFFF3E0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FF0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9A825"/>
      <rgbColor rgb="FFFF8C00"/>
      <rgbColor rgb="FFFF5722"/>
      <rgbColor rgb="FF666699"/>
      <rgbColor rgb="FF999999"/>
      <rgbColor rgb="FF003366"/>
      <rgbColor rgb="FF4CAF50"/>
      <rgbColor rgb="FF003300"/>
      <rgbColor rgb="FF333300"/>
      <rgbColor rgb="FFE65100"/>
      <rgbColor rgb="FF993366"/>
      <rgbColor rgb="FF2E509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N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8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5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3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6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23.85" hidden="false" customHeight="false" outlineLevel="0" collapsed="false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5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</row>
    <row r="5" customFormat="false" ht="15" hidden="false" customHeight="false" outlineLevel="0" collapsed="false">
      <c r="A5" s="6" t="s">
        <v>16</v>
      </c>
      <c r="B5" s="6" t="s">
        <v>17</v>
      </c>
      <c r="C5" s="6" t="s">
        <v>18</v>
      </c>
      <c r="D5" s="6" t="s">
        <v>30</v>
      </c>
      <c r="E5" s="6" t="s">
        <v>31</v>
      </c>
      <c r="F5" s="6" t="s">
        <v>32</v>
      </c>
      <c r="G5" s="5" t="s">
        <v>22</v>
      </c>
      <c r="H5" s="6" t="s">
        <v>23</v>
      </c>
      <c r="I5" s="6" t="s">
        <v>24</v>
      </c>
      <c r="J5" s="6" t="s">
        <v>33</v>
      </c>
      <c r="K5" s="6" t="s">
        <v>26</v>
      </c>
      <c r="L5" s="6" t="s">
        <v>27</v>
      </c>
      <c r="M5" s="6" t="s">
        <v>28</v>
      </c>
      <c r="N5" s="6"/>
    </row>
    <row r="6" customFormat="false" ht="23.85" hidden="false" customHeight="false" outlineLevel="0" collapsed="false">
      <c r="A6" s="4" t="s">
        <v>16</v>
      </c>
      <c r="B6" s="4" t="s">
        <v>17</v>
      </c>
      <c r="C6" s="4" t="s">
        <v>34</v>
      </c>
      <c r="D6" s="4" t="s">
        <v>35</v>
      </c>
      <c r="E6" s="4" t="s">
        <v>36</v>
      </c>
      <c r="F6" s="4" t="s">
        <v>37</v>
      </c>
      <c r="G6" s="7" t="s">
        <v>38</v>
      </c>
      <c r="H6" s="4" t="s">
        <v>23</v>
      </c>
      <c r="I6" s="4" t="s">
        <v>24</v>
      </c>
      <c r="J6" s="4" t="s">
        <v>25</v>
      </c>
      <c r="K6" s="4" t="s">
        <v>26</v>
      </c>
      <c r="L6" s="4" t="s">
        <v>27</v>
      </c>
      <c r="M6" s="4" t="s">
        <v>28</v>
      </c>
      <c r="N6" s="4"/>
    </row>
    <row r="7" customFormat="false" ht="15" hidden="false" customHeight="false" outlineLevel="0" collapsed="false">
      <c r="A7" s="6" t="s">
        <v>16</v>
      </c>
      <c r="B7" s="6" t="s">
        <v>17</v>
      </c>
      <c r="C7" s="6" t="s">
        <v>34</v>
      </c>
      <c r="D7" s="6" t="s">
        <v>39</v>
      </c>
      <c r="E7" s="6" t="s">
        <v>40</v>
      </c>
      <c r="F7" s="6" t="s">
        <v>41</v>
      </c>
      <c r="G7" s="5" t="s">
        <v>22</v>
      </c>
      <c r="H7" s="6" t="s">
        <v>23</v>
      </c>
      <c r="I7" s="6" t="s">
        <v>24</v>
      </c>
      <c r="J7" s="6" t="s">
        <v>42</v>
      </c>
      <c r="K7" s="6" t="s">
        <v>26</v>
      </c>
      <c r="L7" s="6" t="s">
        <v>27</v>
      </c>
      <c r="M7" s="6" t="s">
        <v>28</v>
      </c>
      <c r="N7" s="6"/>
    </row>
    <row r="8" customFormat="false" ht="15" hidden="false" customHeight="false" outlineLevel="0" collapsed="false">
      <c r="A8" s="4" t="s">
        <v>16</v>
      </c>
      <c r="B8" s="4" t="s">
        <v>17</v>
      </c>
      <c r="C8" s="4" t="s">
        <v>43</v>
      </c>
      <c r="D8" s="4" t="s">
        <v>44</v>
      </c>
      <c r="E8" s="4" t="s">
        <v>45</v>
      </c>
      <c r="F8" s="4" t="s">
        <v>46</v>
      </c>
      <c r="G8" s="5" t="s">
        <v>22</v>
      </c>
      <c r="H8" s="4" t="s">
        <v>23</v>
      </c>
      <c r="I8" s="4" t="s">
        <v>24</v>
      </c>
      <c r="J8" s="4" t="s">
        <v>47</v>
      </c>
      <c r="K8" s="4" t="s">
        <v>26</v>
      </c>
      <c r="L8" s="4" t="s">
        <v>27</v>
      </c>
      <c r="M8" s="4" t="s">
        <v>28</v>
      </c>
      <c r="N8" s="4"/>
    </row>
    <row r="9" customFormat="false" ht="15" hidden="false" customHeight="false" outlineLevel="0" collapsed="false">
      <c r="A9" s="6" t="s">
        <v>16</v>
      </c>
      <c r="B9" s="6" t="s">
        <v>17</v>
      </c>
      <c r="C9" s="6" t="s">
        <v>48</v>
      </c>
      <c r="D9" s="6" t="s">
        <v>49</v>
      </c>
      <c r="E9" s="6" t="s">
        <v>50</v>
      </c>
      <c r="F9" s="6" t="s">
        <v>51</v>
      </c>
      <c r="G9" s="7" t="s">
        <v>38</v>
      </c>
      <c r="H9" s="6" t="s">
        <v>23</v>
      </c>
      <c r="I9" s="6" t="s">
        <v>52</v>
      </c>
      <c r="J9" s="6" t="s">
        <v>53</v>
      </c>
      <c r="K9" s="6" t="s">
        <v>54</v>
      </c>
      <c r="L9" s="6" t="s">
        <v>27</v>
      </c>
      <c r="M9" s="6" t="s">
        <v>55</v>
      </c>
      <c r="N9" s="6"/>
    </row>
    <row r="10" customFormat="false" ht="15" hidden="false" customHeight="false" outlineLevel="0" collapsed="false">
      <c r="A10" s="4" t="s">
        <v>16</v>
      </c>
      <c r="B10" s="4" t="s">
        <v>56</v>
      </c>
      <c r="C10" s="4" t="s">
        <v>57</v>
      </c>
      <c r="D10" s="4" t="s">
        <v>58</v>
      </c>
      <c r="E10" s="4" t="s">
        <v>59</v>
      </c>
      <c r="F10" s="4" t="s">
        <v>60</v>
      </c>
      <c r="G10" s="5" t="s">
        <v>22</v>
      </c>
      <c r="H10" s="4" t="s">
        <v>23</v>
      </c>
      <c r="I10" s="4" t="s">
        <v>61</v>
      </c>
      <c r="J10" s="4" t="s">
        <v>62</v>
      </c>
      <c r="K10" s="4" t="s">
        <v>63</v>
      </c>
      <c r="L10" s="4" t="s">
        <v>27</v>
      </c>
      <c r="M10" s="4" t="s">
        <v>28</v>
      </c>
      <c r="N10" s="4"/>
    </row>
    <row r="11" customFormat="false" ht="23.85" hidden="false" customHeight="false" outlineLevel="0" collapsed="false">
      <c r="A11" s="6" t="s">
        <v>16</v>
      </c>
      <c r="B11" s="6" t="s">
        <v>56</v>
      </c>
      <c r="C11" s="6" t="s">
        <v>64</v>
      </c>
      <c r="D11" s="6" t="s">
        <v>65</v>
      </c>
      <c r="E11" s="6" t="s">
        <v>66</v>
      </c>
      <c r="F11" s="6" t="s">
        <v>67</v>
      </c>
      <c r="G11" s="5" t="s">
        <v>22</v>
      </c>
      <c r="H11" s="6" t="s">
        <v>23</v>
      </c>
      <c r="I11" s="6" t="s">
        <v>68</v>
      </c>
      <c r="J11" s="6" t="s">
        <v>69</v>
      </c>
      <c r="K11" s="6" t="s">
        <v>70</v>
      </c>
      <c r="L11" s="6" t="s">
        <v>27</v>
      </c>
      <c r="M11" s="6" t="s">
        <v>28</v>
      </c>
      <c r="N11" s="6" t="s">
        <v>71</v>
      </c>
    </row>
    <row r="12" customFormat="false" ht="23.85" hidden="false" customHeight="false" outlineLevel="0" collapsed="false">
      <c r="A12" s="4" t="s">
        <v>16</v>
      </c>
      <c r="B12" s="4" t="s">
        <v>56</v>
      </c>
      <c r="C12" s="4" t="s">
        <v>64</v>
      </c>
      <c r="D12" s="4" t="s">
        <v>72</v>
      </c>
      <c r="E12" s="4" t="s">
        <v>73</v>
      </c>
      <c r="F12" s="4" t="s">
        <v>74</v>
      </c>
      <c r="G12" s="5" t="s">
        <v>22</v>
      </c>
      <c r="H12" s="4" t="s">
        <v>23</v>
      </c>
      <c r="I12" s="4" t="s">
        <v>75</v>
      </c>
      <c r="J12" s="4" t="s">
        <v>76</v>
      </c>
      <c r="K12" s="4" t="s">
        <v>77</v>
      </c>
      <c r="L12" s="4" t="s">
        <v>27</v>
      </c>
      <c r="M12" s="4" t="s">
        <v>28</v>
      </c>
      <c r="N12" s="4" t="s">
        <v>78</v>
      </c>
    </row>
    <row r="13" customFormat="false" ht="23.85" hidden="false" customHeight="false" outlineLevel="0" collapsed="false">
      <c r="A13" s="6" t="s">
        <v>16</v>
      </c>
      <c r="B13" s="6" t="s">
        <v>56</v>
      </c>
      <c r="C13" s="6" t="s">
        <v>64</v>
      </c>
      <c r="D13" s="6" t="s">
        <v>79</v>
      </c>
      <c r="E13" s="6" t="s">
        <v>80</v>
      </c>
      <c r="F13" s="6" t="s">
        <v>81</v>
      </c>
      <c r="G13" s="5" t="s">
        <v>22</v>
      </c>
      <c r="H13" s="6" t="s">
        <v>23</v>
      </c>
      <c r="I13" s="6" t="s">
        <v>82</v>
      </c>
      <c r="J13" s="6" t="s">
        <v>83</v>
      </c>
      <c r="K13" s="6" t="s">
        <v>84</v>
      </c>
      <c r="L13" s="6" t="s">
        <v>27</v>
      </c>
      <c r="M13" s="6" t="s">
        <v>28</v>
      </c>
      <c r="N13" s="6"/>
    </row>
    <row r="14" customFormat="false" ht="15" hidden="false" customHeight="false" outlineLevel="0" collapsed="false">
      <c r="A14" s="4" t="s">
        <v>16</v>
      </c>
      <c r="B14" s="4" t="s">
        <v>56</v>
      </c>
      <c r="C14" s="4" t="s">
        <v>85</v>
      </c>
      <c r="D14" s="4" t="s">
        <v>86</v>
      </c>
      <c r="E14" s="4" t="s">
        <v>87</v>
      </c>
      <c r="F14" s="4" t="s">
        <v>88</v>
      </c>
      <c r="G14" s="5" t="s">
        <v>22</v>
      </c>
      <c r="H14" s="4" t="s">
        <v>23</v>
      </c>
      <c r="I14" s="4" t="s">
        <v>89</v>
      </c>
      <c r="J14" s="4" t="s">
        <v>90</v>
      </c>
      <c r="K14" s="4" t="s">
        <v>91</v>
      </c>
      <c r="L14" s="4" t="s">
        <v>27</v>
      </c>
      <c r="M14" s="4" t="s">
        <v>28</v>
      </c>
      <c r="N14" s="4" t="s">
        <v>92</v>
      </c>
    </row>
    <row r="15" customFormat="false" ht="23.85" hidden="false" customHeight="false" outlineLevel="0" collapsed="false">
      <c r="A15" s="6" t="s">
        <v>16</v>
      </c>
      <c r="B15" s="6" t="s">
        <v>56</v>
      </c>
      <c r="C15" s="6" t="s">
        <v>85</v>
      </c>
      <c r="D15" s="6" t="s">
        <v>93</v>
      </c>
      <c r="E15" s="6" t="s">
        <v>94</v>
      </c>
      <c r="F15" s="6" t="s">
        <v>95</v>
      </c>
      <c r="G15" s="5" t="s">
        <v>22</v>
      </c>
      <c r="H15" s="6" t="s">
        <v>23</v>
      </c>
      <c r="I15" s="6" t="s">
        <v>96</v>
      </c>
      <c r="J15" s="6" t="s">
        <v>97</v>
      </c>
      <c r="K15" s="6" t="s">
        <v>98</v>
      </c>
      <c r="L15" s="6" t="s">
        <v>27</v>
      </c>
      <c r="M15" s="6" t="s">
        <v>28</v>
      </c>
      <c r="N15" s="6" t="s">
        <v>99</v>
      </c>
    </row>
    <row r="16" customFormat="false" ht="15" hidden="false" customHeight="false" outlineLevel="0" collapsed="false">
      <c r="A16" s="4" t="s">
        <v>16</v>
      </c>
      <c r="B16" s="4" t="s">
        <v>56</v>
      </c>
      <c r="C16" s="4" t="s">
        <v>85</v>
      </c>
      <c r="D16" s="4" t="s">
        <v>100</v>
      </c>
      <c r="E16" s="4" t="s">
        <v>101</v>
      </c>
      <c r="F16" s="4" t="s">
        <v>102</v>
      </c>
      <c r="G16" s="5" t="s">
        <v>22</v>
      </c>
      <c r="H16" s="4" t="s">
        <v>23</v>
      </c>
      <c r="I16" s="4" t="s">
        <v>103</v>
      </c>
      <c r="J16" s="4" t="s">
        <v>104</v>
      </c>
      <c r="K16" s="4" t="s">
        <v>105</v>
      </c>
      <c r="L16" s="4" t="s">
        <v>27</v>
      </c>
      <c r="M16" s="4" t="s">
        <v>28</v>
      </c>
      <c r="N16" s="4"/>
    </row>
    <row r="17" customFormat="false" ht="15" hidden="false" customHeight="false" outlineLevel="0" collapsed="false">
      <c r="A17" s="6" t="s">
        <v>16</v>
      </c>
      <c r="B17" s="6" t="s">
        <v>56</v>
      </c>
      <c r="C17" s="6" t="s">
        <v>85</v>
      </c>
      <c r="D17" s="6" t="s">
        <v>106</v>
      </c>
      <c r="E17" s="6" t="s">
        <v>107</v>
      </c>
      <c r="F17" s="6" t="s">
        <v>108</v>
      </c>
      <c r="G17" s="7" t="s">
        <v>38</v>
      </c>
      <c r="H17" s="6" t="s">
        <v>23</v>
      </c>
      <c r="I17" s="6" t="s">
        <v>109</v>
      </c>
      <c r="J17" s="6" t="s">
        <v>110</v>
      </c>
      <c r="K17" s="6" t="s">
        <v>111</v>
      </c>
      <c r="L17" s="6" t="s">
        <v>27</v>
      </c>
      <c r="M17" s="6" t="s">
        <v>55</v>
      </c>
      <c r="N17" s="6"/>
    </row>
    <row r="18" customFormat="false" ht="15" hidden="false" customHeight="false" outlineLevel="0" collapsed="false">
      <c r="A18" s="4" t="s">
        <v>16</v>
      </c>
      <c r="B18" s="4" t="s">
        <v>56</v>
      </c>
      <c r="C18" s="4" t="s">
        <v>85</v>
      </c>
      <c r="D18" s="4" t="s">
        <v>112</v>
      </c>
      <c r="E18" s="4" t="s">
        <v>113</v>
      </c>
      <c r="F18" s="4" t="s">
        <v>114</v>
      </c>
      <c r="G18" s="7" t="s">
        <v>38</v>
      </c>
      <c r="H18" s="4" t="s">
        <v>23</v>
      </c>
      <c r="I18" s="4" t="s">
        <v>113</v>
      </c>
      <c r="J18" s="4" t="s">
        <v>115</v>
      </c>
      <c r="K18" s="4" t="s">
        <v>116</v>
      </c>
      <c r="L18" s="4" t="s">
        <v>27</v>
      </c>
      <c r="M18" s="4" t="s">
        <v>55</v>
      </c>
      <c r="N18" s="4"/>
    </row>
    <row r="19" customFormat="false" ht="15" hidden="false" customHeight="false" outlineLevel="0" collapsed="false">
      <c r="A19" s="6" t="s">
        <v>16</v>
      </c>
      <c r="B19" s="6" t="s">
        <v>56</v>
      </c>
      <c r="C19" s="6" t="s">
        <v>85</v>
      </c>
      <c r="D19" s="6" t="s">
        <v>117</v>
      </c>
      <c r="E19" s="6" t="s">
        <v>118</v>
      </c>
      <c r="F19" s="6" t="s">
        <v>119</v>
      </c>
      <c r="G19" s="5" t="s">
        <v>22</v>
      </c>
      <c r="H19" s="6" t="s">
        <v>23</v>
      </c>
      <c r="I19" s="6" t="s">
        <v>120</v>
      </c>
      <c r="J19" s="6" t="s">
        <v>121</v>
      </c>
      <c r="K19" s="6" t="s">
        <v>122</v>
      </c>
      <c r="L19" s="6" t="s">
        <v>27</v>
      </c>
      <c r="M19" s="6" t="s">
        <v>28</v>
      </c>
      <c r="N19" s="6" t="s">
        <v>123</v>
      </c>
    </row>
    <row r="20" customFormat="false" ht="15" hidden="false" customHeight="false" outlineLevel="0" collapsed="false">
      <c r="A20" s="4" t="s">
        <v>16</v>
      </c>
      <c r="B20" s="4" t="s">
        <v>56</v>
      </c>
      <c r="C20" s="4" t="s">
        <v>85</v>
      </c>
      <c r="D20" s="4" t="s">
        <v>124</v>
      </c>
      <c r="E20" s="4" t="s">
        <v>125</v>
      </c>
      <c r="F20" s="4" t="s">
        <v>126</v>
      </c>
      <c r="G20" s="5" t="s">
        <v>22</v>
      </c>
      <c r="H20" s="4" t="s">
        <v>23</v>
      </c>
      <c r="I20" s="4" t="s">
        <v>127</v>
      </c>
      <c r="J20" s="4" t="s">
        <v>128</v>
      </c>
      <c r="K20" s="4" t="s">
        <v>129</v>
      </c>
      <c r="L20" s="4" t="s">
        <v>27</v>
      </c>
      <c r="M20" s="4" t="s">
        <v>55</v>
      </c>
      <c r="N20" s="4"/>
    </row>
    <row r="21" customFormat="false" ht="15" hidden="false" customHeight="false" outlineLevel="0" collapsed="false">
      <c r="A21" s="6" t="s">
        <v>16</v>
      </c>
      <c r="B21" s="6" t="s">
        <v>56</v>
      </c>
      <c r="C21" s="6" t="s">
        <v>85</v>
      </c>
      <c r="D21" s="6" t="s">
        <v>130</v>
      </c>
      <c r="E21" s="6" t="s">
        <v>131</v>
      </c>
      <c r="F21" s="6" t="s">
        <v>132</v>
      </c>
      <c r="G21" s="7" t="s">
        <v>38</v>
      </c>
      <c r="H21" s="6" t="s">
        <v>133</v>
      </c>
      <c r="I21" s="6" t="s">
        <v>134</v>
      </c>
      <c r="J21" s="6" t="s">
        <v>135</v>
      </c>
      <c r="K21" s="6" t="s">
        <v>136</v>
      </c>
      <c r="L21" s="6" t="s">
        <v>27</v>
      </c>
      <c r="M21" s="6" t="s">
        <v>55</v>
      </c>
      <c r="N21" s="6" t="s">
        <v>123</v>
      </c>
    </row>
    <row r="22" customFormat="false" ht="15" hidden="false" customHeight="false" outlineLevel="0" collapsed="false">
      <c r="A22" s="4" t="s">
        <v>16</v>
      </c>
      <c r="B22" s="4" t="s">
        <v>56</v>
      </c>
      <c r="C22" s="4" t="s">
        <v>85</v>
      </c>
      <c r="D22" s="4" t="s">
        <v>137</v>
      </c>
      <c r="E22" s="4" t="s">
        <v>138</v>
      </c>
      <c r="F22" s="4" t="s">
        <v>139</v>
      </c>
      <c r="G22" s="5" t="s">
        <v>22</v>
      </c>
      <c r="H22" s="4" t="s">
        <v>23</v>
      </c>
      <c r="I22" s="4" t="s">
        <v>140</v>
      </c>
      <c r="J22" s="4" t="s">
        <v>141</v>
      </c>
      <c r="K22" s="4" t="s">
        <v>63</v>
      </c>
      <c r="L22" s="4" t="s">
        <v>27</v>
      </c>
      <c r="M22" s="4" t="s">
        <v>28</v>
      </c>
      <c r="N22" s="4" t="s">
        <v>142</v>
      </c>
    </row>
    <row r="23" customFormat="false" ht="15" hidden="false" customHeight="false" outlineLevel="0" collapsed="false">
      <c r="A23" s="6" t="s">
        <v>16</v>
      </c>
      <c r="B23" s="6" t="s">
        <v>56</v>
      </c>
      <c r="C23" s="6" t="s">
        <v>85</v>
      </c>
      <c r="D23" s="6" t="s">
        <v>143</v>
      </c>
      <c r="E23" s="6" t="s">
        <v>144</v>
      </c>
      <c r="F23" s="6" t="s">
        <v>145</v>
      </c>
      <c r="G23" s="7" t="s">
        <v>38</v>
      </c>
      <c r="H23" s="6" t="s">
        <v>23</v>
      </c>
      <c r="I23" s="6" t="s">
        <v>146</v>
      </c>
      <c r="J23" s="6" t="s">
        <v>147</v>
      </c>
      <c r="K23" s="6" t="s">
        <v>148</v>
      </c>
      <c r="L23" s="6" t="s">
        <v>27</v>
      </c>
      <c r="M23" s="6" t="s">
        <v>28</v>
      </c>
      <c r="N23" s="6"/>
    </row>
    <row r="24" customFormat="false" ht="15" hidden="false" customHeight="false" outlineLevel="0" collapsed="false">
      <c r="A24" s="4" t="s">
        <v>16</v>
      </c>
      <c r="B24" s="4" t="s">
        <v>56</v>
      </c>
      <c r="C24" s="4" t="s">
        <v>85</v>
      </c>
      <c r="D24" s="4" t="s">
        <v>149</v>
      </c>
      <c r="E24" s="4" t="s">
        <v>150</v>
      </c>
      <c r="F24" s="4" t="s">
        <v>151</v>
      </c>
      <c r="G24" s="7" t="s">
        <v>38</v>
      </c>
      <c r="H24" s="4" t="s">
        <v>23</v>
      </c>
      <c r="I24" s="4" t="s">
        <v>152</v>
      </c>
      <c r="J24" s="4" t="s">
        <v>153</v>
      </c>
      <c r="K24" s="4" t="s">
        <v>154</v>
      </c>
      <c r="L24" s="4" t="s">
        <v>27</v>
      </c>
      <c r="M24" s="4" t="s">
        <v>55</v>
      </c>
      <c r="N24" s="4"/>
    </row>
    <row r="25" customFormat="false" ht="15" hidden="false" customHeight="false" outlineLevel="0" collapsed="false">
      <c r="A25" s="6" t="s">
        <v>16</v>
      </c>
      <c r="B25" s="6" t="s">
        <v>56</v>
      </c>
      <c r="C25" s="6" t="s">
        <v>85</v>
      </c>
      <c r="D25" s="6" t="s">
        <v>155</v>
      </c>
      <c r="E25" s="6" t="s">
        <v>156</v>
      </c>
      <c r="F25" s="6" t="s">
        <v>157</v>
      </c>
      <c r="G25" s="5" t="s">
        <v>22</v>
      </c>
      <c r="H25" s="6" t="s">
        <v>23</v>
      </c>
      <c r="I25" s="6" t="s">
        <v>158</v>
      </c>
      <c r="J25" s="6" t="s">
        <v>159</v>
      </c>
      <c r="K25" s="6" t="s">
        <v>160</v>
      </c>
      <c r="L25" s="6" t="s">
        <v>27</v>
      </c>
      <c r="M25" s="6" t="s">
        <v>28</v>
      </c>
      <c r="N25" s="6" t="s">
        <v>161</v>
      </c>
    </row>
    <row r="26" customFormat="false" ht="15" hidden="false" customHeight="false" outlineLevel="0" collapsed="false">
      <c r="A26" s="4" t="s">
        <v>16</v>
      </c>
      <c r="B26" s="4" t="s">
        <v>56</v>
      </c>
      <c r="C26" s="4" t="s">
        <v>162</v>
      </c>
      <c r="D26" s="4" t="s">
        <v>163</v>
      </c>
      <c r="E26" s="4" t="s">
        <v>164</v>
      </c>
      <c r="F26" s="4" t="s">
        <v>165</v>
      </c>
      <c r="G26" s="5" t="s">
        <v>22</v>
      </c>
      <c r="H26" s="4" t="s">
        <v>23</v>
      </c>
      <c r="I26" s="4" t="s">
        <v>166</v>
      </c>
      <c r="J26" s="4" t="s">
        <v>167</v>
      </c>
      <c r="K26" s="4" t="s">
        <v>168</v>
      </c>
      <c r="L26" s="4" t="s">
        <v>27</v>
      </c>
      <c r="M26" s="4" t="s">
        <v>28</v>
      </c>
      <c r="N26" s="4"/>
    </row>
    <row r="27" customFormat="false" ht="15" hidden="false" customHeight="false" outlineLevel="0" collapsed="false">
      <c r="A27" s="6" t="s">
        <v>16</v>
      </c>
      <c r="B27" s="6" t="s">
        <v>169</v>
      </c>
      <c r="C27" s="6" t="s">
        <v>170</v>
      </c>
      <c r="D27" s="6" t="s">
        <v>171</v>
      </c>
      <c r="E27" s="6" t="s">
        <v>172</v>
      </c>
      <c r="F27" s="6" t="s">
        <v>173</v>
      </c>
      <c r="G27" s="7" t="s">
        <v>38</v>
      </c>
      <c r="H27" s="6" t="s">
        <v>133</v>
      </c>
      <c r="I27" s="6" t="s">
        <v>174</v>
      </c>
      <c r="J27" s="6" t="s">
        <v>175</v>
      </c>
      <c r="K27" s="6" t="s">
        <v>176</v>
      </c>
      <c r="L27" s="6" t="s">
        <v>27</v>
      </c>
      <c r="M27" s="6" t="s">
        <v>177</v>
      </c>
      <c r="N27" s="6"/>
    </row>
    <row r="28" customFormat="false" ht="15" hidden="false" customHeight="false" outlineLevel="0" collapsed="false">
      <c r="A28" s="4" t="s">
        <v>16</v>
      </c>
      <c r="B28" s="4" t="s">
        <v>169</v>
      </c>
      <c r="C28" s="4" t="s">
        <v>178</v>
      </c>
      <c r="D28" s="4" t="s">
        <v>179</v>
      </c>
      <c r="E28" s="4" t="s">
        <v>180</v>
      </c>
      <c r="F28" s="4" t="s">
        <v>181</v>
      </c>
      <c r="G28" s="5" t="s">
        <v>22</v>
      </c>
      <c r="H28" s="4" t="s">
        <v>23</v>
      </c>
      <c r="I28" s="4" t="s">
        <v>182</v>
      </c>
      <c r="J28" s="4" t="s">
        <v>183</v>
      </c>
      <c r="K28" s="4" t="s">
        <v>184</v>
      </c>
      <c r="L28" s="4" t="s">
        <v>27</v>
      </c>
      <c r="M28" s="4" t="s">
        <v>55</v>
      </c>
      <c r="N28" s="4"/>
    </row>
    <row r="29" customFormat="false" ht="15" hidden="false" customHeight="false" outlineLevel="0" collapsed="false">
      <c r="A29" s="6" t="s">
        <v>16</v>
      </c>
      <c r="B29" s="6" t="s">
        <v>169</v>
      </c>
      <c r="C29" s="6" t="s">
        <v>185</v>
      </c>
      <c r="D29" s="6" t="s">
        <v>186</v>
      </c>
      <c r="E29" s="6" t="s">
        <v>187</v>
      </c>
      <c r="F29" s="6" t="s">
        <v>188</v>
      </c>
      <c r="G29" s="7" t="s">
        <v>38</v>
      </c>
      <c r="H29" s="6" t="s">
        <v>133</v>
      </c>
      <c r="I29" s="6" t="s">
        <v>189</v>
      </c>
      <c r="J29" s="6" t="s">
        <v>190</v>
      </c>
      <c r="K29" s="6" t="s">
        <v>191</v>
      </c>
      <c r="L29" s="6" t="s">
        <v>27</v>
      </c>
      <c r="M29" s="6" t="s">
        <v>55</v>
      </c>
      <c r="N29" s="6"/>
    </row>
    <row r="30" customFormat="false" ht="15" hidden="false" customHeight="false" outlineLevel="0" collapsed="false">
      <c r="A30" s="4" t="s">
        <v>16</v>
      </c>
      <c r="B30" s="4" t="s">
        <v>192</v>
      </c>
      <c r="C30" s="4" t="s">
        <v>193</v>
      </c>
      <c r="D30" s="4" t="s">
        <v>194</v>
      </c>
      <c r="E30" s="4" t="s">
        <v>195</v>
      </c>
      <c r="F30" s="4" t="s">
        <v>196</v>
      </c>
      <c r="G30" s="7" t="s">
        <v>38</v>
      </c>
      <c r="H30" s="4" t="s">
        <v>133</v>
      </c>
      <c r="I30" s="4" t="s">
        <v>24</v>
      </c>
      <c r="J30" s="4" t="s">
        <v>197</v>
      </c>
      <c r="K30" s="4" t="s">
        <v>26</v>
      </c>
      <c r="L30" s="4" t="s">
        <v>27</v>
      </c>
      <c r="M30" s="4" t="s">
        <v>55</v>
      </c>
      <c r="N30" s="4"/>
    </row>
    <row r="31" customFormat="false" ht="15" hidden="false" customHeight="false" outlineLevel="0" collapsed="false">
      <c r="A31" s="6" t="s">
        <v>16</v>
      </c>
      <c r="B31" s="6" t="s">
        <v>198</v>
      </c>
      <c r="C31" s="6" t="s">
        <v>199</v>
      </c>
      <c r="D31" s="6" t="s">
        <v>200</v>
      </c>
      <c r="E31" s="6" t="s">
        <v>201</v>
      </c>
      <c r="F31" s="6" t="s">
        <v>202</v>
      </c>
      <c r="G31" s="5" t="s">
        <v>22</v>
      </c>
      <c r="H31" s="6" t="s">
        <v>23</v>
      </c>
      <c r="I31" s="6" t="s">
        <v>203</v>
      </c>
      <c r="J31" s="6" t="s">
        <v>204</v>
      </c>
      <c r="K31" s="6" t="s">
        <v>205</v>
      </c>
      <c r="L31" s="6" t="s">
        <v>27</v>
      </c>
      <c r="M31" s="6" t="s">
        <v>55</v>
      </c>
      <c r="N31" s="6" t="s">
        <v>206</v>
      </c>
    </row>
    <row r="32" customFormat="false" ht="15" hidden="false" customHeight="false" outlineLevel="0" collapsed="false">
      <c r="A32" s="4" t="s">
        <v>16</v>
      </c>
      <c r="B32" s="4" t="s">
        <v>198</v>
      </c>
      <c r="C32" s="4" t="s">
        <v>199</v>
      </c>
      <c r="D32" s="4" t="s">
        <v>207</v>
      </c>
      <c r="E32" s="4" t="s">
        <v>208</v>
      </c>
      <c r="F32" s="4" t="s">
        <v>209</v>
      </c>
      <c r="G32" s="5" t="s">
        <v>22</v>
      </c>
      <c r="H32" s="4" t="s">
        <v>23</v>
      </c>
      <c r="I32" s="4" t="s">
        <v>96</v>
      </c>
      <c r="J32" s="4" t="s">
        <v>210</v>
      </c>
      <c r="K32" s="4" t="s">
        <v>91</v>
      </c>
      <c r="L32" s="4" t="s">
        <v>27</v>
      </c>
      <c r="M32" s="4" t="s">
        <v>28</v>
      </c>
      <c r="N32" s="4" t="s">
        <v>211</v>
      </c>
    </row>
    <row r="33" customFormat="false" ht="15" hidden="false" customHeight="false" outlineLevel="0" collapsed="false">
      <c r="A33" s="6" t="s">
        <v>212</v>
      </c>
      <c r="B33" s="6" t="s">
        <v>17</v>
      </c>
      <c r="C33" s="6" t="s">
        <v>213</v>
      </c>
      <c r="D33" s="6" t="s">
        <v>214</v>
      </c>
      <c r="E33" s="6" t="s">
        <v>215</v>
      </c>
      <c r="F33" s="6" t="s">
        <v>216</v>
      </c>
      <c r="G33" s="7" t="s">
        <v>38</v>
      </c>
      <c r="H33" s="6" t="s">
        <v>133</v>
      </c>
      <c r="I33" s="6" t="s">
        <v>217</v>
      </c>
      <c r="J33" s="6" t="s">
        <v>218</v>
      </c>
      <c r="K33" s="6" t="s">
        <v>219</v>
      </c>
      <c r="L33" s="6" t="s">
        <v>27</v>
      </c>
      <c r="M33" s="6" t="s">
        <v>177</v>
      </c>
      <c r="N33" s="6"/>
    </row>
    <row r="34" customFormat="false" ht="15" hidden="false" customHeight="false" outlineLevel="0" collapsed="false">
      <c r="A34" s="4" t="s">
        <v>212</v>
      </c>
      <c r="B34" s="4" t="s">
        <v>220</v>
      </c>
      <c r="C34" s="4" t="s">
        <v>221</v>
      </c>
      <c r="D34" s="4" t="s">
        <v>222</v>
      </c>
      <c r="E34" s="4" t="s">
        <v>223</v>
      </c>
      <c r="F34" s="4" t="s">
        <v>224</v>
      </c>
      <c r="G34" s="7" t="s">
        <v>38</v>
      </c>
      <c r="H34" s="4" t="s">
        <v>133</v>
      </c>
      <c r="I34" s="4" t="s">
        <v>225</v>
      </c>
      <c r="J34" s="4" t="s">
        <v>226</v>
      </c>
      <c r="K34" s="4" t="s">
        <v>70</v>
      </c>
      <c r="L34" s="4" t="s">
        <v>27</v>
      </c>
      <c r="M34" s="4" t="s">
        <v>177</v>
      </c>
      <c r="N34" s="4"/>
    </row>
    <row r="35" customFormat="false" ht="15" hidden="false" customHeight="false" outlineLevel="0" collapsed="false">
      <c r="A35" s="6" t="s">
        <v>212</v>
      </c>
      <c r="B35" s="6" t="s">
        <v>220</v>
      </c>
      <c r="C35" s="6" t="s">
        <v>227</v>
      </c>
      <c r="D35" s="6" t="s">
        <v>228</v>
      </c>
      <c r="E35" s="6" t="s">
        <v>229</v>
      </c>
      <c r="F35" s="6" t="s">
        <v>230</v>
      </c>
      <c r="G35" s="7" t="s">
        <v>38</v>
      </c>
      <c r="H35" s="6" t="s">
        <v>133</v>
      </c>
      <c r="I35" s="6" t="s">
        <v>231</v>
      </c>
      <c r="J35" s="6" t="s">
        <v>232</v>
      </c>
      <c r="K35" s="6" t="s">
        <v>233</v>
      </c>
      <c r="L35" s="6" t="s">
        <v>27</v>
      </c>
      <c r="M35" s="6" t="s">
        <v>177</v>
      </c>
      <c r="N35" s="6"/>
    </row>
    <row r="36" customFormat="false" ht="15" hidden="false" customHeight="false" outlineLevel="0" collapsed="false">
      <c r="A36" s="4" t="s">
        <v>212</v>
      </c>
      <c r="B36" s="4" t="s">
        <v>220</v>
      </c>
      <c r="C36" s="4" t="s">
        <v>234</v>
      </c>
      <c r="D36" s="4" t="s">
        <v>235</v>
      </c>
      <c r="E36" s="4" t="s">
        <v>236</v>
      </c>
      <c r="F36" s="4" t="s">
        <v>237</v>
      </c>
      <c r="G36" s="7" t="s">
        <v>38</v>
      </c>
      <c r="H36" s="4" t="s">
        <v>133</v>
      </c>
      <c r="I36" s="4" t="s">
        <v>238</v>
      </c>
      <c r="J36" s="4" t="s">
        <v>239</v>
      </c>
      <c r="K36" s="4" t="s">
        <v>240</v>
      </c>
      <c r="L36" s="4" t="s">
        <v>27</v>
      </c>
      <c r="M36" s="4" t="s">
        <v>177</v>
      </c>
      <c r="N36" s="4"/>
    </row>
    <row r="37" customFormat="false" ht="15" hidden="false" customHeight="false" outlineLevel="0" collapsed="false">
      <c r="A37" s="6" t="s">
        <v>212</v>
      </c>
      <c r="B37" s="6" t="s">
        <v>241</v>
      </c>
      <c r="C37" s="6" t="s">
        <v>242</v>
      </c>
      <c r="D37" s="6" t="s">
        <v>243</v>
      </c>
      <c r="E37" s="6" t="s">
        <v>244</v>
      </c>
      <c r="F37" s="6" t="s">
        <v>245</v>
      </c>
      <c r="G37" s="7" t="s">
        <v>38</v>
      </c>
      <c r="H37" s="6" t="s">
        <v>133</v>
      </c>
      <c r="I37" s="6" t="s">
        <v>246</v>
      </c>
      <c r="J37" s="6" t="s">
        <v>247</v>
      </c>
      <c r="K37" s="6" t="s">
        <v>248</v>
      </c>
      <c r="L37" s="6" t="s">
        <v>27</v>
      </c>
      <c r="M37" s="6" t="s">
        <v>177</v>
      </c>
      <c r="N37" s="6"/>
    </row>
    <row r="38" customFormat="false" ht="15" hidden="false" customHeight="false" outlineLevel="0" collapsed="false">
      <c r="A38" s="4" t="s">
        <v>249</v>
      </c>
      <c r="B38" s="4" t="s">
        <v>250</v>
      </c>
      <c r="C38" s="4" t="s">
        <v>251</v>
      </c>
      <c r="D38" s="4" t="s">
        <v>252</v>
      </c>
      <c r="E38" s="4" t="s">
        <v>253</v>
      </c>
      <c r="F38" s="4" t="s">
        <v>254</v>
      </c>
      <c r="G38" s="5" t="s">
        <v>22</v>
      </c>
      <c r="H38" s="4" t="s">
        <v>23</v>
      </c>
      <c r="I38" s="4" t="s">
        <v>24</v>
      </c>
      <c r="J38" s="4" t="s">
        <v>255</v>
      </c>
      <c r="K38" s="4" t="s">
        <v>26</v>
      </c>
      <c r="L38" s="4" t="s">
        <v>27</v>
      </c>
      <c r="M38" s="4" t="s">
        <v>28</v>
      </c>
      <c r="N38" s="4"/>
    </row>
    <row r="39" customFormat="false" ht="15" hidden="false" customHeight="false" outlineLevel="0" collapsed="false">
      <c r="A39" s="6" t="s">
        <v>249</v>
      </c>
      <c r="B39" s="6" t="s">
        <v>256</v>
      </c>
      <c r="C39" s="6" t="s">
        <v>257</v>
      </c>
      <c r="D39" s="6" t="s">
        <v>258</v>
      </c>
      <c r="E39" s="6" t="s">
        <v>259</v>
      </c>
      <c r="F39" s="6" t="s">
        <v>260</v>
      </c>
      <c r="G39" s="7" t="s">
        <v>38</v>
      </c>
      <c r="H39" s="6" t="s">
        <v>23</v>
      </c>
      <c r="I39" s="6" t="s">
        <v>24</v>
      </c>
      <c r="J39" s="6" t="s">
        <v>25</v>
      </c>
      <c r="K39" s="6" t="s">
        <v>26</v>
      </c>
      <c r="L39" s="6" t="s">
        <v>27</v>
      </c>
      <c r="M39" s="6" t="s">
        <v>28</v>
      </c>
      <c r="N39" s="6"/>
    </row>
    <row r="40" customFormat="false" ht="15" hidden="false" customHeight="false" outlineLevel="0" collapsed="false">
      <c r="A40" s="4" t="s">
        <v>249</v>
      </c>
      <c r="B40" s="4" t="s">
        <v>261</v>
      </c>
      <c r="C40" s="4" t="s">
        <v>262</v>
      </c>
      <c r="D40" s="4" t="s">
        <v>263</v>
      </c>
      <c r="E40" s="4" t="s">
        <v>264</v>
      </c>
      <c r="F40" s="4" t="s">
        <v>265</v>
      </c>
      <c r="G40" s="7" t="s">
        <v>38</v>
      </c>
      <c r="H40" s="4" t="s">
        <v>23</v>
      </c>
      <c r="I40" s="4" t="s">
        <v>52</v>
      </c>
      <c r="J40" s="4" t="s">
        <v>266</v>
      </c>
      <c r="K40" s="4" t="s">
        <v>267</v>
      </c>
      <c r="L40" s="4" t="s">
        <v>27</v>
      </c>
      <c r="M40" s="4" t="s">
        <v>55</v>
      </c>
      <c r="N40" s="4"/>
    </row>
    <row r="41" customFormat="false" ht="15" hidden="false" customHeight="false" outlineLevel="0" collapsed="false">
      <c r="A41" s="6" t="s">
        <v>249</v>
      </c>
      <c r="B41" s="6" t="s">
        <v>268</v>
      </c>
      <c r="C41" s="6" t="s">
        <v>269</v>
      </c>
      <c r="D41" s="6" t="s">
        <v>270</v>
      </c>
      <c r="E41" s="6" t="s">
        <v>271</v>
      </c>
      <c r="F41" s="6" t="s">
        <v>272</v>
      </c>
      <c r="G41" s="5" t="s">
        <v>22</v>
      </c>
      <c r="H41" s="6" t="s">
        <v>23</v>
      </c>
      <c r="I41" s="6" t="s">
        <v>61</v>
      </c>
      <c r="J41" s="6" t="s">
        <v>273</v>
      </c>
      <c r="K41" s="6" t="s">
        <v>63</v>
      </c>
      <c r="L41" s="6" t="s">
        <v>27</v>
      </c>
      <c r="M41" s="6" t="s">
        <v>28</v>
      </c>
      <c r="N41" s="6"/>
    </row>
    <row r="42" customFormat="false" ht="15" hidden="false" customHeight="false" outlineLevel="0" collapsed="false">
      <c r="A42" s="4" t="s">
        <v>249</v>
      </c>
      <c r="B42" s="4" t="s">
        <v>274</v>
      </c>
      <c r="C42" s="4" t="s">
        <v>275</v>
      </c>
      <c r="D42" s="4" t="s">
        <v>276</v>
      </c>
      <c r="E42" s="4" t="s">
        <v>277</v>
      </c>
      <c r="F42" s="4" t="s">
        <v>278</v>
      </c>
      <c r="G42" s="5" t="s">
        <v>22</v>
      </c>
      <c r="H42" s="4" t="s">
        <v>23</v>
      </c>
      <c r="I42" s="4" t="s">
        <v>68</v>
      </c>
      <c r="J42" s="4" t="s">
        <v>279</v>
      </c>
      <c r="K42" s="4" t="s">
        <v>70</v>
      </c>
      <c r="L42" s="4" t="s">
        <v>27</v>
      </c>
      <c r="M42" s="4" t="s">
        <v>28</v>
      </c>
      <c r="N42" s="4"/>
    </row>
    <row r="43" customFormat="false" ht="15" hidden="false" customHeight="false" outlineLevel="0" collapsed="false">
      <c r="A43" s="6" t="s">
        <v>249</v>
      </c>
      <c r="B43" s="6" t="s">
        <v>274</v>
      </c>
      <c r="C43" s="6" t="s">
        <v>280</v>
      </c>
      <c r="D43" s="6" t="s">
        <v>281</v>
      </c>
      <c r="E43" s="6" t="s">
        <v>282</v>
      </c>
      <c r="F43" s="6" t="s">
        <v>283</v>
      </c>
      <c r="G43" s="5" t="s">
        <v>22</v>
      </c>
      <c r="H43" s="6" t="s">
        <v>23</v>
      </c>
      <c r="I43" s="6" t="s">
        <v>82</v>
      </c>
      <c r="J43" s="6" t="s">
        <v>284</v>
      </c>
      <c r="K43" s="6" t="s">
        <v>84</v>
      </c>
      <c r="L43" s="6" t="s">
        <v>27</v>
      </c>
      <c r="M43" s="6" t="s">
        <v>28</v>
      </c>
      <c r="N43" s="6"/>
    </row>
    <row r="44" customFormat="false" ht="15" hidden="false" customHeight="false" outlineLevel="0" collapsed="false">
      <c r="A44" s="4" t="s">
        <v>249</v>
      </c>
      <c r="B44" s="4" t="s">
        <v>285</v>
      </c>
      <c r="C44" s="4" t="s">
        <v>286</v>
      </c>
      <c r="D44" s="4" t="s">
        <v>287</v>
      </c>
      <c r="E44" s="4" t="s">
        <v>288</v>
      </c>
      <c r="F44" s="4" t="s">
        <v>289</v>
      </c>
      <c r="G44" s="5" t="s">
        <v>22</v>
      </c>
      <c r="H44" s="4" t="s">
        <v>23</v>
      </c>
      <c r="I44" s="4" t="s">
        <v>166</v>
      </c>
      <c r="J44" s="4" t="s">
        <v>290</v>
      </c>
      <c r="K44" s="4" t="s">
        <v>168</v>
      </c>
      <c r="L44" s="4" t="s">
        <v>27</v>
      </c>
      <c r="M44" s="4" t="s">
        <v>28</v>
      </c>
      <c r="N44" s="4"/>
    </row>
    <row r="45" customFormat="false" ht="15" hidden="false" customHeight="false" outlineLevel="0" collapsed="false">
      <c r="A45" s="6" t="s">
        <v>249</v>
      </c>
      <c r="B45" s="6" t="s">
        <v>291</v>
      </c>
      <c r="C45" s="6" t="s">
        <v>292</v>
      </c>
      <c r="D45" s="6" t="s">
        <v>293</v>
      </c>
      <c r="E45" s="6" t="s">
        <v>294</v>
      </c>
      <c r="F45" s="6" t="s">
        <v>295</v>
      </c>
      <c r="G45" s="5" t="s">
        <v>22</v>
      </c>
      <c r="H45" s="6" t="s">
        <v>23</v>
      </c>
      <c r="I45" s="6" t="s">
        <v>246</v>
      </c>
      <c r="J45" s="6" t="s">
        <v>296</v>
      </c>
      <c r="K45" s="6" t="s">
        <v>248</v>
      </c>
      <c r="L45" s="6" t="s">
        <v>27</v>
      </c>
      <c r="M45" s="6" t="s">
        <v>28</v>
      </c>
      <c r="N45" s="6"/>
    </row>
    <row r="46" customFormat="false" ht="15" hidden="false" customHeight="false" outlineLevel="0" collapsed="false">
      <c r="A46" s="4" t="s">
        <v>249</v>
      </c>
      <c r="B46" s="4" t="s">
        <v>291</v>
      </c>
      <c r="C46" s="4" t="s">
        <v>297</v>
      </c>
      <c r="D46" s="4" t="s">
        <v>298</v>
      </c>
      <c r="E46" s="4" t="s">
        <v>299</v>
      </c>
      <c r="F46" s="4" t="s">
        <v>300</v>
      </c>
      <c r="G46" s="7" t="s">
        <v>38</v>
      </c>
      <c r="H46" s="4" t="s">
        <v>23</v>
      </c>
      <c r="I46" s="4" t="s">
        <v>301</v>
      </c>
      <c r="J46" s="4" t="s">
        <v>302</v>
      </c>
      <c r="K46" s="4" t="s">
        <v>303</v>
      </c>
      <c r="L46" s="4" t="s">
        <v>27</v>
      </c>
      <c r="M46" s="4" t="s">
        <v>55</v>
      </c>
      <c r="N46" s="4"/>
    </row>
    <row r="47" customFormat="false" ht="15" hidden="false" customHeight="false" outlineLevel="0" collapsed="false">
      <c r="A47" s="6" t="s">
        <v>249</v>
      </c>
      <c r="B47" s="6" t="s">
        <v>304</v>
      </c>
      <c r="C47" s="6" t="s">
        <v>305</v>
      </c>
      <c r="D47" s="6" t="s">
        <v>306</v>
      </c>
      <c r="E47" s="6" t="s">
        <v>307</v>
      </c>
      <c r="F47" s="6" t="s">
        <v>308</v>
      </c>
      <c r="G47" s="5" t="s">
        <v>22</v>
      </c>
      <c r="H47" s="6" t="s">
        <v>23</v>
      </c>
      <c r="I47" s="6" t="s">
        <v>87</v>
      </c>
      <c r="J47" s="6" t="s">
        <v>309</v>
      </c>
      <c r="K47" s="6" t="s">
        <v>91</v>
      </c>
      <c r="L47" s="6" t="s">
        <v>27</v>
      </c>
      <c r="M47" s="6" t="s">
        <v>28</v>
      </c>
      <c r="N47" s="6"/>
    </row>
    <row r="48" customFormat="false" ht="15" hidden="false" customHeight="false" outlineLevel="0" collapsed="false">
      <c r="A48" s="4" t="s">
        <v>249</v>
      </c>
      <c r="B48" s="4" t="s">
        <v>310</v>
      </c>
      <c r="C48" s="4" t="s">
        <v>311</v>
      </c>
      <c r="D48" s="4" t="s">
        <v>312</v>
      </c>
      <c r="E48" s="4" t="s">
        <v>313</v>
      </c>
      <c r="F48" s="4" t="s">
        <v>314</v>
      </c>
      <c r="G48" s="8" t="s">
        <v>315</v>
      </c>
      <c r="H48" s="4" t="s">
        <v>316</v>
      </c>
      <c r="I48" s="4" t="s">
        <v>317</v>
      </c>
      <c r="J48" s="4" t="s">
        <v>318</v>
      </c>
      <c r="K48" s="4" t="s">
        <v>319</v>
      </c>
      <c r="L48" s="4" t="s">
        <v>27</v>
      </c>
      <c r="M48" s="4" t="s">
        <v>177</v>
      </c>
      <c r="N48" s="4"/>
    </row>
    <row r="49" customFormat="false" ht="15" hidden="false" customHeight="false" outlineLevel="0" collapsed="false">
      <c r="A49" s="6" t="s">
        <v>249</v>
      </c>
      <c r="B49" s="6" t="s">
        <v>320</v>
      </c>
      <c r="C49" s="6" t="s">
        <v>321</v>
      </c>
      <c r="D49" s="6" t="s">
        <v>322</v>
      </c>
      <c r="E49" s="6" t="s">
        <v>323</v>
      </c>
      <c r="F49" s="6" t="s">
        <v>324</v>
      </c>
      <c r="G49" s="5" t="s">
        <v>22</v>
      </c>
      <c r="H49" s="6" t="s">
        <v>23</v>
      </c>
      <c r="I49" s="6" t="s">
        <v>182</v>
      </c>
      <c r="J49" s="6" t="s">
        <v>325</v>
      </c>
      <c r="K49" s="6" t="s">
        <v>184</v>
      </c>
      <c r="L49" s="6" t="s">
        <v>27</v>
      </c>
      <c r="M49" s="6" t="s">
        <v>55</v>
      </c>
      <c r="N49" s="6"/>
    </row>
    <row r="50" customFormat="false" ht="15" hidden="false" customHeight="false" outlineLevel="0" collapsed="false">
      <c r="A50" s="4" t="s">
        <v>249</v>
      </c>
      <c r="B50" s="4" t="s">
        <v>326</v>
      </c>
      <c r="C50" s="4" t="s">
        <v>327</v>
      </c>
      <c r="D50" s="4" t="s">
        <v>328</v>
      </c>
      <c r="E50" s="4" t="s">
        <v>329</v>
      </c>
      <c r="F50" s="4" t="s">
        <v>330</v>
      </c>
      <c r="G50" s="7" t="s">
        <v>38</v>
      </c>
      <c r="H50" s="4" t="s">
        <v>133</v>
      </c>
      <c r="I50" s="4" t="s">
        <v>174</v>
      </c>
      <c r="J50" s="4" t="s">
        <v>174</v>
      </c>
      <c r="K50" s="4" t="s">
        <v>176</v>
      </c>
      <c r="L50" s="4" t="s">
        <v>27</v>
      </c>
      <c r="M50" s="4" t="s">
        <v>177</v>
      </c>
      <c r="N50" s="4"/>
    </row>
    <row r="51" customFormat="false" ht="15" hidden="false" customHeight="false" outlineLevel="0" collapsed="false">
      <c r="A51" s="6" t="s">
        <v>249</v>
      </c>
      <c r="B51" s="6" t="s">
        <v>331</v>
      </c>
      <c r="C51" s="6" t="s">
        <v>332</v>
      </c>
      <c r="D51" s="6" t="s">
        <v>333</v>
      </c>
      <c r="E51" s="6" t="s">
        <v>334</v>
      </c>
      <c r="F51" s="6" t="s">
        <v>335</v>
      </c>
      <c r="G51" s="5" t="s">
        <v>22</v>
      </c>
      <c r="H51" s="6" t="s">
        <v>23</v>
      </c>
      <c r="I51" s="6" t="s">
        <v>24</v>
      </c>
      <c r="J51" s="6" t="s">
        <v>336</v>
      </c>
      <c r="K51" s="6" t="s">
        <v>26</v>
      </c>
      <c r="L51" s="6" t="s">
        <v>27</v>
      </c>
      <c r="M51" s="6" t="s">
        <v>28</v>
      </c>
      <c r="N51" s="6"/>
    </row>
    <row r="52" customFormat="false" ht="15" hidden="false" customHeight="false" outlineLevel="0" collapsed="false">
      <c r="A52" s="4" t="s">
        <v>337</v>
      </c>
      <c r="B52" s="4" t="s">
        <v>338</v>
      </c>
      <c r="C52" s="4" t="s">
        <v>339</v>
      </c>
      <c r="D52" s="4" t="s">
        <v>340</v>
      </c>
      <c r="E52" s="4" t="s">
        <v>231</v>
      </c>
      <c r="F52" s="4" t="s">
        <v>341</v>
      </c>
      <c r="G52" s="5" t="s">
        <v>22</v>
      </c>
      <c r="H52" s="4" t="s">
        <v>23</v>
      </c>
      <c r="I52" s="4" t="s">
        <v>231</v>
      </c>
      <c r="J52" s="4" t="s">
        <v>232</v>
      </c>
      <c r="K52" s="4" t="s">
        <v>233</v>
      </c>
      <c r="L52" s="4" t="s">
        <v>27</v>
      </c>
      <c r="M52" s="4" t="s">
        <v>55</v>
      </c>
      <c r="N52" s="4"/>
    </row>
    <row r="53" customFormat="false" ht="15" hidden="false" customHeight="false" outlineLevel="0" collapsed="false">
      <c r="A53" s="6" t="s">
        <v>337</v>
      </c>
      <c r="B53" s="6" t="s">
        <v>338</v>
      </c>
      <c r="C53" s="6" t="s">
        <v>342</v>
      </c>
      <c r="D53" s="6" t="s">
        <v>343</v>
      </c>
      <c r="E53" s="6" t="s">
        <v>344</v>
      </c>
      <c r="F53" s="6" t="s">
        <v>345</v>
      </c>
      <c r="G53" s="5" t="s">
        <v>22</v>
      </c>
      <c r="H53" s="6" t="s">
        <v>23</v>
      </c>
      <c r="I53" s="6" t="s">
        <v>127</v>
      </c>
      <c r="J53" s="6" t="s">
        <v>128</v>
      </c>
      <c r="K53" s="6" t="s">
        <v>129</v>
      </c>
      <c r="L53" s="6" t="s">
        <v>27</v>
      </c>
      <c r="M53" s="6" t="s">
        <v>55</v>
      </c>
      <c r="N53" s="6"/>
    </row>
    <row r="54" customFormat="false" ht="15" hidden="false" customHeight="false" outlineLevel="0" collapsed="false">
      <c r="A54" s="4" t="s">
        <v>337</v>
      </c>
      <c r="B54" s="4" t="s">
        <v>338</v>
      </c>
      <c r="C54" s="4" t="s">
        <v>346</v>
      </c>
      <c r="D54" s="4" t="s">
        <v>347</v>
      </c>
      <c r="E54" s="4" t="s">
        <v>348</v>
      </c>
      <c r="F54" s="4" t="s">
        <v>349</v>
      </c>
      <c r="G54" s="7" t="s">
        <v>38</v>
      </c>
      <c r="H54" s="4" t="s">
        <v>133</v>
      </c>
      <c r="I54" s="4" t="s">
        <v>350</v>
      </c>
      <c r="J54" s="4" t="s">
        <v>351</v>
      </c>
      <c r="K54" s="4" t="s">
        <v>352</v>
      </c>
      <c r="L54" s="4" t="s">
        <v>27</v>
      </c>
      <c r="M54" s="4" t="s">
        <v>177</v>
      </c>
      <c r="N54" s="4"/>
    </row>
    <row r="55" customFormat="false" ht="15" hidden="false" customHeight="false" outlineLevel="0" collapsed="false">
      <c r="A55" s="6" t="s">
        <v>337</v>
      </c>
      <c r="B55" s="6" t="s">
        <v>353</v>
      </c>
      <c r="C55" s="6" t="s">
        <v>354</v>
      </c>
      <c r="D55" s="6" t="s">
        <v>355</v>
      </c>
      <c r="E55" s="6" t="s">
        <v>356</v>
      </c>
      <c r="F55" s="6" t="s">
        <v>357</v>
      </c>
      <c r="G55" s="7" t="s">
        <v>38</v>
      </c>
      <c r="H55" s="6" t="s">
        <v>133</v>
      </c>
      <c r="I55" s="6" t="s">
        <v>358</v>
      </c>
      <c r="J55" s="6" t="s">
        <v>359</v>
      </c>
      <c r="K55" s="6" t="s">
        <v>26</v>
      </c>
      <c r="L55" s="6" t="s">
        <v>27</v>
      </c>
      <c r="M55" s="6" t="s">
        <v>55</v>
      </c>
      <c r="N55" s="6"/>
    </row>
    <row r="56" customFormat="false" ht="15" hidden="false" customHeight="false" outlineLevel="0" collapsed="false">
      <c r="A56" s="4" t="s">
        <v>337</v>
      </c>
      <c r="B56" s="4" t="s">
        <v>360</v>
      </c>
      <c r="C56" s="4" t="s">
        <v>361</v>
      </c>
      <c r="D56" s="4" t="s">
        <v>362</v>
      </c>
      <c r="E56" s="4" t="s">
        <v>363</v>
      </c>
      <c r="F56" s="4" t="s">
        <v>364</v>
      </c>
      <c r="G56" s="8" t="s">
        <v>315</v>
      </c>
      <c r="H56" s="4" t="s">
        <v>316</v>
      </c>
      <c r="I56" s="4" t="s">
        <v>360</v>
      </c>
      <c r="J56" s="4" t="s">
        <v>365</v>
      </c>
      <c r="K56" s="4" t="s">
        <v>176</v>
      </c>
      <c r="L56" s="4" t="s">
        <v>27</v>
      </c>
      <c r="M56" s="4" t="s">
        <v>177</v>
      </c>
      <c r="N56" s="4"/>
    </row>
  </sheetData>
  <autoFilter ref="A3:N56"/>
  <mergeCells count="2">
    <mergeCell ref="A1:N1"/>
    <mergeCell ref="A2:N2"/>
  </mergeCells>
  <dataValidations count="4">
    <dataValidation allowBlank="true" error="Select a valid risk level" errorStyle="stop" operator="between" showDropDown="false" showErrorMessage="false" showInputMessage="false" sqref="G4:G56" type="list">
      <formula1>"Critical,High,Medium,Low"</formula1>
      <formula2>0</formula2>
    </dataValidation>
    <dataValidation allowBlank="true" errorStyle="stop" operator="between" showDropDown="false" showErrorMessage="false" showInputMessage="false" sqref="H4:H56" type="list">
      <formula1>"P1,P2,P3,P4"</formula1>
      <formula2>0</formula2>
    </dataValidation>
    <dataValidation allowBlank="true" errorStyle="stop" operator="between" showDropDown="false" showErrorMessage="false" showInputMessage="false" sqref="L4:L56" type="list">
      <formula1>"Not Started,In Progress,Partial,Compliant,N/A"</formula1>
      <formula2>0</formula2>
    </dataValidation>
    <dataValidation allowBlank="true" errorStyle="stop" operator="between" showDropDown="false" showErrorMessage="false" showInputMessage="false" sqref="M4:M56" type="list">
      <formula1>"Phase 1,Phase 2,Phase 3,Phase 4,Phase 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Q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5"/>
    <col collapsed="false" customWidth="true" hidden="false" outlineLevel="0" max="4" min="4" style="0" width="20"/>
    <col collapsed="false" customWidth="true" hidden="false" outlineLevel="0" max="5" min="5" style="0" width="32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38"/>
    <col collapsed="false" customWidth="true" hidden="false" outlineLevel="0" max="9" min="9" style="0" width="30"/>
    <col collapsed="false" customWidth="true" hidden="false" outlineLevel="0" max="10" min="10" style="0" width="8"/>
    <col collapsed="false" customWidth="true" hidden="false" outlineLevel="0" max="12" min="11" style="0" width="16"/>
    <col collapsed="false" customWidth="true" hidden="false" outlineLevel="0" max="13" min="13" style="0" width="25"/>
    <col collapsed="false" customWidth="true" hidden="false" outlineLevel="0" max="14" min="14" style="0" width="12"/>
    <col collapsed="false" customWidth="true" hidden="false" outlineLevel="0" max="16" min="15" style="0" width="18"/>
    <col collapsed="false" customWidth="true" hidden="false" outlineLevel="0" max="17" min="17" style="0" width="25"/>
  </cols>
  <sheetData>
    <row r="1" customFormat="false" ht="34.5" hidden="false" customHeight="true" outlineLevel="0" collapsed="false">
      <c r="A1" s="1" t="s">
        <v>366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39.55" hidden="false" customHeight="false" outlineLevel="0" collapsed="false">
      <c r="A3" s="3" t="s">
        <v>2</v>
      </c>
      <c r="B3" s="3" t="s">
        <v>5</v>
      </c>
      <c r="C3" s="3" t="s">
        <v>367</v>
      </c>
      <c r="D3" s="3" t="s">
        <v>10</v>
      </c>
      <c r="E3" s="3" t="s">
        <v>368</v>
      </c>
      <c r="F3" s="3" t="s">
        <v>369</v>
      </c>
      <c r="G3" s="3" t="s">
        <v>370</v>
      </c>
      <c r="H3" s="3" t="s">
        <v>371</v>
      </c>
      <c r="I3" s="3" t="s">
        <v>372</v>
      </c>
      <c r="J3" s="3" t="s">
        <v>373</v>
      </c>
      <c r="K3" s="3" t="s">
        <v>374</v>
      </c>
      <c r="L3" s="3" t="s">
        <v>375</v>
      </c>
      <c r="M3" s="3" t="s">
        <v>376</v>
      </c>
      <c r="N3" s="3" t="s">
        <v>377</v>
      </c>
      <c r="O3" s="3" t="s">
        <v>378</v>
      </c>
      <c r="P3" s="3" t="s">
        <v>379</v>
      </c>
      <c r="Q3" s="3" t="s">
        <v>15</v>
      </c>
    </row>
    <row r="4" customFormat="false" ht="15" hidden="false" customHeight="false" outlineLevel="0" collapsed="false">
      <c r="A4" s="4" t="s">
        <v>16</v>
      </c>
      <c r="B4" s="4" t="s">
        <v>86</v>
      </c>
      <c r="C4" s="4" t="s">
        <v>380</v>
      </c>
      <c r="D4" s="4" t="s">
        <v>89</v>
      </c>
      <c r="E4" s="4" t="s">
        <v>381</v>
      </c>
      <c r="F4" s="4" t="s">
        <v>382</v>
      </c>
      <c r="G4" s="4"/>
      <c r="H4" s="4" t="s">
        <v>383</v>
      </c>
      <c r="I4" s="4" t="s">
        <v>384</v>
      </c>
      <c r="J4" s="4" t="n">
        <v>2</v>
      </c>
      <c r="K4" s="9" t="n">
        <v>212825.16</v>
      </c>
      <c r="L4" s="9" t="n">
        <f aca="false">J4*K4</f>
        <v>425650.32</v>
      </c>
      <c r="M4" s="4" t="s">
        <v>385</v>
      </c>
      <c r="N4" s="4" t="s">
        <v>386</v>
      </c>
      <c r="O4" s="4" t="s">
        <v>386</v>
      </c>
      <c r="P4" s="4" t="s">
        <v>386</v>
      </c>
      <c r="Q4" s="4" t="s">
        <v>387</v>
      </c>
    </row>
    <row r="5" customFormat="false" ht="23.85" hidden="false" customHeight="false" outlineLevel="0" collapsed="false">
      <c r="A5" s="6" t="s">
        <v>16</v>
      </c>
      <c r="B5" s="6" t="s">
        <v>86</v>
      </c>
      <c r="C5" s="6" t="s">
        <v>380</v>
      </c>
      <c r="D5" s="6" t="s">
        <v>89</v>
      </c>
      <c r="E5" s="6" t="s">
        <v>388</v>
      </c>
      <c r="F5" s="6" t="s">
        <v>382</v>
      </c>
      <c r="G5" s="6"/>
      <c r="H5" s="6" t="s">
        <v>389</v>
      </c>
      <c r="I5" s="6" t="s">
        <v>390</v>
      </c>
      <c r="J5" s="6" t="n">
        <v>2</v>
      </c>
      <c r="K5" s="10" t="n">
        <v>138240</v>
      </c>
      <c r="L5" s="10" t="n">
        <f aca="false">J5*K5</f>
        <v>276480</v>
      </c>
      <c r="M5" s="6" t="s">
        <v>391</v>
      </c>
      <c r="N5" s="6" t="s">
        <v>386</v>
      </c>
      <c r="O5" s="6" t="s">
        <v>392</v>
      </c>
      <c r="P5" s="6" t="s">
        <v>386</v>
      </c>
      <c r="Q5" s="6"/>
    </row>
    <row r="6" customFormat="false" ht="23.85" hidden="false" customHeight="false" outlineLevel="0" collapsed="false">
      <c r="A6" s="4" t="s">
        <v>16</v>
      </c>
      <c r="B6" s="4" t="s">
        <v>86</v>
      </c>
      <c r="C6" s="4" t="s">
        <v>380</v>
      </c>
      <c r="D6" s="4" t="s">
        <v>89</v>
      </c>
      <c r="E6" s="4" t="s">
        <v>393</v>
      </c>
      <c r="F6" s="4" t="s">
        <v>382</v>
      </c>
      <c r="G6" s="4"/>
      <c r="H6" s="4" t="s">
        <v>394</v>
      </c>
      <c r="I6" s="4" t="s">
        <v>395</v>
      </c>
      <c r="J6" s="4" t="n">
        <v>4</v>
      </c>
      <c r="K6" s="9" t="n">
        <v>58411.32</v>
      </c>
      <c r="L6" s="9" t="n">
        <f aca="false">J6*K6</f>
        <v>233645.28</v>
      </c>
      <c r="M6" s="4" t="s">
        <v>396</v>
      </c>
      <c r="N6" s="4" t="s">
        <v>386</v>
      </c>
      <c r="O6" s="4" t="s">
        <v>386</v>
      </c>
      <c r="P6" s="4" t="s">
        <v>386</v>
      </c>
      <c r="Q6" s="4" t="s">
        <v>397</v>
      </c>
    </row>
    <row r="7" customFormat="false" ht="15" hidden="false" customHeight="false" outlineLevel="0" collapsed="false">
      <c r="A7" s="6" t="s">
        <v>16</v>
      </c>
      <c r="B7" s="6" t="s">
        <v>86</v>
      </c>
      <c r="C7" s="6" t="s">
        <v>380</v>
      </c>
      <c r="D7" s="6" t="s">
        <v>89</v>
      </c>
      <c r="E7" s="6" t="s">
        <v>398</v>
      </c>
      <c r="F7" s="6" t="s">
        <v>382</v>
      </c>
      <c r="G7" s="6"/>
      <c r="H7" s="6" t="s">
        <v>399</v>
      </c>
      <c r="I7" s="6" t="s">
        <v>400</v>
      </c>
      <c r="J7" s="6" t="n">
        <v>10</v>
      </c>
      <c r="K7" s="10" t="n">
        <v>13824</v>
      </c>
      <c r="L7" s="10" t="n">
        <f aca="false">J7*K7</f>
        <v>138240</v>
      </c>
      <c r="M7" s="6" t="s">
        <v>401</v>
      </c>
      <c r="N7" s="6" t="s">
        <v>386</v>
      </c>
      <c r="O7" s="6" t="s">
        <v>392</v>
      </c>
      <c r="P7" s="6" t="s">
        <v>386</v>
      </c>
      <c r="Q7" s="6" t="s">
        <v>402</v>
      </c>
    </row>
    <row r="8" customFormat="false" ht="23.85" hidden="false" customHeight="false" outlineLevel="0" collapsed="false">
      <c r="A8" s="4" t="s">
        <v>16</v>
      </c>
      <c r="B8" s="4" t="s">
        <v>93</v>
      </c>
      <c r="C8" s="4" t="s">
        <v>94</v>
      </c>
      <c r="D8" s="4" t="s">
        <v>403</v>
      </c>
      <c r="E8" s="4" t="s">
        <v>404</v>
      </c>
      <c r="F8" s="4" t="s">
        <v>382</v>
      </c>
      <c r="G8" s="4"/>
      <c r="H8" s="4" t="s">
        <v>405</v>
      </c>
      <c r="I8" s="4" t="s">
        <v>406</v>
      </c>
      <c r="J8" s="4" t="n">
        <v>40</v>
      </c>
      <c r="K8" s="9" t="n">
        <v>3930</v>
      </c>
      <c r="L8" s="9" t="n">
        <f aca="false">J8*K8</f>
        <v>157200</v>
      </c>
      <c r="M8" s="4" t="s">
        <v>407</v>
      </c>
      <c r="N8" s="4" t="s">
        <v>392</v>
      </c>
      <c r="O8" s="4" t="s">
        <v>386</v>
      </c>
      <c r="P8" s="4" t="s">
        <v>386</v>
      </c>
      <c r="Q8" s="4"/>
    </row>
    <row r="9" customFormat="false" ht="15" hidden="false" customHeight="false" outlineLevel="0" collapsed="false">
      <c r="A9" s="6" t="s">
        <v>16</v>
      </c>
      <c r="B9" s="6" t="s">
        <v>93</v>
      </c>
      <c r="C9" s="6" t="s">
        <v>94</v>
      </c>
      <c r="D9" s="6" t="s">
        <v>403</v>
      </c>
      <c r="E9" s="6" t="s">
        <v>408</v>
      </c>
      <c r="F9" s="6" t="s">
        <v>382</v>
      </c>
      <c r="G9" s="6"/>
      <c r="H9" s="6" t="s">
        <v>409</v>
      </c>
      <c r="I9" s="6" t="s">
        <v>410</v>
      </c>
      <c r="J9" s="6" t="n">
        <v>20</v>
      </c>
      <c r="K9" s="10" t="n">
        <v>2010</v>
      </c>
      <c r="L9" s="10" t="n">
        <f aca="false">J9*K9</f>
        <v>40200</v>
      </c>
      <c r="M9" s="6" t="s">
        <v>411</v>
      </c>
      <c r="N9" s="6" t="s">
        <v>392</v>
      </c>
      <c r="O9" s="6" t="s">
        <v>386</v>
      </c>
      <c r="P9" s="6" t="s">
        <v>386</v>
      </c>
      <c r="Q9" s="6"/>
    </row>
    <row r="10" customFormat="false" ht="15" hidden="false" customHeight="false" outlineLevel="0" collapsed="false">
      <c r="A10" s="4" t="s">
        <v>16</v>
      </c>
      <c r="B10" s="4" t="s">
        <v>93</v>
      </c>
      <c r="C10" s="4" t="s">
        <v>94</v>
      </c>
      <c r="D10" s="4" t="s">
        <v>403</v>
      </c>
      <c r="E10" s="4" t="s">
        <v>412</v>
      </c>
      <c r="F10" s="4" t="s">
        <v>382</v>
      </c>
      <c r="G10" s="4"/>
      <c r="H10" s="4" t="s">
        <v>413</v>
      </c>
      <c r="I10" s="4" t="s">
        <v>414</v>
      </c>
      <c r="J10" s="4" t="n">
        <v>4</v>
      </c>
      <c r="K10" s="9" t="n">
        <v>32592</v>
      </c>
      <c r="L10" s="9" t="n">
        <f aca="false">J10*K10</f>
        <v>130368</v>
      </c>
      <c r="M10" s="4" t="s">
        <v>415</v>
      </c>
      <c r="N10" s="4" t="s">
        <v>386</v>
      </c>
      <c r="O10" s="4" t="s">
        <v>386</v>
      </c>
      <c r="P10" s="4" t="s">
        <v>386</v>
      </c>
      <c r="Q10" s="4"/>
    </row>
    <row r="11" customFormat="false" ht="15" hidden="false" customHeight="false" outlineLevel="0" collapsed="false">
      <c r="A11" s="6" t="s">
        <v>16</v>
      </c>
      <c r="B11" s="6" t="s">
        <v>143</v>
      </c>
      <c r="C11" s="6" t="s">
        <v>144</v>
      </c>
      <c r="D11" s="6" t="s">
        <v>146</v>
      </c>
      <c r="E11" s="6" t="s">
        <v>416</v>
      </c>
      <c r="F11" s="6" t="s">
        <v>382</v>
      </c>
      <c r="G11" s="6"/>
      <c r="H11" s="6" t="s">
        <v>417</v>
      </c>
      <c r="I11" s="6" t="s">
        <v>418</v>
      </c>
      <c r="J11" s="6" t="n">
        <v>80</v>
      </c>
      <c r="K11" s="10" t="n">
        <v>568.8</v>
      </c>
      <c r="L11" s="10" t="n">
        <f aca="false">J11*K11</f>
        <v>45504</v>
      </c>
      <c r="M11" s="6" t="s">
        <v>419</v>
      </c>
      <c r="N11" s="6" t="s">
        <v>392</v>
      </c>
      <c r="O11" s="6" t="s">
        <v>392</v>
      </c>
      <c r="P11" s="6" t="s">
        <v>386</v>
      </c>
      <c r="Q11" s="6" t="s">
        <v>420</v>
      </c>
    </row>
    <row r="12" customFormat="false" ht="15" hidden="false" customHeight="false" outlineLevel="0" collapsed="false">
      <c r="A12" s="4" t="s">
        <v>16</v>
      </c>
      <c r="B12" s="4" t="s">
        <v>137</v>
      </c>
      <c r="C12" s="4" t="s">
        <v>138</v>
      </c>
      <c r="D12" s="4" t="s">
        <v>140</v>
      </c>
      <c r="E12" s="4" t="s">
        <v>421</v>
      </c>
      <c r="F12" s="4" t="s">
        <v>382</v>
      </c>
      <c r="G12" s="4" t="s">
        <v>422</v>
      </c>
      <c r="H12" s="4" t="s">
        <v>423</v>
      </c>
      <c r="I12" s="4" t="s">
        <v>424</v>
      </c>
      <c r="J12" s="4" t="n">
        <v>2</v>
      </c>
      <c r="K12" s="9" t="n">
        <v>16380</v>
      </c>
      <c r="L12" s="9" t="n">
        <f aca="false">J12*K12</f>
        <v>32760</v>
      </c>
      <c r="M12" s="4" t="s">
        <v>425</v>
      </c>
      <c r="N12" s="4" t="s">
        <v>386</v>
      </c>
      <c r="O12" s="4" t="s">
        <v>386</v>
      </c>
      <c r="P12" s="4" t="s">
        <v>386</v>
      </c>
      <c r="Q12" s="4" t="s">
        <v>426</v>
      </c>
    </row>
    <row r="13" customFormat="false" ht="15" hidden="false" customHeight="false" outlineLevel="0" collapsed="false">
      <c r="A13" s="6" t="s">
        <v>16</v>
      </c>
      <c r="B13" s="6" t="s">
        <v>137</v>
      </c>
      <c r="C13" s="6" t="s">
        <v>138</v>
      </c>
      <c r="D13" s="6" t="s">
        <v>140</v>
      </c>
      <c r="E13" s="6" t="s">
        <v>427</v>
      </c>
      <c r="F13" s="6" t="s">
        <v>382</v>
      </c>
      <c r="G13" s="6"/>
      <c r="H13" s="6" t="s">
        <v>428</v>
      </c>
      <c r="I13" s="6" t="s">
        <v>429</v>
      </c>
      <c r="J13" s="6" t="n">
        <v>2</v>
      </c>
      <c r="K13" s="10" t="n">
        <v>9828</v>
      </c>
      <c r="L13" s="10" t="n">
        <f aca="false">J13*K13</f>
        <v>19656</v>
      </c>
      <c r="M13" s="6"/>
      <c r="N13" s="6"/>
      <c r="O13" s="6"/>
      <c r="P13" s="6"/>
      <c r="Q13" s="6"/>
    </row>
    <row r="14" customFormat="false" ht="15" hidden="false" customHeight="false" outlineLevel="0" collapsed="false">
      <c r="A14" s="4" t="s">
        <v>16</v>
      </c>
      <c r="B14" s="4" t="s">
        <v>65</v>
      </c>
      <c r="C14" s="4" t="s">
        <v>430</v>
      </c>
      <c r="D14" s="4" t="s">
        <v>68</v>
      </c>
      <c r="E14" s="4" t="s">
        <v>431</v>
      </c>
      <c r="F14" s="4" t="s">
        <v>382</v>
      </c>
      <c r="G14" s="4" t="s">
        <v>432</v>
      </c>
      <c r="H14" s="4" t="s">
        <v>433</v>
      </c>
      <c r="I14" s="4" t="s">
        <v>434</v>
      </c>
      <c r="J14" s="4" t="n">
        <v>200</v>
      </c>
      <c r="K14" s="9" t="n">
        <v>129.6</v>
      </c>
      <c r="L14" s="9" t="n">
        <f aca="false">J14*K14</f>
        <v>25920</v>
      </c>
      <c r="M14" s="4" t="s">
        <v>435</v>
      </c>
      <c r="N14" s="4" t="s">
        <v>392</v>
      </c>
      <c r="O14" s="4" t="s">
        <v>392</v>
      </c>
      <c r="P14" s="4" t="s">
        <v>386</v>
      </c>
      <c r="Q14" s="4" t="s">
        <v>436</v>
      </c>
    </row>
    <row r="15" customFormat="false" ht="15" hidden="false" customHeight="false" outlineLevel="0" collapsed="false">
      <c r="A15" s="6" t="s">
        <v>16</v>
      </c>
      <c r="B15" s="6" t="s">
        <v>72</v>
      </c>
      <c r="C15" s="6" t="s">
        <v>73</v>
      </c>
      <c r="D15" s="6" t="s">
        <v>75</v>
      </c>
      <c r="E15" s="6" t="s">
        <v>437</v>
      </c>
      <c r="F15" s="6" t="s">
        <v>382</v>
      </c>
      <c r="G15" s="6" t="s">
        <v>438</v>
      </c>
      <c r="H15" s="6" t="s">
        <v>439</v>
      </c>
      <c r="I15" s="6" t="s">
        <v>440</v>
      </c>
      <c r="J15" s="6" t="n">
        <v>2</v>
      </c>
      <c r="K15" s="10" t="n">
        <v>70800</v>
      </c>
      <c r="L15" s="10" t="n">
        <f aca="false">J15*K15</f>
        <v>141600</v>
      </c>
      <c r="M15" s="6" t="s">
        <v>441</v>
      </c>
      <c r="N15" s="6" t="s">
        <v>386</v>
      </c>
      <c r="O15" s="6" t="s">
        <v>386</v>
      </c>
      <c r="P15" s="6" t="s">
        <v>386</v>
      </c>
      <c r="Q15" s="6" t="s">
        <v>442</v>
      </c>
    </row>
    <row r="16" customFormat="false" ht="15" hidden="false" customHeight="false" outlineLevel="0" collapsed="false">
      <c r="A16" s="4" t="s">
        <v>16</v>
      </c>
      <c r="B16" s="4" t="s">
        <v>72</v>
      </c>
      <c r="C16" s="4" t="s">
        <v>73</v>
      </c>
      <c r="D16" s="4" t="s">
        <v>75</v>
      </c>
      <c r="E16" s="4" t="s">
        <v>443</v>
      </c>
      <c r="F16" s="4" t="s">
        <v>382</v>
      </c>
      <c r="G16" s="4"/>
      <c r="H16" s="4" t="s">
        <v>444</v>
      </c>
      <c r="I16" s="4" t="s">
        <v>445</v>
      </c>
      <c r="J16" s="4" t="n">
        <v>2</v>
      </c>
      <c r="K16" s="9" t="n">
        <v>42480</v>
      </c>
      <c r="L16" s="9" t="n">
        <f aca="false">J16*K16</f>
        <v>84960</v>
      </c>
      <c r="M16" s="4"/>
      <c r="N16" s="4"/>
      <c r="O16" s="4"/>
      <c r="P16" s="4"/>
      <c r="Q16" s="4"/>
    </row>
    <row r="17" customFormat="false" ht="23.85" hidden="false" customHeight="false" outlineLevel="0" collapsed="false">
      <c r="A17" s="6" t="s">
        <v>16</v>
      </c>
      <c r="B17" s="6" t="s">
        <v>79</v>
      </c>
      <c r="C17" s="6" t="s">
        <v>80</v>
      </c>
      <c r="D17" s="6" t="s">
        <v>82</v>
      </c>
      <c r="E17" s="6" t="s">
        <v>446</v>
      </c>
      <c r="F17" s="6" t="s">
        <v>382</v>
      </c>
      <c r="G17" s="6"/>
      <c r="H17" s="6" t="s">
        <v>447</v>
      </c>
      <c r="I17" s="6" t="s">
        <v>448</v>
      </c>
      <c r="J17" s="6" t="n">
        <v>4</v>
      </c>
      <c r="K17" s="10" t="n">
        <v>9165.6</v>
      </c>
      <c r="L17" s="10" t="n">
        <f aca="false">J17*K17</f>
        <v>36662.4</v>
      </c>
      <c r="M17" s="6" t="s">
        <v>449</v>
      </c>
      <c r="N17" s="6" t="s">
        <v>392</v>
      </c>
      <c r="O17" s="6" t="s">
        <v>386</v>
      </c>
      <c r="P17" s="6" t="s">
        <v>386</v>
      </c>
      <c r="Q17" s="6"/>
    </row>
    <row r="18" customFormat="false" ht="23.85" hidden="false" customHeight="false" outlineLevel="0" collapsed="false">
      <c r="A18" s="4" t="s">
        <v>16</v>
      </c>
      <c r="B18" s="4" t="s">
        <v>117</v>
      </c>
      <c r="C18" s="4" t="s">
        <v>450</v>
      </c>
      <c r="D18" s="4" t="s">
        <v>120</v>
      </c>
      <c r="E18" s="4" t="s">
        <v>451</v>
      </c>
      <c r="F18" s="4" t="s">
        <v>382</v>
      </c>
      <c r="G18" s="4" t="s">
        <v>452</v>
      </c>
      <c r="H18" s="4" t="s">
        <v>453</v>
      </c>
      <c r="I18" s="4" t="s">
        <v>454</v>
      </c>
      <c r="J18" s="4" t="n">
        <v>1</v>
      </c>
      <c r="K18" s="9" t="n">
        <v>129600</v>
      </c>
      <c r="L18" s="9" t="n">
        <f aca="false">J18*K18</f>
        <v>129600</v>
      </c>
      <c r="M18" s="4" t="s">
        <v>455</v>
      </c>
      <c r="N18" s="4" t="s">
        <v>392</v>
      </c>
      <c r="O18" s="4" t="s">
        <v>386</v>
      </c>
      <c r="P18" s="4" t="s">
        <v>386</v>
      </c>
      <c r="Q18" s="4" t="s">
        <v>456</v>
      </c>
    </row>
    <row r="19" customFormat="false" ht="15" hidden="false" customHeight="false" outlineLevel="0" collapsed="false">
      <c r="A19" s="6" t="s">
        <v>16</v>
      </c>
      <c r="B19" s="6" t="s">
        <v>117</v>
      </c>
      <c r="C19" s="6" t="s">
        <v>457</v>
      </c>
      <c r="D19" s="6" t="s">
        <v>458</v>
      </c>
      <c r="E19" s="6" t="s">
        <v>459</v>
      </c>
      <c r="F19" s="6" t="s">
        <v>382</v>
      </c>
      <c r="G19" s="6"/>
      <c r="H19" s="6" t="s">
        <v>460</v>
      </c>
      <c r="I19" s="6" t="s">
        <v>461</v>
      </c>
      <c r="J19" s="6" t="n">
        <v>1</v>
      </c>
      <c r="K19" s="10" t="n">
        <v>24969.6</v>
      </c>
      <c r="L19" s="10" t="n">
        <f aca="false">J19*K19</f>
        <v>24969.6</v>
      </c>
      <c r="M19" s="6"/>
      <c r="N19" s="6" t="s">
        <v>392</v>
      </c>
      <c r="O19" s="6" t="s">
        <v>392</v>
      </c>
      <c r="P19" s="6" t="s">
        <v>386</v>
      </c>
      <c r="Q19" s="6"/>
    </row>
    <row r="20" customFormat="false" ht="15" hidden="false" customHeight="false" outlineLevel="0" collapsed="false">
      <c r="A20" s="4" t="s">
        <v>16</v>
      </c>
      <c r="B20" s="4" t="s">
        <v>112</v>
      </c>
      <c r="C20" s="4" t="s">
        <v>113</v>
      </c>
      <c r="D20" s="4" t="s">
        <v>113</v>
      </c>
      <c r="E20" s="4" t="s">
        <v>115</v>
      </c>
      <c r="F20" s="4" t="s">
        <v>382</v>
      </c>
      <c r="G20" s="4"/>
      <c r="H20" s="4" t="s">
        <v>462</v>
      </c>
      <c r="I20" s="4" t="s">
        <v>463</v>
      </c>
      <c r="J20" s="4" t="n">
        <v>2</v>
      </c>
      <c r="K20" s="9" t="n">
        <v>14931</v>
      </c>
      <c r="L20" s="9" t="n">
        <f aca="false">J20*K20</f>
        <v>29862</v>
      </c>
      <c r="M20" s="4" t="s">
        <v>464</v>
      </c>
      <c r="N20" s="4" t="s">
        <v>386</v>
      </c>
      <c r="O20" s="4" t="s">
        <v>386</v>
      </c>
      <c r="P20" s="4" t="s">
        <v>392</v>
      </c>
      <c r="Q20" s="4" t="s">
        <v>465</v>
      </c>
    </row>
    <row r="21" customFormat="false" ht="15" hidden="false" customHeight="false" outlineLevel="0" collapsed="false">
      <c r="A21" s="6" t="s">
        <v>16</v>
      </c>
      <c r="B21" s="6" t="s">
        <v>106</v>
      </c>
      <c r="C21" s="6" t="s">
        <v>107</v>
      </c>
      <c r="D21" s="6" t="s">
        <v>109</v>
      </c>
      <c r="E21" s="6" t="s">
        <v>110</v>
      </c>
      <c r="F21" s="6" t="s">
        <v>382</v>
      </c>
      <c r="G21" s="6"/>
      <c r="H21" s="6" t="s">
        <v>466</v>
      </c>
      <c r="I21" s="6" t="s">
        <v>467</v>
      </c>
      <c r="J21" s="6" t="n">
        <v>2</v>
      </c>
      <c r="K21" s="10" t="n">
        <v>25200</v>
      </c>
      <c r="L21" s="10" t="n">
        <f aca="false">J21*K21</f>
        <v>50400</v>
      </c>
      <c r="M21" s="6" t="s">
        <v>468</v>
      </c>
      <c r="N21" s="6" t="s">
        <v>386</v>
      </c>
      <c r="O21" s="6" t="s">
        <v>386</v>
      </c>
      <c r="P21" s="6" t="s">
        <v>386</v>
      </c>
      <c r="Q21" s="6" t="s">
        <v>469</v>
      </c>
    </row>
    <row r="22" customFormat="false" ht="15" hidden="false" customHeight="false" outlineLevel="0" collapsed="false">
      <c r="A22" s="4" t="s">
        <v>16</v>
      </c>
      <c r="B22" s="4" t="s">
        <v>130</v>
      </c>
      <c r="C22" s="4" t="s">
        <v>131</v>
      </c>
      <c r="D22" s="4" t="s">
        <v>134</v>
      </c>
      <c r="E22" s="4" t="s">
        <v>135</v>
      </c>
      <c r="F22" s="4" t="s">
        <v>382</v>
      </c>
      <c r="G22" s="4"/>
      <c r="H22" s="4" t="s">
        <v>470</v>
      </c>
      <c r="I22" s="4" t="s">
        <v>471</v>
      </c>
      <c r="J22" s="4" t="n">
        <v>1</v>
      </c>
      <c r="K22" s="9" t="n">
        <v>30000</v>
      </c>
      <c r="L22" s="9" t="n">
        <f aca="false">J22*K22</f>
        <v>30000</v>
      </c>
      <c r="M22" s="4" t="s">
        <v>472</v>
      </c>
      <c r="N22" s="4" t="s">
        <v>392</v>
      </c>
      <c r="O22" s="4" t="s">
        <v>386</v>
      </c>
      <c r="P22" s="4" t="s">
        <v>386</v>
      </c>
      <c r="Q22" s="4" t="s">
        <v>473</v>
      </c>
    </row>
    <row r="23" customFormat="false" ht="15" hidden="false" customHeight="false" outlineLevel="0" collapsed="false">
      <c r="A23" s="6" t="s">
        <v>16</v>
      </c>
      <c r="B23" s="6" t="s">
        <v>124</v>
      </c>
      <c r="C23" s="6" t="s">
        <v>125</v>
      </c>
      <c r="D23" s="6" t="s">
        <v>127</v>
      </c>
      <c r="E23" s="6" t="s">
        <v>474</v>
      </c>
      <c r="F23" s="6" t="s">
        <v>382</v>
      </c>
      <c r="G23" s="6" t="s">
        <v>233</v>
      </c>
      <c r="H23" s="6" t="s">
        <v>475</v>
      </c>
      <c r="I23" s="6" t="s">
        <v>476</v>
      </c>
      <c r="J23" s="6" t="n">
        <v>500</v>
      </c>
      <c r="K23" s="10" t="n">
        <v>162</v>
      </c>
      <c r="L23" s="10" t="n">
        <f aca="false">J23*K23</f>
        <v>81000</v>
      </c>
      <c r="M23" s="6" t="s">
        <v>477</v>
      </c>
      <c r="N23" s="6" t="s">
        <v>392</v>
      </c>
      <c r="O23" s="6" t="s">
        <v>392</v>
      </c>
      <c r="P23" s="6" t="s">
        <v>386</v>
      </c>
      <c r="Q23" s="6"/>
    </row>
    <row r="24" customFormat="false" ht="15" hidden="false" customHeight="false" outlineLevel="0" collapsed="false">
      <c r="A24" s="4" t="s">
        <v>16</v>
      </c>
      <c r="B24" s="4" t="s">
        <v>179</v>
      </c>
      <c r="C24" s="4" t="s">
        <v>478</v>
      </c>
      <c r="D24" s="4" t="s">
        <v>246</v>
      </c>
      <c r="E24" s="4" t="s">
        <v>479</v>
      </c>
      <c r="F24" s="4" t="s">
        <v>382</v>
      </c>
      <c r="G24" s="4"/>
      <c r="H24" s="4" t="s">
        <v>480</v>
      </c>
      <c r="I24" s="4" t="s">
        <v>481</v>
      </c>
      <c r="J24" s="4" t="n">
        <v>1</v>
      </c>
      <c r="K24" s="9" t="n">
        <v>47040</v>
      </c>
      <c r="L24" s="9" t="n">
        <f aca="false">J24*K24</f>
        <v>47040</v>
      </c>
      <c r="M24" s="4" t="s">
        <v>482</v>
      </c>
      <c r="N24" s="4" t="s">
        <v>392</v>
      </c>
      <c r="O24" s="4" t="s">
        <v>386</v>
      </c>
      <c r="P24" s="4" t="s">
        <v>386</v>
      </c>
      <c r="Q24" s="4"/>
    </row>
    <row r="25" customFormat="false" ht="15" hidden="false" customHeight="false" outlineLevel="0" collapsed="false">
      <c r="A25" s="6" t="s">
        <v>16</v>
      </c>
      <c r="B25" s="6" t="s">
        <v>179</v>
      </c>
      <c r="C25" s="6" t="s">
        <v>478</v>
      </c>
      <c r="D25" s="6" t="s">
        <v>246</v>
      </c>
      <c r="E25" s="6" t="s">
        <v>483</v>
      </c>
      <c r="F25" s="6" t="s">
        <v>382</v>
      </c>
      <c r="G25" s="6"/>
      <c r="H25" s="6" t="s">
        <v>484</v>
      </c>
      <c r="I25" s="6" t="s">
        <v>485</v>
      </c>
      <c r="J25" s="6" t="n">
        <v>2</v>
      </c>
      <c r="K25" s="10" t="n">
        <v>15600</v>
      </c>
      <c r="L25" s="10" t="n">
        <f aca="false">J25*K25</f>
        <v>31200</v>
      </c>
      <c r="M25" s="6" t="s">
        <v>486</v>
      </c>
      <c r="N25" s="6" t="s">
        <v>392</v>
      </c>
      <c r="O25" s="6" t="s">
        <v>386</v>
      </c>
      <c r="P25" s="6" t="s">
        <v>386</v>
      </c>
      <c r="Q25" s="6"/>
    </row>
    <row r="26" customFormat="false" ht="15" hidden="false" customHeight="false" outlineLevel="0" collapsed="false">
      <c r="A26" s="4" t="s">
        <v>16</v>
      </c>
      <c r="B26" s="4" t="s">
        <v>179</v>
      </c>
      <c r="C26" s="4" t="s">
        <v>487</v>
      </c>
      <c r="D26" s="4" t="s">
        <v>182</v>
      </c>
      <c r="E26" s="4" t="s">
        <v>488</v>
      </c>
      <c r="F26" s="4" t="s">
        <v>382</v>
      </c>
      <c r="G26" s="4"/>
      <c r="H26" s="4" t="s">
        <v>489</v>
      </c>
      <c r="I26" s="4" t="s">
        <v>490</v>
      </c>
      <c r="J26" s="4" t="n">
        <v>1</v>
      </c>
      <c r="K26" s="9" t="n">
        <v>329911.2</v>
      </c>
      <c r="L26" s="9" t="n">
        <f aca="false">J26*K26</f>
        <v>329911.2</v>
      </c>
      <c r="M26" s="4" t="s">
        <v>491</v>
      </c>
      <c r="N26" s="4" t="s">
        <v>392</v>
      </c>
      <c r="O26" s="4" t="s">
        <v>392</v>
      </c>
      <c r="P26" s="4" t="s">
        <v>386</v>
      </c>
      <c r="Q26" s="4" t="s">
        <v>492</v>
      </c>
    </row>
    <row r="27" customFormat="false" ht="15" hidden="false" customHeight="false" outlineLevel="0" collapsed="false">
      <c r="A27" s="6" t="s">
        <v>16</v>
      </c>
      <c r="B27" s="6" t="s">
        <v>186</v>
      </c>
      <c r="C27" s="6" t="s">
        <v>493</v>
      </c>
      <c r="D27" s="6" t="s">
        <v>494</v>
      </c>
      <c r="E27" s="6" t="s">
        <v>495</v>
      </c>
      <c r="F27" s="6" t="s">
        <v>382</v>
      </c>
      <c r="G27" s="6" t="s">
        <v>496</v>
      </c>
      <c r="H27" s="6" t="s">
        <v>497</v>
      </c>
      <c r="I27" s="6" t="s">
        <v>498</v>
      </c>
      <c r="J27" s="6" t="n">
        <v>1</v>
      </c>
      <c r="K27" s="10" t="n">
        <v>219300</v>
      </c>
      <c r="L27" s="10" t="n">
        <f aca="false">J27*K27</f>
        <v>219300</v>
      </c>
      <c r="M27" s="6" t="s">
        <v>499</v>
      </c>
      <c r="N27" s="6" t="s">
        <v>392</v>
      </c>
      <c r="O27" s="6" t="s">
        <v>386</v>
      </c>
      <c r="P27" s="6" t="s">
        <v>386</v>
      </c>
      <c r="Q27" s="6"/>
    </row>
    <row r="28" customFormat="false" ht="23.85" hidden="false" customHeight="false" outlineLevel="0" collapsed="false">
      <c r="A28" s="4" t="s">
        <v>16</v>
      </c>
      <c r="B28" s="4" t="s">
        <v>155</v>
      </c>
      <c r="C28" s="4" t="s">
        <v>156</v>
      </c>
      <c r="D28" s="4" t="s">
        <v>158</v>
      </c>
      <c r="E28" s="4" t="s">
        <v>500</v>
      </c>
      <c r="F28" s="4" t="s">
        <v>501</v>
      </c>
      <c r="G28" s="4"/>
      <c r="H28" s="4" t="s">
        <v>502</v>
      </c>
      <c r="I28" s="4" t="s">
        <v>503</v>
      </c>
      <c r="J28" s="4" t="n">
        <v>4</v>
      </c>
      <c r="K28" s="9" t="n">
        <v>0</v>
      </c>
      <c r="L28" s="9" t="n">
        <f aca="false">J28*K28</f>
        <v>0</v>
      </c>
      <c r="M28" s="4" t="s">
        <v>504</v>
      </c>
      <c r="N28" s="4" t="s">
        <v>392</v>
      </c>
      <c r="O28" s="4" t="s">
        <v>386</v>
      </c>
      <c r="P28" s="4" t="s">
        <v>392</v>
      </c>
      <c r="Q28" s="4" t="s">
        <v>505</v>
      </c>
    </row>
    <row r="29" customFormat="false" ht="15" hidden="false" customHeight="false" outlineLevel="0" collapsed="false">
      <c r="A29" s="6" t="s">
        <v>16</v>
      </c>
      <c r="B29" s="6" t="s">
        <v>58</v>
      </c>
      <c r="C29" s="6" t="s">
        <v>506</v>
      </c>
      <c r="D29" s="6" t="s">
        <v>507</v>
      </c>
      <c r="E29" s="6" t="s">
        <v>508</v>
      </c>
      <c r="F29" s="6" t="s">
        <v>382</v>
      </c>
      <c r="G29" s="6"/>
      <c r="H29" s="6" t="s">
        <v>509</v>
      </c>
      <c r="I29" s="6" t="s">
        <v>510</v>
      </c>
      <c r="J29" s="6" t="n">
        <v>1</v>
      </c>
      <c r="K29" s="10" t="n">
        <v>0</v>
      </c>
      <c r="L29" s="10" t="n">
        <f aca="false">J29*K29</f>
        <v>0</v>
      </c>
      <c r="M29" s="6" t="s">
        <v>511</v>
      </c>
      <c r="N29" s="6" t="s">
        <v>392</v>
      </c>
      <c r="O29" s="6" t="s">
        <v>386</v>
      </c>
      <c r="P29" s="6" t="s">
        <v>386</v>
      </c>
      <c r="Q29" s="6" t="s">
        <v>512</v>
      </c>
    </row>
    <row r="30" customFormat="false" ht="15" hidden="false" customHeight="false" outlineLevel="0" collapsed="false">
      <c r="A30" s="4" t="s">
        <v>16</v>
      </c>
      <c r="B30" s="4" t="s">
        <v>58</v>
      </c>
      <c r="C30" s="4" t="s">
        <v>513</v>
      </c>
      <c r="D30" s="4" t="s">
        <v>514</v>
      </c>
      <c r="E30" s="4" t="s">
        <v>515</v>
      </c>
      <c r="F30" s="4" t="s">
        <v>382</v>
      </c>
      <c r="G30" s="4"/>
      <c r="H30" s="4" t="s">
        <v>516</v>
      </c>
      <c r="I30" s="4" t="s">
        <v>517</v>
      </c>
      <c r="J30" s="4" t="n">
        <v>1</v>
      </c>
      <c r="K30" s="9" t="n">
        <v>19862.4</v>
      </c>
      <c r="L30" s="9" t="n">
        <f aca="false">J30*K30</f>
        <v>19862.4</v>
      </c>
      <c r="M30" s="4" t="s">
        <v>518</v>
      </c>
      <c r="N30" s="4" t="s">
        <v>392</v>
      </c>
      <c r="O30" s="4" t="s">
        <v>386</v>
      </c>
      <c r="P30" s="4" t="s">
        <v>386</v>
      </c>
      <c r="Q30" s="4"/>
    </row>
    <row r="31" customFormat="false" ht="15" hidden="false" customHeight="false" outlineLevel="0" collapsed="false">
      <c r="A31" s="6" t="s">
        <v>16</v>
      </c>
      <c r="B31" s="6" t="s">
        <v>149</v>
      </c>
      <c r="C31" s="6" t="s">
        <v>519</v>
      </c>
      <c r="D31" s="6" t="s">
        <v>520</v>
      </c>
      <c r="E31" s="6" t="s">
        <v>521</v>
      </c>
      <c r="F31" s="6" t="s">
        <v>382</v>
      </c>
      <c r="G31" s="6" t="s">
        <v>522</v>
      </c>
      <c r="H31" s="6" t="s">
        <v>523</v>
      </c>
      <c r="I31" s="6" t="s">
        <v>524</v>
      </c>
      <c r="J31" s="6" t="n">
        <v>200</v>
      </c>
      <c r="K31" s="10" t="n">
        <v>288</v>
      </c>
      <c r="L31" s="10" t="n">
        <f aca="false">J31*K31</f>
        <v>57600</v>
      </c>
      <c r="M31" s="6" t="s">
        <v>525</v>
      </c>
      <c r="N31" s="6" t="s">
        <v>392</v>
      </c>
      <c r="O31" s="6" t="s">
        <v>392</v>
      </c>
      <c r="P31" s="6" t="s">
        <v>386</v>
      </c>
      <c r="Q31" s="6" t="s">
        <v>526</v>
      </c>
    </row>
    <row r="32" customFormat="false" ht="15" hidden="false" customHeight="false" outlineLevel="0" collapsed="false">
      <c r="A32" s="4" t="s">
        <v>16</v>
      </c>
      <c r="B32" s="4" t="s">
        <v>163</v>
      </c>
      <c r="C32" s="4" t="s">
        <v>527</v>
      </c>
      <c r="D32" s="4" t="s">
        <v>166</v>
      </c>
      <c r="E32" s="4" t="s">
        <v>528</v>
      </c>
      <c r="F32" s="4" t="s">
        <v>168</v>
      </c>
      <c r="G32" s="4" t="s">
        <v>529</v>
      </c>
      <c r="H32" s="4" t="s">
        <v>530</v>
      </c>
      <c r="I32" s="4" t="s">
        <v>531</v>
      </c>
      <c r="J32" s="4" t="n">
        <v>2</v>
      </c>
      <c r="K32" s="9" t="n">
        <v>0</v>
      </c>
      <c r="L32" s="9" t="n">
        <f aca="false">J32*K32</f>
        <v>0</v>
      </c>
      <c r="M32" s="4" t="s">
        <v>532</v>
      </c>
      <c r="N32" s="4" t="s">
        <v>386</v>
      </c>
      <c r="O32" s="4" t="s">
        <v>386</v>
      </c>
      <c r="P32" s="4" t="s">
        <v>386</v>
      </c>
      <c r="Q32" s="4" t="s">
        <v>533</v>
      </c>
    </row>
    <row r="33" customFormat="false" ht="15" hidden="false" customHeight="false" outlineLevel="0" collapsed="false">
      <c r="A33" s="6" t="s">
        <v>16</v>
      </c>
      <c r="B33" s="6" t="s">
        <v>200</v>
      </c>
      <c r="C33" s="6" t="s">
        <v>534</v>
      </c>
      <c r="D33" s="6" t="s">
        <v>203</v>
      </c>
      <c r="E33" s="6" t="s">
        <v>535</v>
      </c>
      <c r="F33" s="6" t="s">
        <v>536</v>
      </c>
      <c r="G33" s="6" t="s">
        <v>537</v>
      </c>
      <c r="H33" s="6" t="s">
        <v>538</v>
      </c>
      <c r="I33" s="6" t="s">
        <v>539</v>
      </c>
      <c r="J33" s="6" t="n">
        <v>2</v>
      </c>
      <c r="K33" s="10" t="n">
        <v>0</v>
      </c>
      <c r="L33" s="10" t="n">
        <f aca="false">J33*K33</f>
        <v>0</v>
      </c>
      <c r="M33" s="6" t="s">
        <v>532</v>
      </c>
      <c r="N33" s="6" t="s">
        <v>386</v>
      </c>
      <c r="O33" s="6" t="s">
        <v>386</v>
      </c>
      <c r="P33" s="6" t="s">
        <v>392</v>
      </c>
      <c r="Q33" s="6" t="s">
        <v>540</v>
      </c>
    </row>
    <row r="34" customFormat="false" ht="15" hidden="false" customHeight="false" outlineLevel="0" collapsed="false">
      <c r="A34" s="4" t="s">
        <v>249</v>
      </c>
      <c r="B34" s="4" t="s">
        <v>298</v>
      </c>
      <c r="C34" s="4" t="s">
        <v>541</v>
      </c>
      <c r="D34" s="4" t="s">
        <v>301</v>
      </c>
      <c r="E34" s="4" t="s">
        <v>302</v>
      </c>
      <c r="F34" s="4" t="s">
        <v>303</v>
      </c>
      <c r="G34" s="4" t="s">
        <v>542</v>
      </c>
      <c r="H34" s="4" t="s">
        <v>543</v>
      </c>
      <c r="I34" s="4" t="s">
        <v>544</v>
      </c>
      <c r="J34" s="4" t="n">
        <v>1</v>
      </c>
      <c r="K34" s="9" t="n">
        <v>0</v>
      </c>
      <c r="L34" s="9" t="n">
        <f aca="false">J34*K34</f>
        <v>0</v>
      </c>
      <c r="M34" s="4" t="s">
        <v>545</v>
      </c>
      <c r="N34" s="4" t="s">
        <v>392</v>
      </c>
      <c r="O34" s="4" t="s">
        <v>392</v>
      </c>
      <c r="P34" s="4" t="s">
        <v>386</v>
      </c>
      <c r="Q34" s="4"/>
    </row>
    <row r="35" customFormat="false" ht="15" hidden="false" customHeight="false" outlineLevel="0" collapsed="false">
      <c r="A35" s="6" t="s">
        <v>16</v>
      </c>
      <c r="B35" s="6" t="s">
        <v>49</v>
      </c>
      <c r="C35" s="6" t="s">
        <v>52</v>
      </c>
      <c r="D35" s="6" t="s">
        <v>52</v>
      </c>
      <c r="E35" s="6" t="s">
        <v>266</v>
      </c>
      <c r="F35" s="6" t="s">
        <v>54</v>
      </c>
      <c r="G35" s="6" t="s">
        <v>267</v>
      </c>
      <c r="H35" s="6" t="s">
        <v>546</v>
      </c>
      <c r="I35" s="6" t="s">
        <v>547</v>
      </c>
      <c r="J35" s="6" t="n">
        <v>1</v>
      </c>
      <c r="K35" s="10" t="n">
        <v>0</v>
      </c>
      <c r="L35" s="10" t="n">
        <f aca="false">J35*K35</f>
        <v>0</v>
      </c>
      <c r="M35" s="6" t="s">
        <v>548</v>
      </c>
      <c r="N35" s="6" t="s">
        <v>392</v>
      </c>
      <c r="O35" s="6" t="s">
        <v>392</v>
      </c>
      <c r="P35" s="6" t="s">
        <v>392</v>
      </c>
      <c r="Q35" s="6"/>
    </row>
    <row r="36" customFormat="false" ht="15" hidden="false" customHeight="false" outlineLevel="0" collapsed="false">
      <c r="A36" s="4" t="s">
        <v>16</v>
      </c>
      <c r="B36" s="4" t="s">
        <v>44</v>
      </c>
      <c r="C36" s="4" t="s">
        <v>25</v>
      </c>
      <c r="D36" s="4" t="s">
        <v>24</v>
      </c>
      <c r="E36" s="4" t="s">
        <v>549</v>
      </c>
      <c r="F36" s="4" t="s">
        <v>26</v>
      </c>
      <c r="G36" s="4" t="s">
        <v>550</v>
      </c>
      <c r="H36" s="4" t="s">
        <v>551</v>
      </c>
      <c r="I36" s="4" t="s">
        <v>552</v>
      </c>
      <c r="J36" s="4" t="n">
        <v>1</v>
      </c>
      <c r="K36" s="9" t="n">
        <v>0</v>
      </c>
      <c r="L36" s="9" t="n">
        <f aca="false">J36*K36</f>
        <v>0</v>
      </c>
      <c r="M36" s="4" t="s">
        <v>545</v>
      </c>
      <c r="N36" s="4" t="s">
        <v>392</v>
      </c>
      <c r="O36" s="4" t="s">
        <v>392</v>
      </c>
      <c r="P36" s="4" t="s">
        <v>392</v>
      </c>
      <c r="Q36" s="4" t="s">
        <v>553</v>
      </c>
    </row>
    <row r="37" customFormat="false" ht="15" hidden="false" customHeight="false" outlineLevel="0" collapsed="false">
      <c r="A37" s="6" t="s">
        <v>337</v>
      </c>
      <c r="B37" s="6" t="s">
        <v>347</v>
      </c>
      <c r="C37" s="6" t="s">
        <v>554</v>
      </c>
      <c r="D37" s="6" t="s">
        <v>350</v>
      </c>
      <c r="E37" s="6" t="s">
        <v>555</v>
      </c>
      <c r="F37" s="6" t="s">
        <v>352</v>
      </c>
      <c r="G37" s="6"/>
      <c r="H37" s="6" t="s">
        <v>556</v>
      </c>
      <c r="I37" s="6" t="s">
        <v>557</v>
      </c>
      <c r="J37" s="6" t="n">
        <v>1</v>
      </c>
      <c r="K37" s="10" t="n">
        <v>0</v>
      </c>
      <c r="L37" s="10" t="n">
        <f aca="false">J37*K37</f>
        <v>0</v>
      </c>
      <c r="M37" s="6" t="s">
        <v>532</v>
      </c>
      <c r="N37" s="6" t="s">
        <v>392</v>
      </c>
      <c r="O37" s="6" t="s">
        <v>386</v>
      </c>
      <c r="P37" s="6" t="s">
        <v>392</v>
      </c>
      <c r="Q37" s="6"/>
    </row>
    <row r="38" customFormat="false" ht="15" hidden="false" customHeight="false" outlineLevel="0" collapsed="false">
      <c r="A38" s="4" t="s">
        <v>16</v>
      </c>
      <c r="B38" s="4" t="s">
        <v>86</v>
      </c>
      <c r="C38" s="4" t="s">
        <v>558</v>
      </c>
      <c r="D38" s="4" t="s">
        <v>559</v>
      </c>
      <c r="E38" s="4" t="s">
        <v>558</v>
      </c>
      <c r="F38" s="4" t="s">
        <v>560</v>
      </c>
      <c r="G38" s="4" t="s">
        <v>561</v>
      </c>
      <c r="H38" s="4" t="s">
        <v>562</v>
      </c>
      <c r="I38" s="4" t="s">
        <v>563</v>
      </c>
      <c r="J38" s="4" t="n">
        <v>2</v>
      </c>
      <c r="K38" s="9" t="n">
        <v>0</v>
      </c>
      <c r="L38" s="9" t="n">
        <f aca="false">J38*K38</f>
        <v>0</v>
      </c>
      <c r="M38" s="4" t="s">
        <v>532</v>
      </c>
      <c r="N38" s="4" t="s">
        <v>386</v>
      </c>
      <c r="O38" s="4" t="s">
        <v>392</v>
      </c>
      <c r="P38" s="4" t="s">
        <v>392</v>
      </c>
      <c r="Q38" s="4"/>
    </row>
    <row r="39" customFormat="false" ht="15" hidden="false" customHeight="false" outlineLevel="0" collapsed="false">
      <c r="A39" s="6" t="s">
        <v>249</v>
      </c>
      <c r="B39" s="6" t="s">
        <v>312</v>
      </c>
      <c r="C39" s="6" t="s">
        <v>564</v>
      </c>
      <c r="D39" s="6" t="s">
        <v>317</v>
      </c>
      <c r="E39" s="6" t="s">
        <v>565</v>
      </c>
      <c r="F39" s="6" t="s">
        <v>319</v>
      </c>
      <c r="G39" s="6" t="s">
        <v>566</v>
      </c>
      <c r="H39" s="6" t="s">
        <v>567</v>
      </c>
      <c r="I39" s="6" t="s">
        <v>568</v>
      </c>
      <c r="J39" s="6" t="n">
        <v>1</v>
      </c>
      <c r="K39" s="10" t="n">
        <v>0</v>
      </c>
      <c r="L39" s="10" t="n">
        <f aca="false">J39*K39</f>
        <v>0</v>
      </c>
      <c r="M39" s="6" t="s">
        <v>532</v>
      </c>
      <c r="N39" s="6" t="s">
        <v>392</v>
      </c>
      <c r="O39" s="6" t="s">
        <v>392</v>
      </c>
      <c r="P39" s="6" t="s">
        <v>392</v>
      </c>
      <c r="Q39" s="6"/>
    </row>
    <row r="40" customFormat="false" ht="15" hidden="false" customHeight="false" outlineLevel="0" collapsed="false">
      <c r="A40" s="4" t="s">
        <v>16</v>
      </c>
      <c r="B40" s="4" t="s">
        <v>93</v>
      </c>
      <c r="C40" s="4" t="s">
        <v>569</v>
      </c>
      <c r="D40" s="4" t="s">
        <v>570</v>
      </c>
      <c r="E40" s="4" t="s">
        <v>571</v>
      </c>
      <c r="F40" s="4" t="s">
        <v>572</v>
      </c>
      <c r="G40" s="4"/>
      <c r="H40" s="4" t="s">
        <v>573</v>
      </c>
      <c r="I40" s="4" t="s">
        <v>574</v>
      </c>
      <c r="J40" s="4" t="n">
        <v>2</v>
      </c>
      <c r="K40" s="9" t="n">
        <v>0</v>
      </c>
      <c r="L40" s="9" t="n">
        <f aca="false">J40*K40</f>
        <v>0</v>
      </c>
      <c r="M40" s="4" t="s">
        <v>532</v>
      </c>
      <c r="N40" s="4" t="s">
        <v>386</v>
      </c>
      <c r="O40" s="4" t="s">
        <v>386</v>
      </c>
      <c r="P40" s="4" t="s">
        <v>386</v>
      </c>
      <c r="Q40" s="4"/>
    </row>
    <row r="41" customFormat="false" ht="15" hidden="false" customHeight="false" outlineLevel="0" collapsed="false">
      <c r="A41" s="6" t="s">
        <v>16</v>
      </c>
      <c r="B41" s="6" t="s">
        <v>58</v>
      </c>
      <c r="C41" s="6" t="s">
        <v>575</v>
      </c>
      <c r="D41" s="6" t="s">
        <v>576</v>
      </c>
      <c r="E41" s="6" t="s">
        <v>577</v>
      </c>
      <c r="F41" s="6" t="s">
        <v>578</v>
      </c>
      <c r="G41" s="6"/>
      <c r="H41" s="6" t="s">
        <v>579</v>
      </c>
      <c r="I41" s="6" t="s">
        <v>580</v>
      </c>
      <c r="J41" s="6" t="n">
        <v>1</v>
      </c>
      <c r="K41" s="10" t="n">
        <v>0</v>
      </c>
      <c r="L41" s="10" t="n">
        <f aca="false">J41*K41</f>
        <v>0</v>
      </c>
      <c r="M41" s="6" t="s">
        <v>532</v>
      </c>
      <c r="N41" s="6" t="s">
        <v>392</v>
      </c>
      <c r="O41" s="6" t="s">
        <v>392</v>
      </c>
      <c r="P41" s="6" t="s">
        <v>392</v>
      </c>
      <c r="Q41" s="6"/>
    </row>
  </sheetData>
  <autoFilter ref="A3:Q41"/>
  <mergeCells count="2">
    <mergeCell ref="A1:Q1"/>
    <mergeCell ref="A2:Q2"/>
  </mergeCells>
  <dataValidations count="5">
    <dataValidation allowBlank="true" errorStyle="stop" operator="between" showDropDown="false" showErrorMessage="false" showInputMessage="false" sqref="F4:F41" type="list">
      <formula1>"Fortinet,Palo Alto,Cisco"</formula1>
      <formula2>0</formula2>
    </dataValidation>
    <dataValidation allowBlank="true" errorStyle="stop" operator="between" showDropDown="false" showErrorMessage="false" showInputMessage="false" sqref="G4:G41" type="list">
      <formula1>"OPSWAT,CrowdStrike,Trend Micro,Trellix,Recorded Future,Anomali,GroupIB,Forcepoint,Fortra,Symantec,Seclore,Thales,Entrust,Infoblox,EfficientIP,Vectra,Extrahop,Darktrace,One Identity,Sailpoint,RSA,BeyondTrust,Delinea,Arcon,Netskope,Zscaler,Black Duck,Veraco"</formula1>
      <formula2>0</formula2>
    </dataValidation>
    <dataValidation allowBlank="true" errorStyle="stop" operator="between" showDropDown="false" showErrorMessage="false" showInputMessage="false" sqref="N4:N41" type="list">
      <formula1>"Yes,No"</formula1>
      <formula2>0</formula2>
    </dataValidation>
    <dataValidation allowBlank="true" errorStyle="stop" operator="between" showDropDown="false" showErrorMessage="false" showInputMessage="false" sqref="O4:O41" type="list">
      <formula1>"Yes,No,Partial"</formula1>
      <formula2>0</formula2>
    </dataValidation>
    <dataValidation allowBlank="true" errorStyle="stop" operator="between" showDropDown="false" showErrorMessage="false" showInputMessage="false" sqref="P4:P41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C00"/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25"/>
  </cols>
  <sheetData>
    <row r="1" customFormat="false" ht="34.5" hidden="false" customHeight="true" outlineLevel="0" collapsed="false">
      <c r="A1" s="1" t="s">
        <v>581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6.85" hidden="false" customHeight="false" outlineLevel="0" collapsed="false">
      <c r="A3" s="3" t="s">
        <v>582</v>
      </c>
      <c r="B3" s="3" t="s">
        <v>583</v>
      </c>
      <c r="C3" s="3" t="s">
        <v>12</v>
      </c>
      <c r="D3" s="3" t="s">
        <v>584</v>
      </c>
      <c r="E3" s="3" t="s">
        <v>372</v>
      </c>
      <c r="F3" s="3" t="s">
        <v>373</v>
      </c>
      <c r="G3" s="3" t="s">
        <v>374</v>
      </c>
      <c r="H3" s="3" t="s">
        <v>375</v>
      </c>
      <c r="I3" s="3" t="s">
        <v>585</v>
      </c>
      <c r="J3" s="3" t="s">
        <v>586</v>
      </c>
      <c r="K3" s="3" t="s">
        <v>587</v>
      </c>
      <c r="L3" s="3" t="s">
        <v>588</v>
      </c>
    </row>
    <row r="4" customFormat="false" ht="15" hidden="false" customHeight="false" outlineLevel="0" collapsed="false">
      <c r="A4" s="4" t="n">
        <v>1</v>
      </c>
      <c r="B4" s="4" t="s">
        <v>589</v>
      </c>
      <c r="C4" s="4" t="s">
        <v>382</v>
      </c>
      <c r="D4" s="4" t="s">
        <v>590</v>
      </c>
      <c r="E4" s="4" t="s">
        <v>384</v>
      </c>
      <c r="F4" s="4" t="n">
        <v>2</v>
      </c>
      <c r="G4" s="9" t="n">
        <v>212825.16</v>
      </c>
      <c r="H4" s="9" t="n">
        <f aca="false">F4*G4</f>
        <v>425650.32</v>
      </c>
      <c r="I4" s="4" t="s">
        <v>591</v>
      </c>
      <c r="J4" s="4" t="s">
        <v>592</v>
      </c>
      <c r="K4" s="4" t="s">
        <v>593</v>
      </c>
      <c r="L4" s="4" t="s">
        <v>594</v>
      </c>
    </row>
    <row r="5" customFormat="false" ht="15" hidden="false" customHeight="false" outlineLevel="0" collapsed="false">
      <c r="A5" s="6" t="n">
        <v>2</v>
      </c>
      <c r="B5" s="6" t="s">
        <v>595</v>
      </c>
      <c r="C5" s="6" t="s">
        <v>382</v>
      </c>
      <c r="D5" s="6" t="s">
        <v>596</v>
      </c>
      <c r="E5" s="6" t="s">
        <v>390</v>
      </c>
      <c r="F5" s="6" t="n">
        <v>2</v>
      </c>
      <c r="G5" s="10" t="n">
        <v>138240</v>
      </c>
      <c r="H5" s="10" t="n">
        <f aca="false">F5*G5</f>
        <v>276480</v>
      </c>
      <c r="I5" s="6" t="s">
        <v>591</v>
      </c>
      <c r="J5" s="6" t="s">
        <v>592</v>
      </c>
      <c r="K5" s="6" t="s">
        <v>597</v>
      </c>
      <c r="L5" s="6" t="s">
        <v>598</v>
      </c>
    </row>
    <row r="6" customFormat="false" ht="23.85" hidden="false" customHeight="false" outlineLevel="0" collapsed="false">
      <c r="A6" s="4" t="n">
        <v>3</v>
      </c>
      <c r="B6" s="4" t="s">
        <v>599</v>
      </c>
      <c r="C6" s="4" t="s">
        <v>382</v>
      </c>
      <c r="D6" s="4" t="s">
        <v>600</v>
      </c>
      <c r="E6" s="4" t="s">
        <v>395</v>
      </c>
      <c r="F6" s="4" t="n">
        <v>4</v>
      </c>
      <c r="G6" s="9" t="n">
        <v>58411.32</v>
      </c>
      <c r="H6" s="9" t="n">
        <f aca="false">F6*G6</f>
        <v>233645.28</v>
      </c>
      <c r="I6" s="4" t="s">
        <v>591</v>
      </c>
      <c r="J6" s="4" t="s">
        <v>592</v>
      </c>
      <c r="K6" s="4" t="s">
        <v>601</v>
      </c>
      <c r="L6" s="4" t="s">
        <v>602</v>
      </c>
    </row>
    <row r="7" customFormat="false" ht="15" hidden="false" customHeight="false" outlineLevel="0" collapsed="false">
      <c r="A7" s="6" t="n">
        <v>4</v>
      </c>
      <c r="B7" s="6" t="s">
        <v>603</v>
      </c>
      <c r="C7" s="6" t="s">
        <v>382</v>
      </c>
      <c r="D7" s="6" t="s">
        <v>604</v>
      </c>
      <c r="E7" s="6" t="s">
        <v>400</v>
      </c>
      <c r="F7" s="6" t="n">
        <v>10</v>
      </c>
      <c r="G7" s="10" t="n">
        <v>13824</v>
      </c>
      <c r="H7" s="10" t="n">
        <f aca="false">F7*G7</f>
        <v>138240</v>
      </c>
      <c r="I7" s="6" t="s">
        <v>591</v>
      </c>
      <c r="J7" s="6" t="s">
        <v>592</v>
      </c>
      <c r="K7" s="6" t="s">
        <v>605</v>
      </c>
      <c r="L7" s="6" t="s">
        <v>402</v>
      </c>
    </row>
    <row r="8" customFormat="false" ht="15" hidden="false" customHeight="false" outlineLevel="0" collapsed="false">
      <c r="A8" s="4" t="n">
        <v>5</v>
      </c>
      <c r="B8" s="4" t="s">
        <v>606</v>
      </c>
      <c r="C8" s="4" t="s">
        <v>382</v>
      </c>
      <c r="D8" s="4" t="s">
        <v>405</v>
      </c>
      <c r="E8" s="4" t="s">
        <v>406</v>
      </c>
      <c r="F8" s="4" t="n">
        <v>40</v>
      </c>
      <c r="G8" s="9" t="n">
        <v>3930</v>
      </c>
      <c r="H8" s="9" t="n">
        <f aca="false">F8*G8</f>
        <v>157200</v>
      </c>
      <c r="I8" s="4" t="s">
        <v>176</v>
      </c>
      <c r="J8" s="4" t="s">
        <v>607</v>
      </c>
      <c r="K8" s="4" t="s">
        <v>608</v>
      </c>
      <c r="L8" s="4" t="s">
        <v>609</v>
      </c>
    </row>
    <row r="9" customFormat="false" ht="15" hidden="false" customHeight="false" outlineLevel="0" collapsed="false">
      <c r="A9" s="6" t="n">
        <v>6</v>
      </c>
      <c r="B9" s="6" t="s">
        <v>610</v>
      </c>
      <c r="C9" s="6" t="s">
        <v>382</v>
      </c>
      <c r="D9" s="6" t="s">
        <v>409</v>
      </c>
      <c r="E9" s="6" t="s">
        <v>410</v>
      </c>
      <c r="F9" s="6" t="n">
        <v>20</v>
      </c>
      <c r="G9" s="10" t="n">
        <v>2010</v>
      </c>
      <c r="H9" s="10" t="n">
        <f aca="false">F9*G9</f>
        <v>40200</v>
      </c>
      <c r="I9" s="6" t="s">
        <v>176</v>
      </c>
      <c r="J9" s="6" t="s">
        <v>607</v>
      </c>
      <c r="K9" s="6" t="s">
        <v>608</v>
      </c>
      <c r="L9" s="6" t="s">
        <v>611</v>
      </c>
    </row>
    <row r="10" customFormat="false" ht="15" hidden="false" customHeight="false" outlineLevel="0" collapsed="false">
      <c r="A10" s="4" t="n">
        <v>7</v>
      </c>
      <c r="B10" s="4" t="s">
        <v>612</v>
      </c>
      <c r="C10" s="4" t="s">
        <v>382</v>
      </c>
      <c r="D10" s="4" t="s">
        <v>413</v>
      </c>
      <c r="E10" s="4" t="s">
        <v>414</v>
      </c>
      <c r="F10" s="4" t="n">
        <v>4</v>
      </c>
      <c r="G10" s="9" t="n">
        <v>32592</v>
      </c>
      <c r="H10" s="9" t="n">
        <f aca="false">F10*G10</f>
        <v>130368</v>
      </c>
      <c r="I10" s="4" t="s">
        <v>176</v>
      </c>
      <c r="J10" s="4" t="s">
        <v>607</v>
      </c>
      <c r="K10" s="4" t="s">
        <v>613</v>
      </c>
      <c r="L10" s="4" t="s">
        <v>614</v>
      </c>
    </row>
    <row r="11" customFormat="false" ht="15" hidden="false" customHeight="false" outlineLevel="0" collapsed="false">
      <c r="A11" s="6" t="n">
        <v>8</v>
      </c>
      <c r="B11" s="6" t="s">
        <v>615</v>
      </c>
      <c r="C11" s="6" t="s">
        <v>382</v>
      </c>
      <c r="D11" s="6" t="s">
        <v>417</v>
      </c>
      <c r="E11" s="6" t="s">
        <v>418</v>
      </c>
      <c r="F11" s="6" t="n">
        <v>80</v>
      </c>
      <c r="G11" s="10" t="n">
        <v>568.8</v>
      </c>
      <c r="H11" s="10" t="n">
        <f aca="false">F11*G11</f>
        <v>45504</v>
      </c>
      <c r="I11" s="6" t="s">
        <v>176</v>
      </c>
      <c r="J11" s="6" t="s">
        <v>607</v>
      </c>
      <c r="K11" s="6" t="s">
        <v>608</v>
      </c>
      <c r="L11" s="6" t="s">
        <v>616</v>
      </c>
    </row>
    <row r="12" customFormat="false" ht="15" hidden="false" customHeight="false" outlineLevel="0" collapsed="false">
      <c r="A12" s="4" t="n">
        <v>9</v>
      </c>
      <c r="B12" s="4" t="s">
        <v>617</v>
      </c>
      <c r="C12" s="4" t="s">
        <v>382</v>
      </c>
      <c r="D12" s="4" t="s">
        <v>423</v>
      </c>
      <c r="E12" s="4" t="s">
        <v>424</v>
      </c>
      <c r="F12" s="4" t="n">
        <v>2</v>
      </c>
      <c r="G12" s="9" t="n">
        <v>16380</v>
      </c>
      <c r="H12" s="9" t="n">
        <f aca="false">F12*G12</f>
        <v>32760</v>
      </c>
      <c r="I12" s="4" t="s">
        <v>176</v>
      </c>
      <c r="J12" s="4" t="s">
        <v>607</v>
      </c>
      <c r="K12" s="4" t="s">
        <v>618</v>
      </c>
      <c r="L12" s="4" t="s">
        <v>598</v>
      </c>
    </row>
    <row r="13" customFormat="false" ht="15" hidden="false" customHeight="false" outlineLevel="0" collapsed="false">
      <c r="A13" s="6" t="n">
        <v>10</v>
      </c>
      <c r="B13" s="6" t="s">
        <v>619</v>
      </c>
      <c r="C13" s="6" t="s">
        <v>382</v>
      </c>
      <c r="D13" s="6" t="s">
        <v>620</v>
      </c>
      <c r="E13" s="6" t="s">
        <v>429</v>
      </c>
      <c r="F13" s="6" t="n">
        <v>2</v>
      </c>
      <c r="G13" s="10" t="n">
        <v>9828</v>
      </c>
      <c r="H13" s="10" t="n">
        <f aca="false">F13*G13</f>
        <v>19656</v>
      </c>
      <c r="I13" s="6" t="s">
        <v>591</v>
      </c>
      <c r="J13" s="6" t="s">
        <v>592</v>
      </c>
      <c r="K13" s="6" t="s">
        <v>618</v>
      </c>
      <c r="L13" s="6"/>
    </row>
    <row r="14" customFormat="false" ht="15" hidden="false" customHeight="false" outlineLevel="0" collapsed="false">
      <c r="A14" s="4" t="n">
        <v>11</v>
      </c>
      <c r="B14" s="4" t="s">
        <v>621</v>
      </c>
      <c r="C14" s="4" t="s">
        <v>382</v>
      </c>
      <c r="D14" s="4" t="s">
        <v>622</v>
      </c>
      <c r="E14" s="4" t="s">
        <v>434</v>
      </c>
      <c r="F14" s="4" t="n">
        <v>200</v>
      </c>
      <c r="G14" s="9" t="n">
        <v>129.6</v>
      </c>
      <c r="H14" s="9" t="n">
        <f aca="false">F14*G14</f>
        <v>25920</v>
      </c>
      <c r="I14" s="4" t="s">
        <v>591</v>
      </c>
      <c r="J14" s="4" t="s">
        <v>592</v>
      </c>
      <c r="K14" s="4" t="s">
        <v>618</v>
      </c>
      <c r="L14" s="4" t="s">
        <v>623</v>
      </c>
    </row>
    <row r="15" customFormat="false" ht="15" hidden="false" customHeight="false" outlineLevel="0" collapsed="false">
      <c r="A15" s="6" t="n">
        <v>12</v>
      </c>
      <c r="B15" s="6" t="s">
        <v>437</v>
      </c>
      <c r="C15" s="6" t="s">
        <v>382</v>
      </c>
      <c r="D15" s="6" t="s">
        <v>439</v>
      </c>
      <c r="E15" s="6" t="s">
        <v>440</v>
      </c>
      <c r="F15" s="6" t="n">
        <v>2</v>
      </c>
      <c r="G15" s="10" t="n">
        <v>70800</v>
      </c>
      <c r="H15" s="10" t="n">
        <f aca="false">F15*G15</f>
        <v>141600</v>
      </c>
      <c r="I15" s="6" t="s">
        <v>176</v>
      </c>
      <c r="J15" s="6" t="s">
        <v>607</v>
      </c>
      <c r="K15" s="6" t="s">
        <v>618</v>
      </c>
      <c r="L15" s="6" t="s">
        <v>624</v>
      </c>
    </row>
    <row r="16" customFormat="false" ht="15" hidden="false" customHeight="false" outlineLevel="0" collapsed="false">
      <c r="A16" s="4" t="n">
        <v>13</v>
      </c>
      <c r="B16" s="4" t="s">
        <v>625</v>
      </c>
      <c r="C16" s="4" t="s">
        <v>382</v>
      </c>
      <c r="D16" s="4" t="s">
        <v>444</v>
      </c>
      <c r="E16" s="4" t="s">
        <v>445</v>
      </c>
      <c r="F16" s="4" t="n">
        <v>2</v>
      </c>
      <c r="G16" s="9" t="n">
        <v>42480</v>
      </c>
      <c r="H16" s="9" t="n">
        <f aca="false">F16*G16</f>
        <v>84960</v>
      </c>
      <c r="I16" s="4" t="s">
        <v>591</v>
      </c>
      <c r="J16" s="4" t="s">
        <v>592</v>
      </c>
      <c r="K16" s="4" t="s">
        <v>618</v>
      </c>
      <c r="L16" s="4"/>
    </row>
    <row r="17" customFormat="false" ht="15" hidden="false" customHeight="false" outlineLevel="0" collapsed="false">
      <c r="A17" s="6" t="n">
        <v>14</v>
      </c>
      <c r="B17" s="6" t="s">
        <v>83</v>
      </c>
      <c r="C17" s="6" t="s">
        <v>382</v>
      </c>
      <c r="D17" s="6" t="s">
        <v>626</v>
      </c>
      <c r="E17" s="6" t="s">
        <v>448</v>
      </c>
      <c r="F17" s="6" t="n">
        <v>4</v>
      </c>
      <c r="G17" s="10" t="n">
        <v>9165.6</v>
      </c>
      <c r="H17" s="10" t="n">
        <f aca="false">F17*G17</f>
        <v>36662.4</v>
      </c>
      <c r="I17" s="6" t="s">
        <v>627</v>
      </c>
      <c r="J17" s="6" t="s">
        <v>176</v>
      </c>
      <c r="K17" s="6" t="s">
        <v>618</v>
      </c>
      <c r="L17" s="6" t="s">
        <v>628</v>
      </c>
    </row>
    <row r="18" customFormat="false" ht="15" hidden="false" customHeight="false" outlineLevel="0" collapsed="false">
      <c r="A18" s="4" t="n">
        <v>15</v>
      </c>
      <c r="B18" s="4" t="s">
        <v>120</v>
      </c>
      <c r="C18" s="4" t="s">
        <v>382</v>
      </c>
      <c r="D18" s="4" t="s">
        <v>629</v>
      </c>
      <c r="E18" s="4" t="s">
        <v>454</v>
      </c>
      <c r="F18" s="4" t="n">
        <v>1</v>
      </c>
      <c r="G18" s="9" t="n">
        <v>129600</v>
      </c>
      <c r="H18" s="9" t="n">
        <f aca="false">F18*G18</f>
        <v>129600</v>
      </c>
      <c r="I18" s="4" t="s">
        <v>591</v>
      </c>
      <c r="J18" s="4" t="s">
        <v>592</v>
      </c>
      <c r="K18" s="4" t="s">
        <v>458</v>
      </c>
      <c r="L18" s="4" t="s">
        <v>630</v>
      </c>
    </row>
    <row r="19" customFormat="false" ht="15" hidden="false" customHeight="false" outlineLevel="0" collapsed="false">
      <c r="A19" s="6" t="n">
        <v>16</v>
      </c>
      <c r="B19" s="6" t="s">
        <v>631</v>
      </c>
      <c r="C19" s="6" t="s">
        <v>382</v>
      </c>
      <c r="D19" s="6" t="s">
        <v>460</v>
      </c>
      <c r="E19" s="6" t="s">
        <v>461</v>
      </c>
      <c r="F19" s="6" t="n">
        <v>1</v>
      </c>
      <c r="G19" s="10" t="n">
        <v>24969.6</v>
      </c>
      <c r="H19" s="10" t="n">
        <f aca="false">F19*G19</f>
        <v>24969.6</v>
      </c>
      <c r="I19" s="6" t="s">
        <v>591</v>
      </c>
      <c r="J19" s="6" t="s">
        <v>592</v>
      </c>
      <c r="K19" s="6" t="s">
        <v>458</v>
      </c>
      <c r="L19" s="6"/>
    </row>
    <row r="20" customFormat="false" ht="15" hidden="false" customHeight="false" outlineLevel="0" collapsed="false">
      <c r="A20" s="4" t="n">
        <v>17</v>
      </c>
      <c r="B20" s="4" t="s">
        <v>113</v>
      </c>
      <c r="C20" s="4" t="s">
        <v>382</v>
      </c>
      <c r="D20" s="4" t="s">
        <v>632</v>
      </c>
      <c r="E20" s="4" t="s">
        <v>463</v>
      </c>
      <c r="F20" s="4" t="n">
        <v>2</v>
      </c>
      <c r="G20" s="9" t="n">
        <v>14931</v>
      </c>
      <c r="H20" s="9" t="n">
        <f aca="false">F20*G20</f>
        <v>29862</v>
      </c>
      <c r="I20" s="4" t="s">
        <v>591</v>
      </c>
      <c r="J20" s="4" t="s">
        <v>592</v>
      </c>
      <c r="K20" s="4" t="s">
        <v>618</v>
      </c>
      <c r="L20" s="4" t="s">
        <v>598</v>
      </c>
    </row>
    <row r="21" customFormat="false" ht="15" hidden="false" customHeight="false" outlineLevel="0" collapsed="false">
      <c r="A21" s="6" t="n">
        <v>18</v>
      </c>
      <c r="B21" s="6" t="s">
        <v>109</v>
      </c>
      <c r="C21" s="6" t="s">
        <v>382</v>
      </c>
      <c r="D21" s="6" t="s">
        <v>633</v>
      </c>
      <c r="E21" s="6" t="s">
        <v>467</v>
      </c>
      <c r="F21" s="6" t="n">
        <v>2</v>
      </c>
      <c r="G21" s="10" t="n">
        <v>25200</v>
      </c>
      <c r="H21" s="10" t="n">
        <f aca="false">F21*G21</f>
        <v>50400</v>
      </c>
      <c r="I21" s="6" t="s">
        <v>634</v>
      </c>
      <c r="J21" s="6" t="s">
        <v>592</v>
      </c>
      <c r="K21" s="6" t="s">
        <v>618</v>
      </c>
      <c r="L21" s="6" t="s">
        <v>598</v>
      </c>
    </row>
    <row r="22" customFormat="false" ht="15" hidden="false" customHeight="false" outlineLevel="0" collapsed="false">
      <c r="A22" s="4" t="n">
        <v>19</v>
      </c>
      <c r="B22" s="4" t="s">
        <v>134</v>
      </c>
      <c r="C22" s="4" t="s">
        <v>382</v>
      </c>
      <c r="D22" s="4" t="s">
        <v>470</v>
      </c>
      <c r="E22" s="4" t="s">
        <v>471</v>
      </c>
      <c r="F22" s="4" t="n">
        <v>1</v>
      </c>
      <c r="G22" s="9" t="n">
        <v>30000</v>
      </c>
      <c r="H22" s="9" t="n">
        <f aca="false">F22*G22</f>
        <v>30000</v>
      </c>
      <c r="I22" s="4" t="s">
        <v>176</v>
      </c>
      <c r="J22" s="4" t="s">
        <v>607</v>
      </c>
      <c r="K22" s="4" t="s">
        <v>618</v>
      </c>
      <c r="L22" s="4"/>
    </row>
    <row r="23" customFormat="false" ht="15" hidden="false" customHeight="false" outlineLevel="0" collapsed="false">
      <c r="A23" s="6" t="n">
        <v>20</v>
      </c>
      <c r="B23" s="6" t="s">
        <v>127</v>
      </c>
      <c r="C23" s="6" t="s">
        <v>382</v>
      </c>
      <c r="D23" s="6" t="s">
        <v>475</v>
      </c>
      <c r="E23" s="6" t="s">
        <v>476</v>
      </c>
      <c r="F23" s="6" t="n">
        <v>500</v>
      </c>
      <c r="G23" s="10" t="n">
        <v>162</v>
      </c>
      <c r="H23" s="10" t="n">
        <f aca="false">F23*G23</f>
        <v>81000</v>
      </c>
      <c r="I23" s="6" t="s">
        <v>591</v>
      </c>
      <c r="J23" s="6" t="s">
        <v>592</v>
      </c>
      <c r="K23" s="6" t="s">
        <v>458</v>
      </c>
      <c r="L23" s="6" t="s">
        <v>635</v>
      </c>
    </row>
    <row r="24" customFormat="false" ht="15" hidden="false" customHeight="false" outlineLevel="0" collapsed="false">
      <c r="A24" s="4" t="n">
        <v>21</v>
      </c>
      <c r="B24" s="4" t="s">
        <v>636</v>
      </c>
      <c r="C24" s="4" t="s">
        <v>382</v>
      </c>
      <c r="D24" s="4" t="s">
        <v>480</v>
      </c>
      <c r="E24" s="4" t="s">
        <v>481</v>
      </c>
      <c r="F24" s="4" t="n">
        <v>1</v>
      </c>
      <c r="G24" s="9" t="n">
        <v>47040</v>
      </c>
      <c r="H24" s="9" t="n">
        <f aca="false">F24*G24</f>
        <v>47040</v>
      </c>
      <c r="I24" s="4" t="s">
        <v>176</v>
      </c>
      <c r="J24" s="4" t="s">
        <v>607</v>
      </c>
      <c r="K24" s="4" t="s">
        <v>637</v>
      </c>
      <c r="L24" s="4" t="s">
        <v>638</v>
      </c>
    </row>
    <row r="25" customFormat="false" ht="15" hidden="false" customHeight="false" outlineLevel="0" collapsed="false">
      <c r="A25" s="6" t="n">
        <v>22</v>
      </c>
      <c r="B25" s="6" t="s">
        <v>483</v>
      </c>
      <c r="C25" s="6" t="s">
        <v>382</v>
      </c>
      <c r="D25" s="6" t="s">
        <v>639</v>
      </c>
      <c r="E25" s="6" t="s">
        <v>485</v>
      </c>
      <c r="F25" s="6" t="n">
        <v>2</v>
      </c>
      <c r="G25" s="10" t="n">
        <v>15600</v>
      </c>
      <c r="H25" s="10" t="n">
        <f aca="false">F25*G25</f>
        <v>31200</v>
      </c>
      <c r="I25" s="6" t="s">
        <v>176</v>
      </c>
      <c r="J25" s="6" t="s">
        <v>607</v>
      </c>
      <c r="K25" s="6" t="s">
        <v>637</v>
      </c>
      <c r="L25" s="6" t="s">
        <v>640</v>
      </c>
    </row>
    <row r="26" customFormat="false" ht="15" hidden="false" customHeight="false" outlineLevel="0" collapsed="false">
      <c r="A26" s="4" t="n">
        <v>23</v>
      </c>
      <c r="B26" s="4" t="s">
        <v>182</v>
      </c>
      <c r="C26" s="4" t="s">
        <v>382</v>
      </c>
      <c r="D26" s="4" t="s">
        <v>489</v>
      </c>
      <c r="E26" s="4" t="s">
        <v>490</v>
      </c>
      <c r="F26" s="4" t="n">
        <v>1</v>
      </c>
      <c r="G26" s="9" t="n">
        <v>329911.2</v>
      </c>
      <c r="H26" s="9" t="n">
        <f aca="false">F26*G26</f>
        <v>329911.2</v>
      </c>
      <c r="I26" s="4" t="s">
        <v>591</v>
      </c>
      <c r="J26" s="4" t="s">
        <v>592</v>
      </c>
      <c r="K26" s="4" t="s">
        <v>637</v>
      </c>
      <c r="L26" s="4"/>
    </row>
    <row r="27" customFormat="false" ht="15" hidden="false" customHeight="false" outlineLevel="0" collapsed="false">
      <c r="A27" s="6" t="n">
        <v>24</v>
      </c>
      <c r="B27" s="6" t="s">
        <v>494</v>
      </c>
      <c r="C27" s="6" t="s">
        <v>382</v>
      </c>
      <c r="D27" s="6" t="s">
        <v>641</v>
      </c>
      <c r="E27" s="6" t="s">
        <v>498</v>
      </c>
      <c r="F27" s="6" t="n">
        <v>1</v>
      </c>
      <c r="G27" s="10" t="n">
        <v>219300</v>
      </c>
      <c r="H27" s="10" t="n">
        <f aca="false">F27*G27</f>
        <v>219300</v>
      </c>
      <c r="I27" s="6" t="s">
        <v>591</v>
      </c>
      <c r="J27" s="6" t="s">
        <v>592</v>
      </c>
      <c r="K27" s="6" t="s">
        <v>618</v>
      </c>
      <c r="L27" s="6" t="s">
        <v>642</v>
      </c>
    </row>
    <row r="28" customFormat="false" ht="15" hidden="false" customHeight="false" outlineLevel="0" collapsed="false">
      <c r="A28" s="4" t="n">
        <v>25</v>
      </c>
      <c r="B28" s="4" t="s">
        <v>643</v>
      </c>
      <c r="C28" s="4" t="s">
        <v>382</v>
      </c>
      <c r="D28" s="4" t="s">
        <v>644</v>
      </c>
      <c r="E28" s="4" t="s">
        <v>645</v>
      </c>
      <c r="F28" s="4" t="n">
        <v>1</v>
      </c>
      <c r="G28" s="9" t="n">
        <v>26928.6</v>
      </c>
      <c r="H28" s="9" t="n">
        <f aca="false">F28*G28</f>
        <v>26928.6</v>
      </c>
      <c r="I28" s="4" t="s">
        <v>591</v>
      </c>
      <c r="J28" s="4" t="s">
        <v>592</v>
      </c>
      <c r="K28" s="4" t="s">
        <v>637</v>
      </c>
      <c r="L28" s="4" t="s">
        <v>646</v>
      </c>
    </row>
    <row r="29" customFormat="false" ht="15" hidden="false" customHeight="false" outlineLevel="0" collapsed="false">
      <c r="A29" s="6" t="n">
        <v>26</v>
      </c>
      <c r="B29" s="6" t="s">
        <v>647</v>
      </c>
      <c r="C29" s="6" t="s">
        <v>382</v>
      </c>
      <c r="D29" s="6" t="s">
        <v>516</v>
      </c>
      <c r="E29" s="6" t="s">
        <v>517</v>
      </c>
      <c r="F29" s="6" t="n">
        <v>1</v>
      </c>
      <c r="G29" s="10" t="n">
        <v>19862.4</v>
      </c>
      <c r="H29" s="10" t="n">
        <f aca="false">F29*G29</f>
        <v>19862.4</v>
      </c>
      <c r="I29" s="6" t="s">
        <v>176</v>
      </c>
      <c r="J29" s="6" t="s">
        <v>607</v>
      </c>
      <c r="K29" s="6" t="s">
        <v>514</v>
      </c>
      <c r="L29" s="6" t="s">
        <v>648</v>
      </c>
    </row>
    <row r="30" customFormat="false" ht="15" hidden="false" customHeight="false" outlineLevel="0" collapsed="false">
      <c r="A30" s="4" t="n">
        <v>27</v>
      </c>
      <c r="B30" s="4" t="s">
        <v>520</v>
      </c>
      <c r="C30" s="4" t="s">
        <v>382</v>
      </c>
      <c r="D30" s="4" t="s">
        <v>649</v>
      </c>
      <c r="E30" s="4" t="s">
        <v>524</v>
      </c>
      <c r="F30" s="4" t="n">
        <v>200</v>
      </c>
      <c r="G30" s="9" t="n">
        <v>288</v>
      </c>
      <c r="H30" s="9" t="n">
        <f aca="false">F30*G30</f>
        <v>57600</v>
      </c>
      <c r="I30" s="4" t="s">
        <v>591</v>
      </c>
      <c r="J30" s="4" t="s">
        <v>592</v>
      </c>
      <c r="K30" s="4" t="s">
        <v>650</v>
      </c>
      <c r="L30" s="4" t="s">
        <v>623</v>
      </c>
    </row>
    <row r="31" customFormat="false" ht="15" hidden="false" customHeight="false" outlineLevel="0" collapsed="false">
      <c r="A31" s="6" t="n">
        <v>28</v>
      </c>
      <c r="B31" s="6" t="s">
        <v>651</v>
      </c>
      <c r="C31" s="6" t="s">
        <v>501</v>
      </c>
      <c r="D31" s="6" t="s">
        <v>502</v>
      </c>
      <c r="E31" s="6" t="s">
        <v>503</v>
      </c>
      <c r="F31" s="6" t="n">
        <v>4</v>
      </c>
      <c r="G31" s="10" t="n">
        <v>0</v>
      </c>
      <c r="H31" s="10" t="n">
        <f aca="false">F31*G31</f>
        <v>0</v>
      </c>
      <c r="I31" s="6" t="s">
        <v>652</v>
      </c>
      <c r="J31" s="6" t="s">
        <v>653</v>
      </c>
      <c r="K31" s="6" t="s">
        <v>654</v>
      </c>
      <c r="L31" s="6" t="s">
        <v>655</v>
      </c>
    </row>
    <row r="32" customFormat="false" ht="15" hidden="false" customHeight="false" outlineLevel="0" collapsed="false">
      <c r="A32" s="4" t="n">
        <v>29</v>
      </c>
      <c r="B32" s="4" t="s">
        <v>656</v>
      </c>
      <c r="C32" s="4" t="s">
        <v>168</v>
      </c>
      <c r="D32" s="4" t="s">
        <v>657</v>
      </c>
      <c r="E32" s="4" t="s">
        <v>531</v>
      </c>
      <c r="F32" s="4" t="n">
        <v>2</v>
      </c>
      <c r="G32" s="9" t="n">
        <v>0</v>
      </c>
      <c r="H32" s="9" t="n">
        <f aca="false">F32*G32</f>
        <v>0</v>
      </c>
      <c r="I32" s="4" t="s">
        <v>176</v>
      </c>
      <c r="J32" s="4" t="s">
        <v>658</v>
      </c>
      <c r="K32" s="4" t="s">
        <v>166</v>
      </c>
      <c r="L32" s="4" t="s">
        <v>655</v>
      </c>
    </row>
    <row r="33" customFormat="false" ht="15" hidden="false" customHeight="false" outlineLevel="0" collapsed="false">
      <c r="A33" s="6" t="n">
        <v>30</v>
      </c>
      <c r="B33" s="6" t="s">
        <v>203</v>
      </c>
      <c r="C33" s="6" t="s">
        <v>536</v>
      </c>
      <c r="D33" s="6" t="s">
        <v>538</v>
      </c>
      <c r="E33" s="6" t="s">
        <v>539</v>
      </c>
      <c r="F33" s="6" t="n">
        <v>2</v>
      </c>
      <c r="G33" s="10" t="n">
        <v>0</v>
      </c>
      <c r="H33" s="10" t="n">
        <f aca="false">F33*G33</f>
        <v>0</v>
      </c>
      <c r="I33" s="6" t="s">
        <v>652</v>
      </c>
      <c r="J33" s="6" t="s">
        <v>659</v>
      </c>
      <c r="K33" s="6" t="s">
        <v>660</v>
      </c>
      <c r="L33" s="6" t="s">
        <v>655</v>
      </c>
    </row>
    <row r="34" customFormat="false" ht="15" hidden="false" customHeight="false" outlineLevel="0" collapsed="false">
      <c r="A34" s="4" t="n">
        <v>31</v>
      </c>
      <c r="B34" s="4" t="s">
        <v>302</v>
      </c>
      <c r="C34" s="4" t="s">
        <v>303</v>
      </c>
      <c r="D34" s="4" t="s">
        <v>543</v>
      </c>
      <c r="E34" s="4" t="s">
        <v>544</v>
      </c>
      <c r="F34" s="4" t="n">
        <v>1</v>
      </c>
      <c r="G34" s="9" t="n">
        <v>0</v>
      </c>
      <c r="H34" s="9" t="n">
        <f aca="false">F34*G34</f>
        <v>0</v>
      </c>
      <c r="I34" s="4" t="s">
        <v>652</v>
      </c>
      <c r="J34" s="4" t="s">
        <v>661</v>
      </c>
      <c r="K34" s="4" t="s">
        <v>618</v>
      </c>
      <c r="L34" s="4" t="s">
        <v>655</v>
      </c>
    </row>
    <row r="35" customFormat="false" ht="15" hidden="false" customHeight="false" outlineLevel="0" collapsed="false">
      <c r="A35" s="6" t="n">
        <v>32</v>
      </c>
      <c r="B35" s="6" t="s">
        <v>25</v>
      </c>
      <c r="C35" s="6" t="s">
        <v>26</v>
      </c>
      <c r="D35" s="6" t="s">
        <v>551</v>
      </c>
      <c r="E35" s="6" t="s">
        <v>552</v>
      </c>
      <c r="F35" s="6" t="n">
        <v>1</v>
      </c>
      <c r="G35" s="10" t="n">
        <v>0</v>
      </c>
      <c r="H35" s="10" t="n">
        <f aca="false">F35*G35</f>
        <v>0</v>
      </c>
      <c r="I35" s="6" t="s">
        <v>652</v>
      </c>
      <c r="J35" s="6" t="s">
        <v>662</v>
      </c>
      <c r="K35" s="6" t="s">
        <v>24</v>
      </c>
      <c r="L35" s="6" t="s">
        <v>655</v>
      </c>
    </row>
    <row r="36" customFormat="false" ht="15" hidden="false" customHeight="false" outlineLevel="0" collapsed="false">
      <c r="A36" s="4" t="n">
        <v>33</v>
      </c>
      <c r="B36" s="4" t="s">
        <v>52</v>
      </c>
      <c r="C36" s="4" t="s">
        <v>54</v>
      </c>
      <c r="D36" s="4" t="s">
        <v>546</v>
      </c>
      <c r="E36" s="4" t="s">
        <v>547</v>
      </c>
      <c r="F36" s="4" t="n">
        <v>1</v>
      </c>
      <c r="G36" s="9" t="n">
        <v>0</v>
      </c>
      <c r="H36" s="9" t="n">
        <f aca="false">F36*G36</f>
        <v>0</v>
      </c>
      <c r="I36" s="4" t="s">
        <v>652</v>
      </c>
      <c r="J36" s="4" t="s">
        <v>54</v>
      </c>
      <c r="K36" s="4" t="s">
        <v>663</v>
      </c>
      <c r="L36" s="4" t="s">
        <v>655</v>
      </c>
    </row>
    <row r="37" customFormat="false" ht="15" hidden="false" customHeight="false" outlineLevel="0" collapsed="false">
      <c r="A37" s="6" t="n">
        <v>34</v>
      </c>
      <c r="B37" s="6" t="s">
        <v>558</v>
      </c>
      <c r="C37" s="6" t="s">
        <v>560</v>
      </c>
      <c r="D37" s="6" t="s">
        <v>562</v>
      </c>
      <c r="E37" s="6" t="s">
        <v>563</v>
      </c>
      <c r="F37" s="6" t="n">
        <v>2</v>
      </c>
      <c r="G37" s="10" t="n">
        <v>0</v>
      </c>
      <c r="H37" s="10" t="n">
        <f aca="false">F37*G37</f>
        <v>0</v>
      </c>
      <c r="I37" s="6" t="s">
        <v>176</v>
      </c>
      <c r="J37" s="6" t="s">
        <v>664</v>
      </c>
      <c r="K37" s="6" t="s">
        <v>597</v>
      </c>
      <c r="L37" s="6" t="s">
        <v>655</v>
      </c>
    </row>
    <row r="38" customFormat="false" ht="15" hidden="false" customHeight="false" outlineLevel="0" collapsed="false">
      <c r="A38" s="4" t="n">
        <v>35</v>
      </c>
      <c r="B38" s="4" t="s">
        <v>665</v>
      </c>
      <c r="C38" s="4" t="s">
        <v>572</v>
      </c>
      <c r="D38" s="4" t="s">
        <v>573</v>
      </c>
      <c r="E38" s="4" t="s">
        <v>574</v>
      </c>
      <c r="F38" s="4" t="n">
        <v>2</v>
      </c>
      <c r="G38" s="9" t="n">
        <v>0</v>
      </c>
      <c r="H38" s="9" t="n">
        <f aca="false">F38*G38</f>
        <v>0</v>
      </c>
      <c r="I38" s="4" t="s">
        <v>176</v>
      </c>
      <c r="J38" s="4" t="s">
        <v>666</v>
      </c>
      <c r="K38" s="4" t="s">
        <v>667</v>
      </c>
      <c r="L38" s="4" t="s">
        <v>655</v>
      </c>
    </row>
    <row r="40" customFormat="false" ht="15" hidden="false" customHeight="false" outlineLevel="0" collapsed="false">
      <c r="G40" s="11" t="s">
        <v>668</v>
      </c>
      <c r="H40" s="12" t="n">
        <f aca="false">SUM(H4:H38)</f>
        <v>2866519.8</v>
      </c>
    </row>
    <row r="41" customFormat="false" ht="15" hidden="false" customHeight="false" outlineLevel="0" collapsed="false">
      <c r="G41" s="13" t="s">
        <v>669</v>
      </c>
    </row>
  </sheetData>
  <autoFilter ref="A3:L38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7B0"/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30"/>
  </cols>
  <sheetData>
    <row r="1" customFormat="false" ht="34.5" hidden="false" customHeight="true" outlineLevel="0" collapsed="false">
      <c r="A1" s="1" t="s">
        <v>670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6.85" hidden="false" customHeight="false" outlineLevel="0" collapsed="false">
      <c r="A3" s="3" t="s">
        <v>671</v>
      </c>
      <c r="B3" s="3" t="s">
        <v>672</v>
      </c>
      <c r="C3" s="3" t="s">
        <v>673</v>
      </c>
      <c r="D3" s="3" t="s">
        <v>674</v>
      </c>
      <c r="E3" s="3" t="s">
        <v>675</v>
      </c>
      <c r="F3" s="3" t="s">
        <v>676</v>
      </c>
      <c r="G3" s="3" t="s">
        <v>677</v>
      </c>
      <c r="H3" s="3" t="s">
        <v>678</v>
      </c>
      <c r="I3" s="3" t="s">
        <v>679</v>
      </c>
      <c r="J3" s="3" t="s">
        <v>680</v>
      </c>
    </row>
    <row r="4" customFormat="false" ht="15" hidden="false" customHeight="false" outlineLevel="0" collapsed="false">
      <c r="A4" s="4" t="s">
        <v>681</v>
      </c>
      <c r="B4" s="4" t="s">
        <v>682</v>
      </c>
      <c r="C4" s="4" t="s">
        <v>683</v>
      </c>
      <c r="D4" s="4" t="s">
        <v>395</v>
      </c>
      <c r="E4" s="4" t="n">
        <v>2</v>
      </c>
      <c r="F4" s="4" t="s">
        <v>684</v>
      </c>
      <c r="G4" s="4" t="s">
        <v>384</v>
      </c>
      <c r="H4" s="4" t="n">
        <v>2</v>
      </c>
      <c r="I4" s="4" t="s">
        <v>685</v>
      </c>
      <c r="J4" s="4" t="s">
        <v>686</v>
      </c>
    </row>
    <row r="5" customFormat="false" ht="15" hidden="false" customHeight="false" outlineLevel="0" collapsed="false">
      <c r="A5" s="6" t="s">
        <v>687</v>
      </c>
      <c r="B5" s="6" t="s">
        <v>682</v>
      </c>
      <c r="C5" s="6" t="s">
        <v>688</v>
      </c>
      <c r="D5" s="6" t="s">
        <v>689</v>
      </c>
      <c r="E5" s="6" t="n">
        <v>2</v>
      </c>
      <c r="F5" s="6" t="s">
        <v>690</v>
      </c>
      <c r="G5" s="6" t="s">
        <v>390</v>
      </c>
      <c r="H5" s="6" t="n">
        <v>2</v>
      </c>
      <c r="I5" s="6" t="s">
        <v>691</v>
      </c>
      <c r="J5" s="6" t="s">
        <v>692</v>
      </c>
    </row>
    <row r="6" customFormat="false" ht="15" hidden="false" customHeight="false" outlineLevel="0" collapsed="false">
      <c r="A6" s="4" t="s">
        <v>693</v>
      </c>
      <c r="B6" s="4" t="s">
        <v>682</v>
      </c>
      <c r="C6" s="4" t="s">
        <v>694</v>
      </c>
      <c r="D6" s="4" t="s">
        <v>400</v>
      </c>
      <c r="E6" s="4" t="n">
        <v>2</v>
      </c>
      <c r="F6" s="4" t="s">
        <v>695</v>
      </c>
      <c r="G6" s="4" t="s">
        <v>395</v>
      </c>
      <c r="H6" s="4" t="n">
        <v>4</v>
      </c>
      <c r="I6" s="4" t="s">
        <v>696</v>
      </c>
      <c r="J6" s="4" t="s">
        <v>697</v>
      </c>
    </row>
    <row r="7" customFormat="false" ht="15" hidden="false" customHeight="false" outlineLevel="0" collapsed="false">
      <c r="A7" s="6" t="s">
        <v>698</v>
      </c>
      <c r="B7" s="6" t="s">
        <v>682</v>
      </c>
      <c r="C7" s="6" t="s">
        <v>699</v>
      </c>
      <c r="D7" s="6" t="s">
        <v>700</v>
      </c>
      <c r="E7" s="6" t="n">
        <v>4</v>
      </c>
      <c r="F7" s="6" t="s">
        <v>694</v>
      </c>
      <c r="G7" s="6" t="s">
        <v>400</v>
      </c>
      <c r="H7" s="6" t="n">
        <v>10</v>
      </c>
      <c r="I7" s="6" t="s">
        <v>701</v>
      </c>
      <c r="J7" s="6"/>
    </row>
    <row r="8" customFormat="false" ht="15" hidden="false" customHeight="false" outlineLevel="0" collapsed="false">
      <c r="A8" s="4" t="s">
        <v>702</v>
      </c>
      <c r="B8" s="4" t="s">
        <v>703</v>
      </c>
      <c r="C8" s="4" t="s">
        <v>704</v>
      </c>
      <c r="D8" s="4" t="s">
        <v>410</v>
      </c>
      <c r="E8" s="4" t="n">
        <v>10</v>
      </c>
      <c r="F8" s="4" t="s">
        <v>705</v>
      </c>
      <c r="G8" s="4" t="s">
        <v>406</v>
      </c>
      <c r="H8" s="4" t="n">
        <v>40</v>
      </c>
      <c r="I8" s="4" t="s">
        <v>706</v>
      </c>
      <c r="J8" s="4" t="s">
        <v>707</v>
      </c>
    </row>
    <row r="9" customFormat="false" ht="15" hidden="false" customHeight="false" outlineLevel="0" collapsed="false">
      <c r="A9" s="6" t="s">
        <v>708</v>
      </c>
      <c r="B9" s="6" t="s">
        <v>709</v>
      </c>
      <c r="C9" s="6" t="s">
        <v>710</v>
      </c>
      <c r="D9" s="6" t="s">
        <v>414</v>
      </c>
      <c r="E9" s="6" t="n">
        <v>2</v>
      </c>
      <c r="F9" s="6" t="s">
        <v>710</v>
      </c>
      <c r="G9" s="6" t="s">
        <v>414</v>
      </c>
      <c r="H9" s="6" t="n">
        <v>4</v>
      </c>
      <c r="I9" s="6" t="s">
        <v>711</v>
      </c>
      <c r="J9" s="6" t="s">
        <v>712</v>
      </c>
    </row>
    <row r="10" customFormat="false" ht="15" hidden="false" customHeight="false" outlineLevel="0" collapsed="false">
      <c r="A10" s="4" t="s">
        <v>713</v>
      </c>
      <c r="B10" s="4" t="s">
        <v>714</v>
      </c>
      <c r="C10" s="4" t="s">
        <v>418</v>
      </c>
      <c r="D10" s="4" t="s">
        <v>418</v>
      </c>
      <c r="E10" s="4" t="n">
        <v>20</v>
      </c>
      <c r="F10" s="4" t="s">
        <v>418</v>
      </c>
      <c r="G10" s="4" t="s">
        <v>418</v>
      </c>
      <c r="H10" s="4" t="n">
        <v>80</v>
      </c>
      <c r="I10" s="4" t="s">
        <v>715</v>
      </c>
      <c r="J10" s="4" t="s">
        <v>716</v>
      </c>
    </row>
    <row r="11" customFormat="false" ht="15" hidden="false" customHeight="false" outlineLevel="0" collapsed="false">
      <c r="A11" s="6" t="s">
        <v>140</v>
      </c>
      <c r="B11" s="6" t="s">
        <v>717</v>
      </c>
      <c r="C11" s="6" t="s">
        <v>718</v>
      </c>
      <c r="D11" s="6" t="s">
        <v>424</v>
      </c>
      <c r="E11" s="6" t="n">
        <v>1</v>
      </c>
      <c r="F11" s="6" t="s">
        <v>718</v>
      </c>
      <c r="G11" s="6" t="s">
        <v>424</v>
      </c>
      <c r="H11" s="6" t="n">
        <v>2</v>
      </c>
      <c r="I11" s="6" t="s">
        <v>719</v>
      </c>
      <c r="J11" s="6" t="s">
        <v>720</v>
      </c>
    </row>
    <row r="12" customFormat="false" ht="15" hidden="false" customHeight="false" outlineLevel="0" collapsed="false">
      <c r="A12" s="4" t="s">
        <v>721</v>
      </c>
      <c r="B12" s="4" t="s">
        <v>722</v>
      </c>
      <c r="C12" s="4" t="s">
        <v>723</v>
      </c>
      <c r="D12" s="4" t="s">
        <v>724</v>
      </c>
      <c r="E12" s="4" t="n">
        <v>1</v>
      </c>
      <c r="F12" s="4" t="s">
        <v>725</v>
      </c>
      <c r="G12" s="4" t="s">
        <v>726</v>
      </c>
      <c r="H12" s="4" t="n">
        <v>1</v>
      </c>
      <c r="I12" s="4" t="s">
        <v>727</v>
      </c>
      <c r="J12" s="4" t="s">
        <v>692</v>
      </c>
    </row>
    <row r="13" customFormat="false" ht="15" hidden="false" customHeight="false" outlineLevel="0" collapsed="false">
      <c r="A13" s="6" t="s">
        <v>728</v>
      </c>
      <c r="B13" s="6" t="s">
        <v>729</v>
      </c>
      <c r="C13" s="6" t="s">
        <v>730</v>
      </c>
      <c r="D13" s="6" t="s">
        <v>731</v>
      </c>
      <c r="E13" s="6" t="n">
        <v>8</v>
      </c>
      <c r="F13" s="6" t="s">
        <v>732</v>
      </c>
      <c r="G13" s="6" t="s">
        <v>454</v>
      </c>
      <c r="H13" s="6" t="n">
        <v>1</v>
      </c>
      <c r="I13" s="6" t="s">
        <v>733</v>
      </c>
      <c r="J13" s="6" t="s">
        <v>734</v>
      </c>
    </row>
    <row r="14" customFormat="false" ht="15" hidden="false" customHeight="false" outlineLevel="0" collapsed="false">
      <c r="A14" s="4" t="s">
        <v>113</v>
      </c>
      <c r="B14" s="4" t="s">
        <v>735</v>
      </c>
      <c r="C14" s="4" t="s">
        <v>736</v>
      </c>
      <c r="D14" s="4" t="s">
        <v>463</v>
      </c>
      <c r="E14" s="4" t="n">
        <v>2</v>
      </c>
      <c r="F14" s="4" t="s">
        <v>737</v>
      </c>
      <c r="G14" s="4" t="s">
        <v>738</v>
      </c>
      <c r="H14" s="4" t="n">
        <v>2</v>
      </c>
      <c r="I14" s="4" t="s">
        <v>739</v>
      </c>
      <c r="J14" s="4" t="s">
        <v>740</v>
      </c>
    </row>
    <row r="15" customFormat="false" ht="15" hidden="false" customHeight="false" outlineLevel="0" collapsed="false">
      <c r="A15" s="6" t="s">
        <v>246</v>
      </c>
      <c r="B15" s="6" t="s">
        <v>741</v>
      </c>
      <c r="C15" s="6" t="s">
        <v>742</v>
      </c>
      <c r="D15" s="6" t="s">
        <v>481</v>
      </c>
      <c r="E15" s="6" t="n">
        <v>1</v>
      </c>
      <c r="F15" s="6" t="s">
        <v>743</v>
      </c>
      <c r="G15" s="6" t="s">
        <v>744</v>
      </c>
      <c r="H15" s="6" t="n">
        <v>1</v>
      </c>
      <c r="I15" s="6" t="s">
        <v>745</v>
      </c>
      <c r="J15" s="6" t="s">
        <v>746</v>
      </c>
    </row>
    <row r="16" customFormat="false" ht="15" hidden="false" customHeight="false" outlineLevel="0" collapsed="false">
      <c r="A16" s="4" t="s">
        <v>182</v>
      </c>
      <c r="B16" s="4" t="s">
        <v>747</v>
      </c>
      <c r="C16" s="4" t="s">
        <v>748</v>
      </c>
      <c r="D16" s="4" t="s">
        <v>749</v>
      </c>
      <c r="E16" s="4" t="n">
        <v>1</v>
      </c>
      <c r="F16" s="4" t="s">
        <v>750</v>
      </c>
      <c r="G16" s="4" t="s">
        <v>751</v>
      </c>
      <c r="H16" s="4" t="n">
        <v>1</v>
      </c>
      <c r="I16" s="4" t="s">
        <v>752</v>
      </c>
      <c r="J16" s="4" t="s">
        <v>734</v>
      </c>
    </row>
    <row r="17" customFormat="false" ht="15" hidden="false" customHeight="false" outlineLevel="0" collapsed="false">
      <c r="A17" s="6" t="s">
        <v>507</v>
      </c>
      <c r="B17" s="6" t="s">
        <v>753</v>
      </c>
      <c r="C17" s="6" t="s">
        <v>754</v>
      </c>
      <c r="D17" s="6" t="s">
        <v>645</v>
      </c>
      <c r="E17" s="6" t="n">
        <v>1</v>
      </c>
      <c r="F17" s="6" t="s">
        <v>755</v>
      </c>
      <c r="G17" s="6" t="s">
        <v>756</v>
      </c>
      <c r="H17" s="6" t="n">
        <v>2</v>
      </c>
      <c r="I17" s="6" t="s">
        <v>757</v>
      </c>
      <c r="J17" s="6" t="s">
        <v>758</v>
      </c>
    </row>
    <row r="18" customFormat="false" ht="15" hidden="false" customHeight="false" outlineLevel="0" collapsed="false">
      <c r="A18" s="4" t="s">
        <v>759</v>
      </c>
      <c r="B18" s="4" t="s">
        <v>760</v>
      </c>
      <c r="C18" s="4" t="s">
        <v>761</v>
      </c>
      <c r="D18" s="4" t="s">
        <v>517</v>
      </c>
      <c r="E18" s="4" t="n">
        <v>1</v>
      </c>
      <c r="F18" s="4" t="s">
        <v>762</v>
      </c>
      <c r="G18" s="4" t="s">
        <v>763</v>
      </c>
      <c r="H18" s="4" t="n">
        <v>1</v>
      </c>
      <c r="I18" s="4" t="s">
        <v>764</v>
      </c>
      <c r="J18" s="4" t="s">
        <v>765</v>
      </c>
    </row>
    <row r="19" customFormat="false" ht="15" hidden="false" customHeight="false" outlineLevel="0" collapsed="false">
      <c r="A19" s="6" t="s">
        <v>75</v>
      </c>
      <c r="B19" s="6" t="s">
        <v>766</v>
      </c>
      <c r="C19" s="6" t="s">
        <v>767</v>
      </c>
      <c r="D19" s="6" t="s">
        <v>440</v>
      </c>
      <c r="E19" s="6" t="n">
        <v>1</v>
      </c>
      <c r="F19" s="6" t="s">
        <v>768</v>
      </c>
      <c r="G19" s="6" t="s">
        <v>440</v>
      </c>
      <c r="H19" s="6" t="n">
        <v>2</v>
      </c>
      <c r="I19" s="6" t="s">
        <v>769</v>
      </c>
      <c r="J19" s="6" t="s">
        <v>161</v>
      </c>
    </row>
    <row r="20" customFormat="false" ht="15" hidden="false" customHeight="false" outlineLevel="0" collapsed="false">
      <c r="A20" s="4" t="s">
        <v>127</v>
      </c>
      <c r="B20" s="4" t="s">
        <v>770</v>
      </c>
      <c r="C20" s="4" t="s">
        <v>771</v>
      </c>
      <c r="D20" s="4" t="s">
        <v>772</v>
      </c>
      <c r="E20" s="4" t="n">
        <v>200</v>
      </c>
      <c r="F20" s="4" t="s">
        <v>773</v>
      </c>
      <c r="G20" s="4" t="s">
        <v>772</v>
      </c>
      <c r="H20" s="4" t="n">
        <v>4000</v>
      </c>
      <c r="I20" s="4" t="s">
        <v>774</v>
      </c>
      <c r="J20" s="4" t="s">
        <v>775</v>
      </c>
    </row>
    <row r="21" customFormat="false" ht="15" hidden="false" customHeight="false" outlineLevel="0" collapsed="false">
      <c r="A21" s="6" t="s">
        <v>134</v>
      </c>
      <c r="B21" s="6" t="s">
        <v>776</v>
      </c>
      <c r="C21" s="6" t="s">
        <v>471</v>
      </c>
      <c r="D21" s="6" t="s">
        <v>471</v>
      </c>
      <c r="E21" s="6" t="n">
        <v>1</v>
      </c>
      <c r="F21" s="6" t="s">
        <v>777</v>
      </c>
      <c r="G21" s="6" t="s">
        <v>777</v>
      </c>
      <c r="H21" s="6" t="n">
        <v>1</v>
      </c>
      <c r="I21" s="6" t="s">
        <v>778</v>
      </c>
      <c r="J21" s="6" t="s">
        <v>779</v>
      </c>
    </row>
    <row r="22" customFormat="false" ht="15" hidden="false" customHeight="false" outlineLevel="0" collapsed="false">
      <c r="A22" s="4" t="s">
        <v>158</v>
      </c>
      <c r="B22" s="4" t="s">
        <v>160</v>
      </c>
      <c r="C22" s="4" t="s">
        <v>780</v>
      </c>
      <c r="D22" s="4" t="s">
        <v>503</v>
      </c>
      <c r="E22" s="4" t="n">
        <v>2</v>
      </c>
      <c r="F22" s="4" t="s">
        <v>781</v>
      </c>
      <c r="G22" s="4" t="s">
        <v>503</v>
      </c>
      <c r="H22" s="4" t="n">
        <v>4</v>
      </c>
      <c r="I22" s="4" t="s">
        <v>782</v>
      </c>
      <c r="J22" s="4" t="s">
        <v>783</v>
      </c>
    </row>
    <row r="23" customFormat="false" ht="15" hidden="false" customHeight="false" outlineLevel="0" collapsed="false">
      <c r="A23" s="6" t="s">
        <v>494</v>
      </c>
      <c r="B23" s="6" t="s">
        <v>784</v>
      </c>
      <c r="C23" s="6" t="s">
        <v>785</v>
      </c>
      <c r="D23" s="6" t="s">
        <v>785</v>
      </c>
      <c r="E23" s="6" t="n">
        <v>1</v>
      </c>
      <c r="F23" s="6" t="s">
        <v>786</v>
      </c>
      <c r="G23" s="6" t="s">
        <v>785</v>
      </c>
      <c r="H23" s="6" t="n">
        <v>2</v>
      </c>
      <c r="I23" s="6" t="s">
        <v>787</v>
      </c>
      <c r="J23" s="6" t="s">
        <v>788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722"/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7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34.5" hidden="false" customHeight="true" outlineLevel="0" collapsed="false">
      <c r="A1" s="1" t="s">
        <v>789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582</v>
      </c>
      <c r="B3" s="3" t="s">
        <v>583</v>
      </c>
      <c r="C3" s="3" t="s">
        <v>790</v>
      </c>
      <c r="D3" s="3" t="s">
        <v>791</v>
      </c>
      <c r="E3" s="3" t="s">
        <v>9</v>
      </c>
      <c r="F3" s="3" t="s">
        <v>792</v>
      </c>
      <c r="G3" s="3" t="s">
        <v>793</v>
      </c>
    </row>
    <row r="4" customFormat="false" ht="15" hidden="false" customHeight="false" outlineLevel="0" collapsed="false">
      <c r="A4" s="4" t="n">
        <v>1</v>
      </c>
      <c r="B4" s="4" t="s">
        <v>667</v>
      </c>
      <c r="C4" s="4" t="s">
        <v>794</v>
      </c>
      <c r="D4" s="4" t="s">
        <v>795</v>
      </c>
      <c r="E4" s="4" t="s">
        <v>38</v>
      </c>
      <c r="F4" s="4" t="s">
        <v>796</v>
      </c>
      <c r="G4" s="4"/>
    </row>
    <row r="5" customFormat="false" ht="15" hidden="false" customHeight="false" outlineLevel="0" collapsed="false">
      <c r="A5" s="6" t="n">
        <v>2</v>
      </c>
      <c r="B5" s="6" t="s">
        <v>667</v>
      </c>
      <c r="C5" s="6" t="s">
        <v>794</v>
      </c>
      <c r="D5" s="6" t="s">
        <v>797</v>
      </c>
      <c r="E5" s="6" t="s">
        <v>38</v>
      </c>
      <c r="F5" s="6" t="s">
        <v>796</v>
      </c>
      <c r="G5" s="6"/>
    </row>
    <row r="6" customFormat="false" ht="15" hidden="false" customHeight="false" outlineLevel="0" collapsed="false">
      <c r="A6" s="4" t="n">
        <v>3</v>
      </c>
      <c r="B6" s="4" t="s">
        <v>667</v>
      </c>
      <c r="C6" s="4" t="s">
        <v>794</v>
      </c>
      <c r="D6" s="4" t="s">
        <v>798</v>
      </c>
      <c r="E6" s="4" t="s">
        <v>38</v>
      </c>
      <c r="F6" s="4" t="s">
        <v>796</v>
      </c>
      <c r="G6" s="4"/>
    </row>
    <row r="7" customFormat="false" ht="15" hidden="false" customHeight="false" outlineLevel="0" collapsed="false">
      <c r="A7" s="6" t="n">
        <v>4</v>
      </c>
      <c r="B7" s="6" t="s">
        <v>667</v>
      </c>
      <c r="C7" s="6" t="s">
        <v>794</v>
      </c>
      <c r="D7" s="6" t="s">
        <v>799</v>
      </c>
      <c r="E7" s="6" t="s">
        <v>315</v>
      </c>
      <c r="F7" s="6" t="s">
        <v>796</v>
      </c>
      <c r="G7" s="6"/>
    </row>
    <row r="8" customFormat="false" ht="15" hidden="false" customHeight="false" outlineLevel="0" collapsed="false">
      <c r="A8" s="4" t="n">
        <v>5</v>
      </c>
      <c r="B8" s="4" t="s">
        <v>618</v>
      </c>
      <c r="C8" s="4" t="s">
        <v>794</v>
      </c>
      <c r="D8" s="4" t="s">
        <v>800</v>
      </c>
      <c r="E8" s="4" t="s">
        <v>22</v>
      </c>
      <c r="F8" s="4" t="s">
        <v>796</v>
      </c>
      <c r="G8" s="4"/>
    </row>
    <row r="9" customFormat="false" ht="15" hidden="false" customHeight="false" outlineLevel="0" collapsed="false">
      <c r="A9" s="6" t="n">
        <v>6</v>
      </c>
      <c r="B9" s="6" t="s">
        <v>618</v>
      </c>
      <c r="C9" s="6" t="s">
        <v>794</v>
      </c>
      <c r="D9" s="6" t="s">
        <v>801</v>
      </c>
      <c r="E9" s="6" t="s">
        <v>22</v>
      </c>
      <c r="F9" s="6" t="s">
        <v>796</v>
      </c>
      <c r="G9" s="6"/>
    </row>
    <row r="10" customFormat="false" ht="15" hidden="false" customHeight="false" outlineLevel="0" collapsed="false">
      <c r="A10" s="4" t="n">
        <v>7</v>
      </c>
      <c r="B10" s="4" t="s">
        <v>618</v>
      </c>
      <c r="C10" s="4" t="s">
        <v>794</v>
      </c>
      <c r="D10" s="4" t="s">
        <v>802</v>
      </c>
      <c r="E10" s="4" t="s">
        <v>38</v>
      </c>
      <c r="F10" s="4" t="s">
        <v>796</v>
      </c>
      <c r="G10" s="4"/>
    </row>
    <row r="11" customFormat="false" ht="15" hidden="false" customHeight="false" outlineLevel="0" collapsed="false">
      <c r="A11" s="6" t="n">
        <v>8</v>
      </c>
      <c r="B11" s="6" t="s">
        <v>618</v>
      </c>
      <c r="C11" s="6" t="s">
        <v>794</v>
      </c>
      <c r="D11" s="6" t="s">
        <v>803</v>
      </c>
      <c r="E11" s="6" t="s">
        <v>315</v>
      </c>
      <c r="F11" s="6" t="s">
        <v>796</v>
      </c>
      <c r="G11" s="6"/>
    </row>
    <row r="12" customFormat="false" ht="15" hidden="false" customHeight="false" outlineLevel="0" collapsed="false">
      <c r="A12" s="4" t="n">
        <v>9</v>
      </c>
      <c r="B12" s="4" t="s">
        <v>618</v>
      </c>
      <c r="C12" s="4" t="s">
        <v>794</v>
      </c>
      <c r="D12" s="4" t="s">
        <v>804</v>
      </c>
      <c r="E12" s="4" t="s">
        <v>22</v>
      </c>
      <c r="F12" s="4" t="s">
        <v>796</v>
      </c>
      <c r="G12" s="4"/>
    </row>
    <row r="13" customFormat="false" ht="23.85" hidden="false" customHeight="false" outlineLevel="0" collapsed="false">
      <c r="A13" s="6" t="n">
        <v>10</v>
      </c>
      <c r="B13" s="6" t="s">
        <v>654</v>
      </c>
      <c r="C13" s="6" t="s">
        <v>794</v>
      </c>
      <c r="D13" s="6" t="s">
        <v>805</v>
      </c>
      <c r="E13" s="6" t="s">
        <v>22</v>
      </c>
      <c r="F13" s="6" t="s">
        <v>796</v>
      </c>
      <c r="G13" s="6"/>
    </row>
    <row r="14" customFormat="false" ht="15" hidden="false" customHeight="false" outlineLevel="0" collapsed="false">
      <c r="A14" s="4" t="n">
        <v>11</v>
      </c>
      <c r="B14" s="4" t="s">
        <v>654</v>
      </c>
      <c r="C14" s="4" t="s">
        <v>794</v>
      </c>
      <c r="D14" s="4" t="s">
        <v>806</v>
      </c>
      <c r="E14" s="4" t="s">
        <v>38</v>
      </c>
      <c r="F14" s="4" t="s">
        <v>796</v>
      </c>
      <c r="G14" s="4"/>
    </row>
    <row r="15" customFormat="false" ht="15" hidden="false" customHeight="false" outlineLevel="0" collapsed="false">
      <c r="A15" s="6" t="n">
        <v>12</v>
      </c>
      <c r="B15" s="6" t="s">
        <v>654</v>
      </c>
      <c r="C15" s="6" t="s">
        <v>794</v>
      </c>
      <c r="D15" s="6" t="s">
        <v>807</v>
      </c>
      <c r="E15" s="6" t="s">
        <v>38</v>
      </c>
      <c r="F15" s="6" t="s">
        <v>796</v>
      </c>
      <c r="G15" s="6"/>
    </row>
    <row r="16" customFormat="false" ht="15" hidden="false" customHeight="false" outlineLevel="0" collapsed="false">
      <c r="A16" s="4" t="n">
        <v>13</v>
      </c>
      <c r="B16" s="4" t="s">
        <v>654</v>
      </c>
      <c r="C16" s="4" t="s">
        <v>794</v>
      </c>
      <c r="D16" s="4" t="s">
        <v>808</v>
      </c>
      <c r="E16" s="4" t="s">
        <v>38</v>
      </c>
      <c r="F16" s="4" t="s">
        <v>796</v>
      </c>
      <c r="G16" s="4"/>
    </row>
    <row r="17" customFormat="false" ht="15" hidden="false" customHeight="false" outlineLevel="0" collapsed="false">
      <c r="A17" s="6" t="n">
        <v>14</v>
      </c>
      <c r="B17" s="6" t="s">
        <v>809</v>
      </c>
      <c r="C17" s="6" t="s">
        <v>794</v>
      </c>
      <c r="D17" s="6" t="s">
        <v>810</v>
      </c>
      <c r="E17" s="6" t="s">
        <v>38</v>
      </c>
      <c r="F17" s="6" t="s">
        <v>796</v>
      </c>
      <c r="G17" s="6"/>
    </row>
    <row r="18" customFormat="false" ht="15" hidden="false" customHeight="false" outlineLevel="0" collapsed="false">
      <c r="A18" s="4" t="n">
        <v>15</v>
      </c>
      <c r="B18" s="4" t="s">
        <v>809</v>
      </c>
      <c r="C18" s="4" t="s">
        <v>794</v>
      </c>
      <c r="D18" s="4" t="s">
        <v>811</v>
      </c>
      <c r="E18" s="4" t="s">
        <v>38</v>
      </c>
      <c r="F18" s="4" t="s">
        <v>796</v>
      </c>
      <c r="G18" s="4"/>
    </row>
    <row r="19" customFormat="false" ht="15" hidden="false" customHeight="false" outlineLevel="0" collapsed="false">
      <c r="A19" s="6" t="n">
        <v>16</v>
      </c>
      <c r="B19" s="6" t="s">
        <v>809</v>
      </c>
      <c r="C19" s="6" t="s">
        <v>794</v>
      </c>
      <c r="D19" s="6" t="s">
        <v>812</v>
      </c>
      <c r="E19" s="6" t="s">
        <v>315</v>
      </c>
      <c r="F19" s="6" t="s">
        <v>796</v>
      </c>
      <c r="G19" s="6"/>
    </row>
    <row r="20" customFormat="false" ht="15" hidden="false" customHeight="false" outlineLevel="0" collapsed="false">
      <c r="A20" s="4" t="n">
        <v>17</v>
      </c>
      <c r="B20" s="4" t="s">
        <v>813</v>
      </c>
      <c r="C20" s="4" t="s">
        <v>794</v>
      </c>
      <c r="D20" s="4" t="s">
        <v>814</v>
      </c>
      <c r="E20" s="4" t="s">
        <v>38</v>
      </c>
      <c r="F20" s="4" t="s">
        <v>796</v>
      </c>
      <c r="G20" s="4"/>
    </row>
    <row r="21" customFormat="false" ht="15" hidden="false" customHeight="false" outlineLevel="0" collapsed="false">
      <c r="A21" s="6" t="n">
        <v>18</v>
      </c>
      <c r="B21" s="6" t="s">
        <v>813</v>
      </c>
      <c r="C21" s="6" t="s">
        <v>794</v>
      </c>
      <c r="D21" s="6" t="s">
        <v>815</v>
      </c>
      <c r="E21" s="6" t="s">
        <v>315</v>
      </c>
      <c r="F21" s="6" t="s">
        <v>796</v>
      </c>
      <c r="G21" s="6"/>
    </row>
    <row r="22" customFormat="false" ht="15" hidden="false" customHeight="false" outlineLevel="0" collapsed="false">
      <c r="A22" s="4" t="n">
        <v>19</v>
      </c>
      <c r="B22" s="4" t="s">
        <v>816</v>
      </c>
      <c r="C22" s="4" t="s">
        <v>794</v>
      </c>
      <c r="D22" s="4" t="s">
        <v>817</v>
      </c>
      <c r="E22" s="4" t="s">
        <v>38</v>
      </c>
      <c r="F22" s="4" t="s">
        <v>796</v>
      </c>
      <c r="G22" s="4"/>
    </row>
    <row r="23" customFormat="false" ht="15" hidden="false" customHeight="false" outlineLevel="0" collapsed="false">
      <c r="A23" s="6" t="n">
        <v>20</v>
      </c>
      <c r="B23" s="6" t="s">
        <v>816</v>
      </c>
      <c r="C23" s="6" t="s">
        <v>794</v>
      </c>
      <c r="D23" s="6" t="s">
        <v>818</v>
      </c>
      <c r="E23" s="6" t="s">
        <v>38</v>
      </c>
      <c r="F23" s="6" t="s">
        <v>796</v>
      </c>
      <c r="G23" s="6"/>
    </row>
    <row r="24" customFormat="false" ht="15" hidden="false" customHeight="false" outlineLevel="0" collapsed="false">
      <c r="A24" s="4" t="n">
        <v>21</v>
      </c>
      <c r="B24" s="4" t="s">
        <v>816</v>
      </c>
      <c r="C24" s="4" t="s">
        <v>794</v>
      </c>
      <c r="D24" s="4" t="s">
        <v>819</v>
      </c>
      <c r="E24" s="4" t="s">
        <v>315</v>
      </c>
      <c r="F24" s="4" t="s">
        <v>796</v>
      </c>
      <c r="G24" s="4"/>
    </row>
    <row r="25" customFormat="false" ht="15" hidden="false" customHeight="false" outlineLevel="0" collapsed="false">
      <c r="A25" s="6" t="n">
        <v>22</v>
      </c>
      <c r="B25" s="6" t="s">
        <v>816</v>
      </c>
      <c r="C25" s="6" t="s">
        <v>794</v>
      </c>
      <c r="D25" s="6" t="s">
        <v>820</v>
      </c>
      <c r="E25" s="6" t="s">
        <v>315</v>
      </c>
      <c r="F25" s="6" t="s">
        <v>796</v>
      </c>
      <c r="G25" s="6"/>
    </row>
    <row r="26" customFormat="false" ht="15" hidden="false" customHeight="false" outlineLevel="0" collapsed="false">
      <c r="A26" s="4" t="n">
        <v>23</v>
      </c>
      <c r="B26" s="4" t="s">
        <v>821</v>
      </c>
      <c r="C26" s="4" t="s">
        <v>822</v>
      </c>
      <c r="D26" s="4" t="s">
        <v>823</v>
      </c>
      <c r="E26" s="4" t="s">
        <v>38</v>
      </c>
      <c r="F26" s="4" t="s">
        <v>824</v>
      </c>
      <c r="G26" s="4"/>
    </row>
    <row r="27" customFormat="false" ht="15" hidden="false" customHeight="false" outlineLevel="0" collapsed="false">
      <c r="A27" s="6" t="n">
        <v>24</v>
      </c>
      <c r="B27" s="6" t="s">
        <v>821</v>
      </c>
      <c r="C27" s="6" t="s">
        <v>822</v>
      </c>
      <c r="D27" s="6" t="s">
        <v>825</v>
      </c>
      <c r="E27" s="6" t="s">
        <v>38</v>
      </c>
      <c r="F27" s="6" t="s">
        <v>824</v>
      </c>
      <c r="G27" s="6"/>
    </row>
    <row r="28" customFormat="false" ht="15" hidden="false" customHeight="false" outlineLevel="0" collapsed="false">
      <c r="A28" s="4" t="n">
        <v>25</v>
      </c>
      <c r="B28" s="4" t="s">
        <v>821</v>
      </c>
      <c r="C28" s="4" t="s">
        <v>822</v>
      </c>
      <c r="D28" s="4" t="s">
        <v>826</v>
      </c>
      <c r="E28" s="4" t="s">
        <v>315</v>
      </c>
      <c r="F28" s="4" t="s">
        <v>827</v>
      </c>
      <c r="G28" s="4"/>
    </row>
    <row r="29" customFormat="false" ht="15" hidden="false" customHeight="false" outlineLevel="0" collapsed="false">
      <c r="A29" s="6" t="n">
        <v>26</v>
      </c>
      <c r="B29" s="6" t="s">
        <v>821</v>
      </c>
      <c r="C29" s="6" t="s">
        <v>822</v>
      </c>
      <c r="D29" s="6" t="s">
        <v>828</v>
      </c>
      <c r="E29" s="6" t="s">
        <v>315</v>
      </c>
      <c r="F29" s="6" t="s">
        <v>827</v>
      </c>
      <c r="G29" s="6"/>
    </row>
    <row r="30" customFormat="false" ht="15" hidden="false" customHeight="false" outlineLevel="0" collapsed="false">
      <c r="A30" s="4" t="n">
        <v>27</v>
      </c>
      <c r="B30" s="4" t="s">
        <v>821</v>
      </c>
      <c r="C30" s="4" t="s">
        <v>822</v>
      </c>
      <c r="D30" s="4" t="s">
        <v>829</v>
      </c>
      <c r="E30" s="4" t="s">
        <v>22</v>
      </c>
      <c r="F30" s="4" t="s">
        <v>827</v>
      </c>
      <c r="G30" s="4"/>
    </row>
    <row r="31" customFormat="false" ht="15" hidden="false" customHeight="false" outlineLevel="0" collapsed="false">
      <c r="A31" s="6" t="n">
        <v>28</v>
      </c>
      <c r="B31" s="6" t="s">
        <v>821</v>
      </c>
      <c r="C31" s="6" t="s">
        <v>822</v>
      </c>
      <c r="D31" s="6" t="s">
        <v>830</v>
      </c>
      <c r="E31" s="6" t="s">
        <v>38</v>
      </c>
      <c r="F31" s="6" t="s">
        <v>827</v>
      </c>
      <c r="G31" s="6"/>
    </row>
    <row r="32" customFormat="false" ht="15" hidden="false" customHeight="false" outlineLevel="0" collapsed="false">
      <c r="A32" s="4" t="n">
        <v>29</v>
      </c>
      <c r="B32" s="4" t="s">
        <v>821</v>
      </c>
      <c r="C32" s="4" t="s">
        <v>822</v>
      </c>
      <c r="D32" s="4" t="s">
        <v>831</v>
      </c>
      <c r="E32" s="4" t="s">
        <v>38</v>
      </c>
      <c r="F32" s="4" t="s">
        <v>827</v>
      </c>
      <c r="G32" s="4"/>
    </row>
    <row r="33" customFormat="false" ht="15" hidden="false" customHeight="false" outlineLevel="0" collapsed="false">
      <c r="A33" s="6" t="n">
        <v>30</v>
      </c>
      <c r="B33" s="6" t="s">
        <v>821</v>
      </c>
      <c r="C33" s="6" t="s">
        <v>822</v>
      </c>
      <c r="D33" s="6" t="s">
        <v>832</v>
      </c>
      <c r="E33" s="6" t="s">
        <v>315</v>
      </c>
      <c r="F33" s="6" t="s">
        <v>827</v>
      </c>
      <c r="G33" s="6"/>
    </row>
  </sheetData>
  <mergeCells count="2">
    <mergeCell ref="A1:G1"/>
    <mergeCell ref="A2:G2"/>
  </mergeCells>
  <dataValidations count="2">
    <dataValidation allowBlank="true" errorStyle="stop" operator="between" showDropDown="false" showErrorMessage="false" showInputMessage="false" sqref="E4:E33" type="list">
      <formula1>"Critical,High,Medium,Low"</formula1>
      <formula2>0</formula2>
    </dataValidation>
    <dataValidation allowBlank="true" errorStyle="stop" operator="between" showDropDown="false" showErrorMessage="false" showInputMessage="false" sqref="F4:F33" type="list">
      <formula1>"Open,Answered,Confirmed,Assumed,N/A"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2026-05-07T13:48:11Z</dcterms:created>
  <dc:creator>openpyxl</dc:creator>
  <dc:description/>
  <dc:language>en-US</dc:language>
  <cp:lastModifiedBy/>
  <dcterms:modified xsi:type="dcterms:W3CDTF">2026-05-07T13:48:11Z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