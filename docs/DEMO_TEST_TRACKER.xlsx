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<sst xmlns="http://schemas.openxmlformats.org/spreadsheetml/2006/main" count="768" uniqueCount="157">
  <si>
    <t>Test ID</t>
  </si>
  <si>
    <t>Suite</t>
  </si>
  <si>
    <t>Test Name</t>
  </si>
  <si>
    <t>Step Count</t>
  </si>
  <si>
    <t>Status</t>
  </si>
  <si>
    <t>Tester Name</t>
  </si>
  <si>
    <t>Date Tested</t>
  </si>
  <si>
    <t>Bug Description</t>
  </si>
  <si>
    <t>Expected vs Actual</t>
  </si>
  <si>
    <t>Screenshot Reference</t>
  </si>
  <si>
    <t>Severity</t>
  </si>
  <si>
    <t>Fix Status</t>
  </si>
  <si>
    <t>CLI Prompt Notes</t>
  </si>
  <si>
    <t>T-001</t>
  </si>
  <si>
    <t>Suite 1</t>
  </si>
  <si>
    <t>Dev server boots</t>
  </si>
  <si>
    <t/>
  </si>
  <si>
    <t>T-002</t>
  </si>
  <si>
    <t>Dashboard renders</t>
  </si>
  <si>
    <t>T-003</t>
  </si>
  <si>
    <t>Sidebar navigation</t>
  </si>
  <si>
    <t>T-004</t>
  </si>
  <si>
    <t>API health check</t>
  </si>
  <si>
    <t>T-010</t>
  </si>
  <si>
    <t>Suite 2</t>
  </si>
  <si>
    <t>Start new RFP estimate</t>
  </si>
  <si>
    <t>T-011</t>
  </si>
  <si>
    <t>Upload RFP fixtures</t>
  </si>
  <si>
    <t>T-012</t>
  </si>
  <si>
    <t>Project details (RFP)</t>
  </si>
  <si>
    <t>T-013</t>
  </si>
  <si>
    <t>Pricing defaults</t>
  </si>
  <si>
    <t>T-014</t>
  </si>
  <si>
    <t>Pipeline status visible</t>
  </si>
  <si>
    <t>T-015</t>
  </si>
  <si>
    <t>CP1 Requirements Review checkpoint</t>
  </si>
  <si>
    <t>T-016</t>
  </si>
  <si>
    <t>Compliance sub-page</t>
  </si>
  <si>
    <t>T-017</t>
  </si>
  <si>
    <t>CP2 Compliance approval</t>
  </si>
  <si>
    <t>T-018</t>
  </si>
  <si>
    <t>Clarifications page</t>
  </si>
  <si>
    <t>T-019</t>
  </si>
  <si>
    <t>BoM sub-page — SKU phase</t>
  </si>
  <si>
    <t>T-020</t>
  </si>
  <si>
    <t>CP3a BoM SKU approval</t>
  </si>
  <si>
    <t>T-021</t>
  </si>
  <si>
    <t>BoM Pricing phase + CP3b approval</t>
  </si>
  <si>
    <t>T-022</t>
  </si>
  <si>
    <t>Pricing config sub-page</t>
  </si>
  <si>
    <t>T-023</t>
  </si>
  <si>
    <t>Proposal sub-page renders</t>
  </si>
  <si>
    <t>T-024</t>
  </si>
  <si>
    <t>CP4 Proposal approval + DOCX download</t>
  </si>
  <si>
    <t>T-025</t>
  </si>
  <si>
    <t>Margin Review page</t>
  </si>
  <si>
    <t>T-026</t>
  </si>
  <si>
    <t>Export Center unlocks after approval</t>
  </si>
  <si>
    <t>T-030</t>
  </si>
  <si>
    <t>Suite 3</t>
  </si>
  <si>
    <t>Quick BoM intake (paste 5 SKUs)</t>
  </si>
  <si>
    <t>T-031</t>
  </si>
  <si>
    <t>Quick BoM runs E2 only first</t>
  </si>
  <si>
    <t>T-032</t>
  </si>
  <si>
    <t>Quick BoM checkpoints (CP3a/b, CP4)</t>
  </si>
  <si>
    <t>T-033</t>
  </si>
  <si>
    <t>Quick BoM proposal download</t>
  </si>
  <si>
    <t>T-034</t>
  </si>
  <si>
    <t>Quick BoM file upload variant</t>
  </si>
  <si>
    <t>T-040</t>
  </si>
  <si>
    <t>Suite 4</t>
  </si>
  <si>
    <t>RFI intake (skips file step)</t>
  </si>
  <si>
    <t>T-041</t>
  </si>
  <si>
    <t>Questionnaire generation</t>
  </si>
  <si>
    <t>T-042</t>
  </si>
  <si>
    <t>Approve questionnaire</t>
  </si>
  <si>
    <t>T-043</t>
  </si>
  <si>
    <t>Submit free-text responses</t>
  </si>
  <si>
    <t>T-044</t>
  </si>
  <si>
    <t>Verify gaps + baseline tabs</t>
  </si>
  <si>
    <t>T-045</t>
  </si>
  <si>
    <t>Design page — 5 tabs render</t>
  </si>
  <si>
    <t>T-046</t>
  </si>
  <si>
    <t>Approve Design / HLD / LLD</t>
  </si>
  <si>
    <t>T-047</t>
  </si>
  <si>
    <t>Download HLD DOCX</t>
  </si>
  <si>
    <t>T-048</t>
  </si>
  <si>
    <t>Download LLD DOCX + diagram XML</t>
  </si>
  <si>
    <t>T-049</t>
  </si>
  <si>
    <t>RFI BoM from components</t>
  </si>
  <si>
    <t>T-050</t>
  </si>
  <si>
    <t>RFI proposal with design context</t>
  </si>
  <si>
    <t>T-060</t>
  </si>
  <si>
    <t>Suite 5</t>
  </si>
  <si>
    <t>Revision at CP1 (Requirements)</t>
  </si>
  <si>
    <t>T-061</t>
  </si>
  <si>
    <t>Revision at CP2 (Compliance)</t>
  </si>
  <si>
    <t>T-062</t>
  </si>
  <si>
    <t>Revision at CP3 (BoM)</t>
  </si>
  <si>
    <t>T-063</t>
  </si>
  <si>
    <t>Revision at CP4 (Proposal)</t>
  </si>
  <si>
    <t>T-070</t>
  </si>
  <si>
    <t>Suite 6</t>
  </si>
  <si>
    <t>Dashboard recent activity</t>
  </si>
  <si>
    <t>T-071</t>
  </si>
  <si>
    <t>Estimates list filters + tenant isolation</t>
  </si>
  <si>
    <t>T-072</t>
  </si>
  <si>
    <t>Estimates list delete</t>
  </si>
  <si>
    <t>T-073</t>
  </si>
  <si>
    <t>Catalog page (Cisco/Fortinet tabs)</t>
  </si>
  <si>
    <t>T-074</t>
  </si>
  <si>
    <t>Settings (Admin) page</t>
  </si>
  <si>
    <t>T-080</t>
  </si>
  <si>
    <t>Suite 7</t>
  </si>
  <si>
    <t>Download Priced BoM workbook</t>
  </si>
  <si>
    <t>T-081</t>
  </si>
  <si>
    <t>Download Compliance Matrix</t>
  </si>
  <si>
    <t>T-082</t>
  </si>
  <si>
    <t>Download Technical Proposal DOCX</t>
  </si>
  <si>
    <t>T-083</t>
  </si>
  <si>
    <t>Download Financial Proposal XLSX</t>
  </si>
  <si>
    <t>T-084</t>
  </si>
  <si>
    <t>Download HLD DOCX (RFI flow)</t>
  </si>
  <si>
    <t>T-085</t>
  </si>
  <si>
    <t>Download LLD DOCX (RFI flow)</t>
  </si>
  <si>
    <t>T-086</t>
  </si>
  <si>
    <t>Download Diagram XML (RFI flow)</t>
  </si>
  <si>
    <t>T-087</t>
  </si>
  <si>
    <t>Download Compliance export from sub-page</t>
  </si>
  <si>
    <t>T-088</t>
  </si>
  <si>
    <t>Coming-soon artifacts are disabled</t>
  </si>
  <si>
    <t>T-090</t>
  </si>
  <si>
    <t>Suite 8</t>
  </si>
  <si>
    <t>Corrupt file upload</t>
  </si>
  <si>
    <t>T-091</t>
  </si>
  <si>
    <t>Missing required field gates Continue</t>
  </si>
  <si>
    <t>T-092</t>
  </si>
  <si>
    <t>Approve without pipeline (defensive)</t>
  </si>
  <si>
    <t>T-093</t>
  </si>
  <si>
    <t>FAILED status display in list + hub</t>
  </si>
  <si>
    <t>T-094</t>
  </si>
  <si>
    <t>Approve deal without strategic justification</t>
  </si>
  <si>
    <t>T-095</t>
  </si>
  <si>
    <t>404 on unknown estimate</t>
  </si>
  <si>
    <t>Metric</t>
  </si>
  <si>
    <t>Value</t>
  </si>
  <si>
    <t>Total tests</t>
  </si>
  <si>
    <t>PASS count</t>
  </si>
  <si>
    <t>FAIL count</t>
  </si>
  <si>
    <t>BLOCKED count</t>
  </si>
  <si>
    <t>SKIP count</t>
  </si>
  <si>
    <t>Untested count</t>
  </si>
  <si>
    <t>Pass rate %</t>
  </si>
  <si>
    <t>Tests executed</t>
  </si>
  <si>
    <t>Execution %</t>
  </si>
  <si>
    <t>Per-suite breakdown</t>
  </si>
  <si>
    <t>Pass / Fail /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</si>
</sst>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/>
  </cellXfs>
  <cellStyles count="1">
    <cellStyle name="Normal" xfId="0" builtinId="0"/>
  </cellStyles>
  <dxfs count="4">
    <dxf>
      <font>
        <b/>
        <color rgb="FF274E13"/>
      </font>
      <fill>
        <patternFill patternType="solid">
          <bgColor rgb="FFD9EAD3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E599"/>
        </patternFill>
      </fill>
    </dxf>
    <dxf>
      <font>
        <b/>
        <color rgb="FF666666"/>
      </font>
      <fill>
        <patternFill patternType="solid"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3" max="3" width="42" customWidth="1"/>
    <col min="4" max="4" width="11" customWidth="1"/>
    <col min="5" max="5" width="12" customWidth="1"/>
    <col min="6" max="6" width="16" customWidth="1"/>
    <col min="7" max="7" width="14" customWidth="1"/>
    <col min="8" max="9" width="60" customWidth="1"/>
    <col min="10" max="10" width="22" customWidth="1"/>
    <col min="11" max="11" width="12" customWidth="1"/>
    <col min="12" max="12" width="14" customWidth="1"/>
    <col min="13" max="13" width="60" customWidth="1"/>
  </cols>
  <sheetData>
    <row r="1" ht="22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s="2" t="s">
        <v>15</v>
      </c>
      <c r="D2">
        <v>2</v>
      </c>
      <c r="E2" t="s">
        <v>16</v>
      </c>
      <c r="F2" t="s">
        <v>16</v>
      </c>
      <c r="G2" t="s">
        <v>16</v>
      </c>
      <c r="H2" s="2" t="s">
        <v>16</v>
      </c>
      <c r="I2" s="2" t="s">
        <v>16</v>
      </c>
      <c r="J2" t="s">
        <v>16</v>
      </c>
      <c r="K2" t="s">
        <v>16</v>
      </c>
      <c r="L2" t="s">
        <v>16</v>
      </c>
      <c r="M2" s="2" t="s">
        <v>16</v>
      </c>
    </row>
    <row r="3" spans="1:13" x14ac:dyDescent="0.25">
      <c r="A3" t="s">
        <v>17</v>
      </c>
      <c r="B3" t="s">
        <v>14</v>
      </c>
      <c r="C3" s="2" t="s">
        <v>18</v>
      </c>
      <c r="D3">
        <v>2</v>
      </c>
      <c r="E3" t="s">
        <v>16</v>
      </c>
      <c r="F3" t="s">
        <v>16</v>
      </c>
      <c r="G3" t="s">
        <v>16</v>
      </c>
      <c r="H3" s="2" t="s">
        <v>16</v>
      </c>
      <c r="I3" s="2" t="s">
        <v>16</v>
      </c>
      <c r="J3" t="s">
        <v>16</v>
      </c>
      <c r="K3" t="s">
        <v>16</v>
      </c>
      <c r="L3" t="s">
        <v>16</v>
      </c>
      <c r="M3" s="2" t="s">
        <v>16</v>
      </c>
    </row>
    <row r="4" spans="1:13" x14ac:dyDescent="0.25">
      <c r="A4" t="s">
        <v>19</v>
      </c>
      <c r="B4" t="s">
        <v>14</v>
      </c>
      <c r="C4" s="2" t="s">
        <v>20</v>
      </c>
      <c r="D4">
        <v>2</v>
      </c>
      <c r="E4" t="s">
        <v>16</v>
      </c>
      <c r="F4" t="s">
        <v>16</v>
      </c>
      <c r="G4" t="s">
        <v>16</v>
      </c>
      <c r="H4" s="2" t="s">
        <v>16</v>
      </c>
      <c r="I4" s="2" t="s">
        <v>16</v>
      </c>
      <c r="J4" t="s">
        <v>16</v>
      </c>
      <c r="K4" t="s">
        <v>16</v>
      </c>
      <c r="L4" t="s">
        <v>16</v>
      </c>
      <c r="M4" s="2" t="s">
        <v>16</v>
      </c>
    </row>
    <row r="5" spans="1:13" x14ac:dyDescent="0.25">
      <c r="A5" t="s">
        <v>21</v>
      </c>
      <c r="B5" t="s">
        <v>14</v>
      </c>
      <c r="C5" s="2" t="s">
        <v>22</v>
      </c>
      <c r="D5">
        <v>1</v>
      </c>
      <c r="E5" t="s">
        <v>16</v>
      </c>
      <c r="F5" t="s">
        <v>16</v>
      </c>
      <c r="G5" t="s">
        <v>16</v>
      </c>
      <c r="H5" s="2" t="s">
        <v>16</v>
      </c>
      <c r="I5" s="2" t="s">
        <v>16</v>
      </c>
      <c r="J5" t="s">
        <v>16</v>
      </c>
      <c r="K5" t="s">
        <v>16</v>
      </c>
      <c r="L5" t="s">
        <v>16</v>
      </c>
      <c r="M5" s="2" t="s">
        <v>16</v>
      </c>
    </row>
    <row r="6" spans="1:13" x14ac:dyDescent="0.25">
      <c r="A6" t="s">
        <v>23</v>
      </c>
      <c r="B6" t="s">
        <v>24</v>
      </c>
      <c r="C6" s="2" t="s">
        <v>25</v>
      </c>
      <c r="D6">
        <v>2</v>
      </c>
      <c r="E6" t="s">
        <v>16</v>
      </c>
      <c r="F6" t="s">
        <v>16</v>
      </c>
      <c r="G6" t="s">
        <v>16</v>
      </c>
      <c r="H6" s="2" t="s">
        <v>16</v>
      </c>
      <c r="I6" s="2" t="s">
        <v>16</v>
      </c>
      <c r="J6" t="s">
        <v>16</v>
      </c>
      <c r="K6" t="s">
        <v>16</v>
      </c>
      <c r="L6" t="s">
        <v>16</v>
      </c>
      <c r="M6" s="2" t="s">
        <v>16</v>
      </c>
    </row>
    <row r="7" spans="1:13" x14ac:dyDescent="0.25">
      <c r="A7" t="s">
        <v>26</v>
      </c>
      <c r="B7" t="s">
        <v>24</v>
      </c>
      <c r="C7" s="2" t="s">
        <v>27</v>
      </c>
      <c r="D7">
        <v>2</v>
      </c>
      <c r="E7" t="s">
        <v>16</v>
      </c>
      <c r="F7" t="s">
        <v>16</v>
      </c>
      <c r="G7" t="s">
        <v>16</v>
      </c>
      <c r="H7" s="2" t="s">
        <v>16</v>
      </c>
      <c r="I7" s="2" t="s">
        <v>16</v>
      </c>
      <c r="J7" t="s">
        <v>16</v>
      </c>
      <c r="K7" t="s">
        <v>16</v>
      </c>
      <c r="L7" t="s">
        <v>16</v>
      </c>
      <c r="M7" s="2" t="s">
        <v>16</v>
      </c>
    </row>
    <row r="8" spans="1:13" x14ac:dyDescent="0.25">
      <c r="A8" t="s">
        <v>28</v>
      </c>
      <c r="B8" t="s">
        <v>24</v>
      </c>
      <c r="C8" s="2" t="s">
        <v>29</v>
      </c>
      <c r="D8">
        <v>3</v>
      </c>
      <c r="E8" t="s">
        <v>16</v>
      </c>
      <c r="F8" t="s">
        <v>16</v>
      </c>
      <c r="G8" t="s">
        <v>16</v>
      </c>
      <c r="H8" s="2" t="s">
        <v>16</v>
      </c>
      <c r="I8" s="2" t="s">
        <v>16</v>
      </c>
      <c r="J8" t="s">
        <v>16</v>
      </c>
      <c r="K8" t="s">
        <v>16</v>
      </c>
      <c r="L8" t="s">
        <v>16</v>
      </c>
      <c r="M8" s="2" t="s">
        <v>16</v>
      </c>
    </row>
    <row r="9" spans="1:13" x14ac:dyDescent="0.25">
      <c r="A9" t="s">
        <v>30</v>
      </c>
      <c r="B9" t="s">
        <v>24</v>
      </c>
      <c r="C9" s="2" t="s">
        <v>31</v>
      </c>
      <c r="D9">
        <v>2</v>
      </c>
      <c r="E9" t="s">
        <v>16</v>
      </c>
      <c r="F9" t="s">
        <v>16</v>
      </c>
      <c r="G9" t="s">
        <v>16</v>
      </c>
      <c r="H9" s="2" t="s">
        <v>16</v>
      </c>
      <c r="I9" s="2" t="s">
        <v>16</v>
      </c>
      <c r="J9" t="s">
        <v>16</v>
      </c>
      <c r="K9" t="s">
        <v>16</v>
      </c>
      <c r="L9" t="s">
        <v>16</v>
      </c>
      <c r="M9" s="2" t="s">
        <v>16</v>
      </c>
    </row>
    <row r="10" spans="1:13" x14ac:dyDescent="0.25">
      <c r="A10" t="s">
        <v>32</v>
      </c>
      <c r="B10" t="s">
        <v>24</v>
      </c>
      <c r="C10" s="2" t="s">
        <v>33</v>
      </c>
      <c r="D10">
        <v>2</v>
      </c>
      <c r="E10" t="s">
        <v>16</v>
      </c>
      <c r="F10" t="s">
        <v>16</v>
      </c>
      <c r="G10" t="s">
        <v>16</v>
      </c>
      <c r="H10" s="2" t="s">
        <v>16</v>
      </c>
      <c r="I10" s="2" t="s">
        <v>16</v>
      </c>
      <c r="J10" t="s">
        <v>16</v>
      </c>
      <c r="K10" t="s">
        <v>16</v>
      </c>
      <c r="L10" t="s">
        <v>16</v>
      </c>
      <c r="M10" s="2" t="s">
        <v>16</v>
      </c>
    </row>
    <row r="11" spans="1:13" x14ac:dyDescent="0.25">
      <c r="A11" t="s">
        <v>34</v>
      </c>
      <c r="B11" t="s">
        <v>24</v>
      </c>
      <c r="C11" s="2" t="s">
        <v>35</v>
      </c>
      <c r="D11">
        <v>3</v>
      </c>
      <c r="E11" t="s">
        <v>16</v>
      </c>
      <c r="F11" t="s">
        <v>16</v>
      </c>
      <c r="G11" t="s">
        <v>16</v>
      </c>
      <c r="H11" s="2" t="s">
        <v>16</v>
      </c>
      <c r="I11" s="2" t="s">
        <v>16</v>
      </c>
      <c r="J11" t="s">
        <v>16</v>
      </c>
      <c r="K11" t="s">
        <v>16</v>
      </c>
      <c r="L11" t="s">
        <v>16</v>
      </c>
      <c r="M11" s="2" t="s">
        <v>16</v>
      </c>
    </row>
    <row r="12" spans="1:13" x14ac:dyDescent="0.25">
      <c r="A12" t="s">
        <v>36</v>
      </c>
      <c r="B12" t="s">
        <v>24</v>
      </c>
      <c r="C12" s="2" t="s">
        <v>37</v>
      </c>
      <c r="D12">
        <v>3</v>
      </c>
      <c r="E12" t="s">
        <v>16</v>
      </c>
      <c r="F12" t="s">
        <v>16</v>
      </c>
      <c r="G12" t="s">
        <v>16</v>
      </c>
      <c r="H12" s="2" t="s">
        <v>16</v>
      </c>
      <c r="I12" s="2" t="s">
        <v>16</v>
      </c>
      <c r="J12" t="s">
        <v>16</v>
      </c>
      <c r="K12" t="s">
        <v>16</v>
      </c>
      <c r="L12" t="s">
        <v>16</v>
      </c>
      <c r="M12" s="2" t="s">
        <v>16</v>
      </c>
    </row>
    <row r="13" spans="1:13" x14ac:dyDescent="0.25">
      <c r="A13" t="s">
        <v>38</v>
      </c>
      <c r="B13" t="s">
        <v>24</v>
      </c>
      <c r="C13" s="2" t="s">
        <v>39</v>
      </c>
      <c r="D13">
        <v>2</v>
      </c>
      <c r="E13" t="s">
        <v>16</v>
      </c>
      <c r="F13" t="s">
        <v>16</v>
      </c>
      <c r="G13" t="s">
        <v>16</v>
      </c>
      <c r="H13" s="2" t="s">
        <v>16</v>
      </c>
      <c r="I13" s="2" t="s">
        <v>16</v>
      </c>
      <c r="J13" t="s">
        <v>16</v>
      </c>
      <c r="K13" t="s">
        <v>16</v>
      </c>
      <c r="L13" t="s">
        <v>16</v>
      </c>
      <c r="M13" s="2" t="s">
        <v>16</v>
      </c>
    </row>
    <row r="14" spans="1:13" x14ac:dyDescent="0.25">
      <c r="A14" t="s">
        <v>40</v>
      </c>
      <c r="B14" t="s">
        <v>24</v>
      </c>
      <c r="C14" s="2" t="s">
        <v>41</v>
      </c>
      <c r="D14">
        <v>2</v>
      </c>
      <c r="E14" t="s">
        <v>16</v>
      </c>
      <c r="F14" t="s">
        <v>16</v>
      </c>
      <c r="G14" t="s">
        <v>16</v>
      </c>
      <c r="H14" s="2" t="s">
        <v>16</v>
      </c>
      <c r="I14" s="2" t="s">
        <v>16</v>
      </c>
      <c r="J14" t="s">
        <v>16</v>
      </c>
      <c r="K14" t="s">
        <v>16</v>
      </c>
      <c r="L14" t="s">
        <v>16</v>
      </c>
      <c r="M14" s="2" t="s">
        <v>16</v>
      </c>
    </row>
    <row r="15" spans="1:13" x14ac:dyDescent="0.25">
      <c r="A15" t="s">
        <v>42</v>
      </c>
      <c r="B15" t="s">
        <v>24</v>
      </c>
      <c r="C15" s="2" t="s">
        <v>43</v>
      </c>
      <c r="D15">
        <v>2</v>
      </c>
      <c r="E15" t="s">
        <v>16</v>
      </c>
      <c r="F15" t="s">
        <v>16</v>
      </c>
      <c r="G15" t="s">
        <v>16</v>
      </c>
      <c r="H15" s="2" t="s">
        <v>16</v>
      </c>
      <c r="I15" s="2" t="s">
        <v>16</v>
      </c>
      <c r="J15" t="s">
        <v>16</v>
      </c>
      <c r="K15" t="s">
        <v>16</v>
      </c>
      <c r="L15" t="s">
        <v>16</v>
      </c>
      <c r="M15" s="2" t="s">
        <v>16</v>
      </c>
    </row>
    <row r="16" spans="1:13" x14ac:dyDescent="0.25">
      <c r="A16" t="s">
        <v>44</v>
      </c>
      <c r="B16" t="s">
        <v>24</v>
      </c>
      <c r="C16" s="2" t="s">
        <v>45</v>
      </c>
      <c r="D16">
        <v>2</v>
      </c>
      <c r="E16" t="s">
        <v>16</v>
      </c>
      <c r="F16" t="s">
        <v>16</v>
      </c>
      <c r="G16" t="s">
        <v>16</v>
      </c>
      <c r="H16" s="2" t="s">
        <v>16</v>
      </c>
      <c r="I16" s="2" t="s">
        <v>16</v>
      </c>
      <c r="J16" t="s">
        <v>16</v>
      </c>
      <c r="K16" t="s">
        <v>16</v>
      </c>
      <c r="L16" t="s">
        <v>16</v>
      </c>
      <c r="M16" s="2" t="s">
        <v>16</v>
      </c>
    </row>
    <row r="17" spans="1:13" x14ac:dyDescent="0.25">
      <c r="A17" t="s">
        <v>46</v>
      </c>
      <c r="B17" t="s">
        <v>24</v>
      </c>
      <c r="C17" s="2" t="s">
        <v>47</v>
      </c>
      <c r="D17">
        <v>3</v>
      </c>
      <c r="E17" t="s">
        <v>16</v>
      </c>
      <c r="F17" t="s">
        <v>16</v>
      </c>
      <c r="G17" t="s">
        <v>16</v>
      </c>
      <c r="H17" s="2" t="s">
        <v>16</v>
      </c>
      <c r="I17" s="2" t="s">
        <v>16</v>
      </c>
      <c r="J17" t="s">
        <v>16</v>
      </c>
      <c r="K17" t="s">
        <v>16</v>
      </c>
      <c r="L17" t="s">
        <v>16</v>
      </c>
      <c r="M17" s="2" t="s">
        <v>16</v>
      </c>
    </row>
    <row r="18" spans="1:13" x14ac:dyDescent="0.25">
      <c r="A18" t="s">
        <v>48</v>
      </c>
      <c r="B18" t="s">
        <v>24</v>
      </c>
      <c r="C18" s="2" t="s">
        <v>49</v>
      </c>
      <c r="D18">
        <v>3</v>
      </c>
      <c r="E18" t="s">
        <v>16</v>
      </c>
      <c r="F18" t="s">
        <v>16</v>
      </c>
      <c r="G18" t="s">
        <v>16</v>
      </c>
      <c r="H18" s="2" t="s">
        <v>16</v>
      </c>
      <c r="I18" s="2" t="s">
        <v>16</v>
      </c>
      <c r="J18" t="s">
        <v>16</v>
      </c>
      <c r="K18" t="s">
        <v>16</v>
      </c>
      <c r="L18" t="s">
        <v>16</v>
      </c>
      <c r="M18" s="2" t="s">
        <v>16</v>
      </c>
    </row>
    <row r="19" spans="1:13" x14ac:dyDescent="0.25">
      <c r="A19" t="s">
        <v>50</v>
      </c>
      <c r="B19" t="s">
        <v>24</v>
      </c>
      <c r="C19" s="2" t="s">
        <v>51</v>
      </c>
      <c r="D19">
        <v>3</v>
      </c>
      <c r="E19" t="s">
        <v>16</v>
      </c>
      <c r="F19" t="s">
        <v>16</v>
      </c>
      <c r="G19" t="s">
        <v>16</v>
      </c>
      <c r="H19" s="2" t="s">
        <v>16</v>
      </c>
      <c r="I19" s="2" t="s">
        <v>16</v>
      </c>
      <c r="J19" t="s">
        <v>16</v>
      </c>
      <c r="K19" t="s">
        <v>16</v>
      </c>
      <c r="L19" t="s">
        <v>16</v>
      </c>
      <c r="M19" s="2" t="s">
        <v>16</v>
      </c>
    </row>
    <row r="20" spans="1:13" x14ac:dyDescent="0.25">
      <c r="A20" t="s">
        <v>52</v>
      </c>
      <c r="B20" t="s">
        <v>24</v>
      </c>
      <c r="C20" s="2" t="s">
        <v>53</v>
      </c>
      <c r="D20">
        <v>3</v>
      </c>
      <c r="E20" t="s">
        <v>16</v>
      </c>
      <c r="F20" t="s">
        <v>16</v>
      </c>
      <c r="G20" t="s">
        <v>16</v>
      </c>
      <c r="H20" s="2" t="s">
        <v>16</v>
      </c>
      <c r="I20" s="2" t="s">
        <v>16</v>
      </c>
      <c r="J20" t="s">
        <v>16</v>
      </c>
      <c r="K20" t="s">
        <v>16</v>
      </c>
      <c r="L20" t="s">
        <v>16</v>
      </c>
      <c r="M20" s="2" t="s">
        <v>16</v>
      </c>
    </row>
    <row r="21" spans="1:13" x14ac:dyDescent="0.25">
      <c r="A21" t="s">
        <v>54</v>
      </c>
      <c r="B21" t="s">
        <v>24</v>
      </c>
      <c r="C21" s="2" t="s">
        <v>55</v>
      </c>
      <c r="D21">
        <v>3</v>
      </c>
      <c r="E21" t="s">
        <v>16</v>
      </c>
      <c r="F21" t="s">
        <v>16</v>
      </c>
      <c r="G21" t="s">
        <v>16</v>
      </c>
      <c r="H21" s="2" t="s">
        <v>16</v>
      </c>
      <c r="I21" s="2" t="s">
        <v>16</v>
      </c>
      <c r="J21" t="s">
        <v>16</v>
      </c>
      <c r="K21" t="s">
        <v>16</v>
      </c>
      <c r="L21" t="s">
        <v>16</v>
      </c>
      <c r="M21" s="2" t="s">
        <v>16</v>
      </c>
    </row>
    <row r="22" spans="1:13" x14ac:dyDescent="0.25">
      <c r="A22" t="s">
        <v>56</v>
      </c>
      <c r="B22" t="s">
        <v>24</v>
      </c>
      <c r="C22" s="2" t="s">
        <v>57</v>
      </c>
      <c r="D22">
        <v>2</v>
      </c>
      <c r="E22" t="s">
        <v>16</v>
      </c>
      <c r="F22" t="s">
        <v>16</v>
      </c>
      <c r="G22" t="s">
        <v>16</v>
      </c>
      <c r="H22" s="2" t="s">
        <v>16</v>
      </c>
      <c r="I22" s="2" t="s">
        <v>16</v>
      </c>
      <c r="J22" t="s">
        <v>16</v>
      </c>
      <c r="K22" t="s">
        <v>16</v>
      </c>
      <c r="L22" t="s">
        <v>16</v>
      </c>
      <c r="M22" s="2" t="s">
        <v>16</v>
      </c>
    </row>
    <row r="23" spans="1:13" x14ac:dyDescent="0.25">
      <c r="A23" t="s">
        <v>58</v>
      </c>
      <c r="B23" t="s">
        <v>59</v>
      </c>
      <c r="C23" s="2" t="s">
        <v>60</v>
      </c>
      <c r="D23">
        <v>3</v>
      </c>
      <c r="E23" t="s">
        <v>16</v>
      </c>
      <c r="F23" t="s">
        <v>16</v>
      </c>
      <c r="G23" t="s">
        <v>16</v>
      </c>
      <c r="H23" s="2" t="s">
        <v>16</v>
      </c>
      <c r="I23" s="2" t="s">
        <v>16</v>
      </c>
      <c r="J23" t="s">
        <v>16</v>
      </c>
      <c r="K23" t="s">
        <v>16</v>
      </c>
      <c r="L23" t="s">
        <v>16</v>
      </c>
      <c r="M23" s="2" t="s">
        <v>16</v>
      </c>
    </row>
    <row r="24" spans="1:13" x14ac:dyDescent="0.25">
      <c r="A24" t="s">
        <v>61</v>
      </c>
      <c r="B24" t="s">
        <v>59</v>
      </c>
      <c r="C24" s="2" t="s">
        <v>62</v>
      </c>
      <c r="D24">
        <v>2</v>
      </c>
      <c r="E24" t="s">
        <v>16</v>
      </c>
      <c r="F24" t="s">
        <v>16</v>
      </c>
      <c r="G24" t="s">
        <v>16</v>
      </c>
      <c r="H24" s="2" t="s">
        <v>16</v>
      </c>
      <c r="I24" s="2" t="s">
        <v>16</v>
      </c>
      <c r="J24" t="s">
        <v>16</v>
      </c>
      <c r="K24" t="s">
        <v>16</v>
      </c>
      <c r="L24" t="s">
        <v>16</v>
      </c>
      <c r="M24" s="2" t="s">
        <v>16</v>
      </c>
    </row>
    <row r="25" spans="1:13" x14ac:dyDescent="0.25">
      <c r="A25" t="s">
        <v>63</v>
      </c>
      <c r="B25" t="s">
        <v>59</v>
      </c>
      <c r="C25" s="2" t="s">
        <v>64</v>
      </c>
      <c r="D25">
        <v>3</v>
      </c>
      <c r="E25" t="s">
        <v>16</v>
      </c>
      <c r="F25" t="s">
        <v>16</v>
      </c>
      <c r="G25" t="s">
        <v>16</v>
      </c>
      <c r="H25" s="2" t="s">
        <v>16</v>
      </c>
      <c r="I25" s="2" t="s">
        <v>16</v>
      </c>
      <c r="J25" t="s">
        <v>16</v>
      </c>
      <c r="K25" t="s">
        <v>16</v>
      </c>
      <c r="L25" t="s">
        <v>16</v>
      </c>
      <c r="M25" s="2" t="s">
        <v>16</v>
      </c>
    </row>
    <row r="26" spans="1:13" x14ac:dyDescent="0.25">
      <c r="A26" t="s">
        <v>65</v>
      </c>
      <c r="B26" t="s">
        <v>59</v>
      </c>
      <c r="C26" s="2" t="s">
        <v>66</v>
      </c>
      <c r="D26">
        <v>2</v>
      </c>
      <c r="E26" t="s">
        <v>16</v>
      </c>
      <c r="F26" t="s">
        <v>16</v>
      </c>
      <c r="G26" t="s">
        <v>16</v>
      </c>
      <c r="H26" s="2" t="s">
        <v>16</v>
      </c>
      <c r="I26" s="2" t="s">
        <v>16</v>
      </c>
      <c r="J26" t="s">
        <v>16</v>
      </c>
      <c r="K26" t="s">
        <v>16</v>
      </c>
      <c r="L26" t="s">
        <v>16</v>
      </c>
      <c r="M26" s="2" t="s">
        <v>16</v>
      </c>
    </row>
    <row r="27" spans="1:13" x14ac:dyDescent="0.25">
      <c r="A27" t="s">
        <v>67</v>
      </c>
      <c r="B27" t="s">
        <v>59</v>
      </c>
      <c r="C27" s="2" t="s">
        <v>68</v>
      </c>
      <c r="D27">
        <v>2</v>
      </c>
      <c r="E27" t="s">
        <v>16</v>
      </c>
      <c r="F27" t="s">
        <v>16</v>
      </c>
      <c r="G27" t="s">
        <v>16</v>
      </c>
      <c r="H27" s="2" t="s">
        <v>16</v>
      </c>
      <c r="I27" s="2" t="s">
        <v>16</v>
      </c>
      <c r="J27" t="s">
        <v>16</v>
      </c>
      <c r="K27" t="s">
        <v>16</v>
      </c>
      <c r="L27" t="s">
        <v>16</v>
      </c>
      <c r="M27" s="2" t="s">
        <v>16</v>
      </c>
    </row>
    <row r="28" spans="1:13" x14ac:dyDescent="0.25">
      <c r="A28" t="s">
        <v>69</v>
      </c>
      <c r="B28" t="s">
        <v>70</v>
      </c>
      <c r="C28" s="2" t="s">
        <v>71</v>
      </c>
      <c r="D28">
        <v>2</v>
      </c>
      <c r="E28" t="s">
        <v>16</v>
      </c>
      <c r="F28" t="s">
        <v>16</v>
      </c>
      <c r="G28" t="s">
        <v>16</v>
      </c>
      <c r="H28" s="2" t="s">
        <v>16</v>
      </c>
      <c r="I28" s="2" t="s">
        <v>16</v>
      </c>
      <c r="J28" t="s">
        <v>16</v>
      </c>
      <c r="K28" t="s">
        <v>16</v>
      </c>
      <c r="L28" t="s">
        <v>16</v>
      </c>
      <c r="M28" s="2" t="s">
        <v>16</v>
      </c>
    </row>
    <row r="29" spans="1:13" x14ac:dyDescent="0.25">
      <c r="A29" t="s">
        <v>72</v>
      </c>
      <c r="B29" t="s">
        <v>70</v>
      </c>
      <c r="C29" s="2" t="s">
        <v>73</v>
      </c>
      <c r="D29">
        <v>2</v>
      </c>
      <c r="E29" t="s">
        <v>16</v>
      </c>
      <c r="F29" t="s">
        <v>16</v>
      </c>
      <c r="G29" t="s">
        <v>16</v>
      </c>
      <c r="H29" s="2" t="s">
        <v>16</v>
      </c>
      <c r="I29" s="2" t="s">
        <v>16</v>
      </c>
      <c r="J29" t="s">
        <v>16</v>
      </c>
      <c r="K29" t="s">
        <v>16</v>
      </c>
      <c r="L29" t="s">
        <v>16</v>
      </c>
      <c r="M29" s="2" t="s">
        <v>16</v>
      </c>
    </row>
    <row r="30" spans="1:13" x14ac:dyDescent="0.25">
      <c r="A30" t="s">
        <v>74</v>
      </c>
      <c r="B30" t="s">
        <v>70</v>
      </c>
      <c r="C30" s="2" t="s">
        <v>75</v>
      </c>
      <c r="D30">
        <v>1</v>
      </c>
      <c r="E30" t="s">
        <v>16</v>
      </c>
      <c r="F30" t="s">
        <v>16</v>
      </c>
      <c r="G30" t="s">
        <v>16</v>
      </c>
      <c r="H30" s="2" t="s">
        <v>16</v>
      </c>
      <c r="I30" s="2" t="s">
        <v>16</v>
      </c>
      <c r="J30" t="s">
        <v>16</v>
      </c>
      <c r="K30" t="s">
        <v>16</v>
      </c>
      <c r="L30" t="s">
        <v>16</v>
      </c>
      <c r="M30" s="2" t="s">
        <v>16</v>
      </c>
    </row>
    <row r="31" spans="1:13" x14ac:dyDescent="0.25">
      <c r="A31" t="s">
        <v>76</v>
      </c>
      <c r="B31" t="s">
        <v>70</v>
      </c>
      <c r="C31" s="2" t="s">
        <v>77</v>
      </c>
      <c r="D31">
        <v>2</v>
      </c>
      <c r="E31" t="s">
        <v>16</v>
      </c>
      <c r="F31" t="s">
        <v>16</v>
      </c>
      <c r="G31" t="s">
        <v>16</v>
      </c>
      <c r="H31" s="2" t="s">
        <v>16</v>
      </c>
      <c r="I31" s="2" t="s">
        <v>16</v>
      </c>
      <c r="J31" t="s">
        <v>16</v>
      </c>
      <c r="K31" t="s">
        <v>16</v>
      </c>
      <c r="L31" t="s">
        <v>16</v>
      </c>
      <c r="M31" s="2" t="s">
        <v>16</v>
      </c>
    </row>
    <row r="32" spans="1:13" x14ac:dyDescent="0.25">
      <c r="A32" t="s">
        <v>78</v>
      </c>
      <c r="B32" t="s">
        <v>70</v>
      </c>
      <c r="C32" s="2" t="s">
        <v>79</v>
      </c>
      <c r="D32">
        <v>3</v>
      </c>
      <c r="E32" t="s">
        <v>16</v>
      </c>
      <c r="F32" t="s">
        <v>16</v>
      </c>
      <c r="G32" t="s">
        <v>16</v>
      </c>
      <c r="H32" s="2" t="s">
        <v>16</v>
      </c>
      <c r="I32" s="2" t="s">
        <v>16</v>
      </c>
      <c r="J32" t="s">
        <v>16</v>
      </c>
      <c r="K32" t="s">
        <v>16</v>
      </c>
      <c r="L32" t="s">
        <v>16</v>
      </c>
      <c r="M32" s="2" t="s">
        <v>16</v>
      </c>
    </row>
    <row r="33" spans="1:13" x14ac:dyDescent="0.25">
      <c r="A33" t="s">
        <v>80</v>
      </c>
      <c r="B33" t="s">
        <v>70</v>
      </c>
      <c r="C33" s="2" t="s">
        <v>81</v>
      </c>
      <c r="D33">
        <v>3</v>
      </c>
      <c r="E33" t="s">
        <v>16</v>
      </c>
      <c r="F33" t="s">
        <v>16</v>
      </c>
      <c r="G33" t="s">
        <v>16</v>
      </c>
      <c r="H33" s="2" t="s">
        <v>16</v>
      </c>
      <c r="I33" s="2" t="s">
        <v>16</v>
      </c>
      <c r="J33" t="s">
        <v>16</v>
      </c>
      <c r="K33" t="s">
        <v>16</v>
      </c>
      <c r="L33" t="s">
        <v>16</v>
      </c>
      <c r="M33" s="2" t="s">
        <v>16</v>
      </c>
    </row>
    <row r="34" spans="1:13" x14ac:dyDescent="0.25">
      <c r="A34" t="s">
        <v>82</v>
      </c>
      <c r="B34" t="s">
        <v>70</v>
      </c>
      <c r="C34" s="2" t="s">
        <v>83</v>
      </c>
      <c r="D34">
        <v>3</v>
      </c>
      <c r="E34" t="s">
        <v>16</v>
      </c>
      <c r="F34" t="s">
        <v>16</v>
      </c>
      <c r="G34" t="s">
        <v>16</v>
      </c>
      <c r="H34" s="2" t="s">
        <v>16</v>
      </c>
      <c r="I34" s="2" t="s">
        <v>16</v>
      </c>
      <c r="J34" t="s">
        <v>16</v>
      </c>
      <c r="K34" t="s">
        <v>16</v>
      </c>
      <c r="L34" t="s">
        <v>16</v>
      </c>
      <c r="M34" s="2" t="s">
        <v>16</v>
      </c>
    </row>
    <row r="35" spans="1:13" x14ac:dyDescent="0.25">
      <c r="A35" t="s">
        <v>84</v>
      </c>
      <c r="B35" t="s">
        <v>70</v>
      </c>
      <c r="C35" s="2" t="s">
        <v>85</v>
      </c>
      <c r="D35">
        <v>1</v>
      </c>
      <c r="E35" t="s">
        <v>16</v>
      </c>
      <c r="F35" t="s">
        <v>16</v>
      </c>
      <c r="G35" t="s">
        <v>16</v>
      </c>
      <c r="H35" s="2" t="s">
        <v>16</v>
      </c>
      <c r="I35" s="2" t="s">
        <v>16</v>
      </c>
      <c r="J35" t="s">
        <v>16</v>
      </c>
      <c r="K35" t="s">
        <v>16</v>
      </c>
      <c r="L35" t="s">
        <v>16</v>
      </c>
      <c r="M35" s="2" t="s">
        <v>16</v>
      </c>
    </row>
    <row r="36" spans="1:13" x14ac:dyDescent="0.25">
      <c r="A36" t="s">
        <v>86</v>
      </c>
      <c r="B36" t="s">
        <v>70</v>
      </c>
      <c r="C36" s="2" t="s">
        <v>87</v>
      </c>
      <c r="D36">
        <v>2</v>
      </c>
      <c r="E36" t="s">
        <v>16</v>
      </c>
      <c r="F36" t="s">
        <v>16</v>
      </c>
      <c r="G36" t="s">
        <v>16</v>
      </c>
      <c r="H36" s="2" t="s">
        <v>16</v>
      </c>
      <c r="I36" s="2" t="s">
        <v>16</v>
      </c>
      <c r="J36" t="s">
        <v>16</v>
      </c>
      <c r="K36" t="s">
        <v>16</v>
      </c>
      <c r="L36" t="s">
        <v>16</v>
      </c>
      <c r="M36" s="2" t="s">
        <v>16</v>
      </c>
    </row>
    <row r="37" spans="1:13" x14ac:dyDescent="0.25">
      <c r="A37" t="s">
        <v>88</v>
      </c>
      <c r="B37" t="s">
        <v>70</v>
      </c>
      <c r="C37" s="2" t="s">
        <v>89</v>
      </c>
      <c r="D37">
        <v>2</v>
      </c>
      <c r="E37" t="s">
        <v>16</v>
      </c>
      <c r="F37" t="s">
        <v>16</v>
      </c>
      <c r="G37" t="s">
        <v>16</v>
      </c>
      <c r="H37" s="2" t="s">
        <v>16</v>
      </c>
      <c r="I37" s="2" t="s">
        <v>16</v>
      </c>
      <c r="J37" t="s">
        <v>16</v>
      </c>
      <c r="K37" t="s">
        <v>16</v>
      </c>
      <c r="L37" t="s">
        <v>16</v>
      </c>
      <c r="M37" s="2" t="s">
        <v>16</v>
      </c>
    </row>
    <row r="38" spans="1:13" x14ac:dyDescent="0.25">
      <c r="A38" t="s">
        <v>90</v>
      </c>
      <c r="B38" t="s">
        <v>70</v>
      </c>
      <c r="C38" s="2" t="s">
        <v>91</v>
      </c>
      <c r="D38">
        <v>2</v>
      </c>
      <c r="E38" t="s">
        <v>16</v>
      </c>
      <c r="F38" t="s">
        <v>16</v>
      </c>
      <c r="G38" t="s">
        <v>16</v>
      </c>
      <c r="H38" s="2" t="s">
        <v>16</v>
      </c>
      <c r="I38" s="2" t="s">
        <v>16</v>
      </c>
      <c r="J38" t="s">
        <v>16</v>
      </c>
      <c r="K38" t="s">
        <v>16</v>
      </c>
      <c r="L38" t="s">
        <v>16</v>
      </c>
      <c r="M38" s="2" t="s">
        <v>16</v>
      </c>
    </row>
    <row r="39" spans="1:13" x14ac:dyDescent="0.25">
      <c r="A39" t="s">
        <v>92</v>
      </c>
      <c r="B39" t="s">
        <v>93</v>
      </c>
      <c r="C39" s="2" t="s">
        <v>94</v>
      </c>
      <c r="D39">
        <v>2</v>
      </c>
      <c r="E39" t="s">
        <v>16</v>
      </c>
      <c r="F39" t="s">
        <v>16</v>
      </c>
      <c r="G39" t="s">
        <v>16</v>
      </c>
      <c r="H39" s="2" t="s">
        <v>16</v>
      </c>
      <c r="I39" s="2" t="s">
        <v>16</v>
      </c>
      <c r="J39" t="s">
        <v>16</v>
      </c>
      <c r="K39" t="s">
        <v>16</v>
      </c>
      <c r="L39" t="s">
        <v>16</v>
      </c>
      <c r="M39" s="2" t="s">
        <v>16</v>
      </c>
    </row>
    <row r="40" spans="1:13" x14ac:dyDescent="0.25">
      <c r="A40" t="s">
        <v>95</v>
      </c>
      <c r="B40" t="s">
        <v>93</v>
      </c>
      <c r="C40" s="2" t="s">
        <v>96</v>
      </c>
      <c r="D40">
        <v>2</v>
      </c>
      <c r="E40" t="s">
        <v>16</v>
      </c>
      <c r="F40" t="s">
        <v>16</v>
      </c>
      <c r="G40" t="s">
        <v>16</v>
      </c>
      <c r="H40" s="2" t="s">
        <v>16</v>
      </c>
      <c r="I40" s="2" t="s">
        <v>16</v>
      </c>
      <c r="J40" t="s">
        <v>16</v>
      </c>
      <c r="K40" t="s">
        <v>16</v>
      </c>
      <c r="L40" t="s">
        <v>16</v>
      </c>
      <c r="M40" s="2" t="s">
        <v>16</v>
      </c>
    </row>
    <row r="41" spans="1:13" x14ac:dyDescent="0.25">
      <c r="A41" t="s">
        <v>97</v>
      </c>
      <c r="B41" t="s">
        <v>93</v>
      </c>
      <c r="C41" s="2" t="s">
        <v>98</v>
      </c>
      <c r="D41">
        <v>1</v>
      </c>
      <c r="E41" t="s">
        <v>16</v>
      </c>
      <c r="F41" t="s">
        <v>16</v>
      </c>
      <c r="G41" t="s">
        <v>16</v>
      </c>
      <c r="H41" s="2" t="s">
        <v>16</v>
      </c>
      <c r="I41" s="2" t="s">
        <v>16</v>
      </c>
      <c r="J41" t="s">
        <v>16</v>
      </c>
      <c r="K41" t="s">
        <v>16</v>
      </c>
      <c r="L41" t="s">
        <v>16</v>
      </c>
      <c r="M41" s="2" t="s">
        <v>16</v>
      </c>
    </row>
    <row r="42" spans="1:13" x14ac:dyDescent="0.25">
      <c r="A42" t="s">
        <v>99</v>
      </c>
      <c r="B42" t="s">
        <v>93</v>
      </c>
      <c r="C42" s="2" t="s">
        <v>100</v>
      </c>
      <c r="D42">
        <v>1</v>
      </c>
      <c r="E42" t="s">
        <v>16</v>
      </c>
      <c r="F42" t="s">
        <v>16</v>
      </c>
      <c r="G42" t="s">
        <v>16</v>
      </c>
      <c r="H42" s="2" t="s">
        <v>16</v>
      </c>
      <c r="I42" s="2" t="s">
        <v>16</v>
      </c>
      <c r="J42" t="s">
        <v>16</v>
      </c>
      <c r="K42" t="s">
        <v>16</v>
      </c>
      <c r="L42" t="s">
        <v>16</v>
      </c>
      <c r="M42" s="2" t="s">
        <v>16</v>
      </c>
    </row>
    <row r="43" spans="1:13" x14ac:dyDescent="0.25">
      <c r="A43" t="s">
        <v>101</v>
      </c>
      <c r="B43" t="s">
        <v>102</v>
      </c>
      <c r="C43" s="2" t="s">
        <v>103</v>
      </c>
      <c r="D43">
        <v>1</v>
      </c>
      <c r="E43" t="s">
        <v>16</v>
      </c>
      <c r="F43" t="s">
        <v>16</v>
      </c>
      <c r="G43" t="s">
        <v>16</v>
      </c>
      <c r="H43" s="2" t="s">
        <v>16</v>
      </c>
      <c r="I43" s="2" t="s">
        <v>16</v>
      </c>
      <c r="J43" t="s">
        <v>16</v>
      </c>
      <c r="K43" t="s">
        <v>16</v>
      </c>
      <c r="L43" t="s">
        <v>16</v>
      </c>
      <c r="M43" s="2" t="s">
        <v>16</v>
      </c>
    </row>
    <row r="44" spans="1:13" x14ac:dyDescent="0.25">
      <c r="A44" t="s">
        <v>104</v>
      </c>
      <c r="B44" t="s">
        <v>102</v>
      </c>
      <c r="C44" s="2" t="s">
        <v>105</v>
      </c>
      <c r="D44">
        <v>4</v>
      </c>
      <c r="E44" t="s">
        <v>16</v>
      </c>
      <c r="F44" t="s">
        <v>16</v>
      </c>
      <c r="G44" t="s">
        <v>16</v>
      </c>
      <c r="H44" s="2" t="s">
        <v>16</v>
      </c>
      <c r="I44" s="2" t="s">
        <v>16</v>
      </c>
      <c r="J44" t="s">
        <v>16</v>
      </c>
      <c r="K44" t="s">
        <v>16</v>
      </c>
      <c r="L44" t="s">
        <v>16</v>
      </c>
      <c r="M44" s="2" t="s">
        <v>16</v>
      </c>
    </row>
    <row r="45" spans="1:13" x14ac:dyDescent="0.25">
      <c r="A45" t="s">
        <v>106</v>
      </c>
      <c r="B45" t="s">
        <v>102</v>
      </c>
      <c r="C45" s="2" t="s">
        <v>107</v>
      </c>
      <c r="D45">
        <v>1</v>
      </c>
      <c r="E45" t="s">
        <v>16</v>
      </c>
      <c r="F45" t="s">
        <v>16</v>
      </c>
      <c r="G45" t="s">
        <v>16</v>
      </c>
      <c r="H45" s="2" t="s">
        <v>16</v>
      </c>
      <c r="I45" s="2" t="s">
        <v>16</v>
      </c>
      <c r="J45" t="s">
        <v>16</v>
      </c>
      <c r="K45" t="s">
        <v>16</v>
      </c>
      <c r="L45" t="s">
        <v>16</v>
      </c>
      <c r="M45" s="2" t="s">
        <v>16</v>
      </c>
    </row>
    <row r="46" spans="1:13" x14ac:dyDescent="0.25">
      <c r="A46" t="s">
        <v>108</v>
      </c>
      <c r="B46" t="s">
        <v>102</v>
      </c>
      <c r="C46" s="2" t="s">
        <v>109</v>
      </c>
      <c r="D46">
        <v>3</v>
      </c>
      <c r="E46" t="s">
        <v>16</v>
      </c>
      <c r="F46" t="s">
        <v>16</v>
      </c>
      <c r="G46" t="s">
        <v>16</v>
      </c>
      <c r="H46" s="2" t="s">
        <v>16</v>
      </c>
      <c r="I46" s="2" t="s">
        <v>16</v>
      </c>
      <c r="J46" t="s">
        <v>16</v>
      </c>
      <c r="K46" t="s">
        <v>16</v>
      </c>
      <c r="L46" t="s">
        <v>16</v>
      </c>
      <c r="M46" s="2" t="s">
        <v>16</v>
      </c>
    </row>
    <row r="47" spans="1:13" x14ac:dyDescent="0.25">
      <c r="A47" t="s">
        <v>110</v>
      </c>
      <c r="B47" t="s">
        <v>102</v>
      </c>
      <c r="C47" s="2" t="s">
        <v>111</v>
      </c>
      <c r="D47">
        <v>3</v>
      </c>
      <c r="E47" t="s">
        <v>16</v>
      </c>
      <c r="F47" t="s">
        <v>16</v>
      </c>
      <c r="G47" t="s">
        <v>16</v>
      </c>
      <c r="H47" s="2" t="s">
        <v>16</v>
      </c>
      <c r="I47" s="2" t="s">
        <v>16</v>
      </c>
      <c r="J47" t="s">
        <v>16</v>
      </c>
      <c r="K47" t="s">
        <v>16</v>
      </c>
      <c r="L47" t="s">
        <v>16</v>
      </c>
      <c r="M47" s="2" t="s">
        <v>16</v>
      </c>
    </row>
    <row r="48" spans="1:13" x14ac:dyDescent="0.25">
      <c r="A48" t="s">
        <v>112</v>
      </c>
      <c r="B48" t="s">
        <v>113</v>
      </c>
      <c r="C48" s="2" t="s">
        <v>114</v>
      </c>
      <c r="D48">
        <v>1</v>
      </c>
      <c r="E48" t="s">
        <v>16</v>
      </c>
      <c r="F48" t="s">
        <v>16</v>
      </c>
      <c r="G48" t="s">
        <v>16</v>
      </c>
      <c r="H48" s="2" t="s">
        <v>16</v>
      </c>
      <c r="I48" s="2" t="s">
        <v>16</v>
      </c>
      <c r="J48" t="s">
        <v>16</v>
      </c>
      <c r="K48" t="s">
        <v>16</v>
      </c>
      <c r="L48" t="s">
        <v>16</v>
      </c>
      <c r="M48" s="2" t="s">
        <v>16</v>
      </c>
    </row>
    <row r="49" spans="1:13" x14ac:dyDescent="0.25">
      <c r="A49" t="s">
        <v>115</v>
      </c>
      <c r="B49" t="s">
        <v>113</v>
      </c>
      <c r="C49" s="2" t="s">
        <v>116</v>
      </c>
      <c r="D49">
        <v>1</v>
      </c>
      <c r="E49" t="s">
        <v>16</v>
      </c>
      <c r="F49" t="s">
        <v>16</v>
      </c>
      <c r="G49" t="s">
        <v>16</v>
      </c>
      <c r="H49" s="2" t="s">
        <v>16</v>
      </c>
      <c r="I49" s="2" t="s">
        <v>16</v>
      </c>
      <c r="J49" t="s">
        <v>16</v>
      </c>
      <c r="K49" t="s">
        <v>16</v>
      </c>
      <c r="L49" t="s">
        <v>16</v>
      </c>
      <c r="M49" s="2" t="s">
        <v>16</v>
      </c>
    </row>
    <row r="50" spans="1:13" x14ac:dyDescent="0.25">
      <c r="A50" t="s">
        <v>117</v>
      </c>
      <c r="B50" t="s">
        <v>113</v>
      </c>
      <c r="C50" s="2" t="s">
        <v>118</v>
      </c>
      <c r="D50">
        <v>1</v>
      </c>
      <c r="E50" t="s">
        <v>16</v>
      </c>
      <c r="F50" t="s">
        <v>16</v>
      </c>
      <c r="G50" t="s">
        <v>16</v>
      </c>
      <c r="H50" s="2" t="s">
        <v>16</v>
      </c>
      <c r="I50" s="2" t="s">
        <v>16</v>
      </c>
      <c r="J50" t="s">
        <v>16</v>
      </c>
      <c r="K50" t="s">
        <v>16</v>
      </c>
      <c r="L50" t="s">
        <v>16</v>
      </c>
      <c r="M50" s="2" t="s">
        <v>16</v>
      </c>
    </row>
    <row r="51" spans="1:13" x14ac:dyDescent="0.25">
      <c r="A51" t="s">
        <v>119</v>
      </c>
      <c r="B51" t="s">
        <v>113</v>
      </c>
      <c r="C51" s="2" t="s">
        <v>120</v>
      </c>
      <c r="D51">
        <v>1</v>
      </c>
      <c r="E51" t="s">
        <v>16</v>
      </c>
      <c r="F51" t="s">
        <v>16</v>
      </c>
      <c r="G51" t="s">
        <v>16</v>
      </c>
      <c r="H51" s="2" t="s">
        <v>16</v>
      </c>
      <c r="I51" s="2" t="s">
        <v>16</v>
      </c>
      <c r="J51" t="s">
        <v>16</v>
      </c>
      <c r="K51" t="s">
        <v>16</v>
      </c>
      <c r="L51" t="s">
        <v>16</v>
      </c>
      <c r="M51" s="2" t="s">
        <v>16</v>
      </c>
    </row>
    <row r="52" spans="1:13" x14ac:dyDescent="0.25">
      <c r="A52" t="s">
        <v>121</v>
      </c>
      <c r="B52" t="s">
        <v>113</v>
      </c>
      <c r="C52" s="2" t="s">
        <v>122</v>
      </c>
      <c r="D52">
        <v>1</v>
      </c>
      <c r="E52" t="s">
        <v>16</v>
      </c>
      <c r="F52" t="s">
        <v>16</v>
      </c>
      <c r="G52" t="s">
        <v>16</v>
      </c>
      <c r="H52" s="2" t="s">
        <v>16</v>
      </c>
      <c r="I52" s="2" t="s">
        <v>16</v>
      </c>
      <c r="J52" t="s">
        <v>16</v>
      </c>
      <c r="K52" t="s">
        <v>16</v>
      </c>
      <c r="L52" t="s">
        <v>16</v>
      </c>
      <c r="M52" s="2" t="s">
        <v>16</v>
      </c>
    </row>
    <row r="53" spans="1:13" x14ac:dyDescent="0.25">
      <c r="A53" t="s">
        <v>123</v>
      </c>
      <c r="B53" t="s">
        <v>113</v>
      </c>
      <c r="C53" s="2" t="s">
        <v>124</v>
      </c>
      <c r="D53">
        <v>1</v>
      </c>
      <c r="E53" t="s">
        <v>16</v>
      </c>
      <c r="F53" t="s">
        <v>16</v>
      </c>
      <c r="G53" t="s">
        <v>16</v>
      </c>
      <c r="H53" s="2" t="s">
        <v>16</v>
      </c>
      <c r="I53" s="2" t="s">
        <v>16</v>
      </c>
      <c r="J53" t="s">
        <v>16</v>
      </c>
      <c r="K53" t="s">
        <v>16</v>
      </c>
      <c r="L53" t="s">
        <v>16</v>
      </c>
      <c r="M53" s="2" t="s">
        <v>16</v>
      </c>
    </row>
    <row r="54" spans="1:13" x14ac:dyDescent="0.25">
      <c r="A54" t="s">
        <v>125</v>
      </c>
      <c r="B54" t="s">
        <v>113</v>
      </c>
      <c r="C54" s="2" t="s">
        <v>126</v>
      </c>
      <c r="D54">
        <v>1</v>
      </c>
      <c r="E54" t="s">
        <v>16</v>
      </c>
      <c r="F54" t="s">
        <v>16</v>
      </c>
      <c r="G54" t="s">
        <v>16</v>
      </c>
      <c r="H54" s="2" t="s">
        <v>16</v>
      </c>
      <c r="I54" s="2" t="s">
        <v>16</v>
      </c>
      <c r="J54" t="s">
        <v>16</v>
      </c>
      <c r="K54" t="s">
        <v>16</v>
      </c>
      <c r="L54" t="s">
        <v>16</v>
      </c>
      <c r="M54" s="2" t="s">
        <v>16</v>
      </c>
    </row>
    <row r="55" spans="1:13" x14ac:dyDescent="0.25">
      <c r="A55" t="s">
        <v>127</v>
      </c>
      <c r="B55" t="s">
        <v>113</v>
      </c>
      <c r="C55" s="2" t="s">
        <v>128</v>
      </c>
      <c r="D55">
        <v>1</v>
      </c>
      <c r="E55" t="s">
        <v>16</v>
      </c>
      <c r="F55" t="s">
        <v>16</v>
      </c>
      <c r="G55" t="s">
        <v>16</v>
      </c>
      <c r="H55" s="2" t="s">
        <v>16</v>
      </c>
      <c r="I55" s="2" t="s">
        <v>16</v>
      </c>
      <c r="J55" t="s">
        <v>16</v>
      </c>
      <c r="K55" t="s">
        <v>16</v>
      </c>
      <c r="L55" t="s">
        <v>16</v>
      </c>
      <c r="M55" s="2" t="s">
        <v>16</v>
      </c>
    </row>
    <row r="56" spans="1:13" x14ac:dyDescent="0.25">
      <c r="A56" t="s">
        <v>129</v>
      </c>
      <c r="B56" t="s">
        <v>113</v>
      </c>
      <c r="C56" s="2" t="s">
        <v>130</v>
      </c>
      <c r="D56">
        <v>1</v>
      </c>
      <c r="E56" t="s">
        <v>16</v>
      </c>
      <c r="F56" t="s">
        <v>16</v>
      </c>
      <c r="G56" t="s">
        <v>16</v>
      </c>
      <c r="H56" s="2" t="s">
        <v>16</v>
      </c>
      <c r="I56" s="2" t="s">
        <v>16</v>
      </c>
      <c r="J56" t="s">
        <v>16</v>
      </c>
      <c r="K56" t="s">
        <v>16</v>
      </c>
      <c r="L56" t="s">
        <v>16</v>
      </c>
      <c r="M56" s="2" t="s">
        <v>16</v>
      </c>
    </row>
    <row r="57" spans="1:13" x14ac:dyDescent="0.25">
      <c r="A57" t="s">
        <v>131</v>
      </c>
      <c r="B57" t="s">
        <v>132</v>
      </c>
      <c r="C57" s="2" t="s">
        <v>133</v>
      </c>
      <c r="D57">
        <v>2</v>
      </c>
      <c r="E57" t="s">
        <v>16</v>
      </c>
      <c r="F57" t="s">
        <v>16</v>
      </c>
      <c r="G57" t="s">
        <v>16</v>
      </c>
      <c r="H57" s="2" t="s">
        <v>16</v>
      </c>
      <c r="I57" s="2" t="s">
        <v>16</v>
      </c>
      <c r="J57" t="s">
        <v>16</v>
      </c>
      <c r="K57" t="s">
        <v>16</v>
      </c>
      <c r="L57" t="s">
        <v>16</v>
      </c>
      <c r="M57" s="2" t="s">
        <v>16</v>
      </c>
    </row>
    <row r="58" spans="1:13" x14ac:dyDescent="0.25">
      <c r="A58" t="s">
        <v>134</v>
      </c>
      <c r="B58" t="s">
        <v>132</v>
      </c>
      <c r="C58" s="2" t="s">
        <v>135</v>
      </c>
      <c r="D58">
        <v>1</v>
      </c>
      <c r="E58" t="s">
        <v>16</v>
      </c>
      <c r="F58" t="s">
        <v>16</v>
      </c>
      <c r="G58" t="s">
        <v>16</v>
      </c>
      <c r="H58" s="2" t="s">
        <v>16</v>
      </c>
      <c r="I58" s="2" t="s">
        <v>16</v>
      </c>
      <c r="J58" t="s">
        <v>16</v>
      </c>
      <c r="K58" t="s">
        <v>16</v>
      </c>
      <c r="L58" t="s">
        <v>16</v>
      </c>
      <c r="M58" s="2" t="s">
        <v>16</v>
      </c>
    </row>
    <row r="59" spans="1:13" x14ac:dyDescent="0.25">
      <c r="A59" t="s">
        <v>136</v>
      </c>
      <c r="B59" t="s">
        <v>132</v>
      </c>
      <c r="C59" s="2" t="s">
        <v>137</v>
      </c>
      <c r="D59">
        <v>1</v>
      </c>
      <c r="E59" t="s">
        <v>16</v>
      </c>
      <c r="F59" t="s">
        <v>16</v>
      </c>
      <c r="G59" t="s">
        <v>16</v>
      </c>
      <c r="H59" s="2" t="s">
        <v>16</v>
      </c>
      <c r="I59" s="2" t="s">
        <v>16</v>
      </c>
      <c r="J59" t="s">
        <v>16</v>
      </c>
      <c r="K59" t="s">
        <v>16</v>
      </c>
      <c r="L59" t="s">
        <v>16</v>
      </c>
      <c r="M59" s="2" t="s">
        <v>16</v>
      </c>
    </row>
    <row r="60" spans="1:13" x14ac:dyDescent="0.25">
      <c r="A60" t="s">
        <v>138</v>
      </c>
      <c r="B60" t="s">
        <v>132</v>
      </c>
      <c r="C60" s="2" t="s">
        <v>139</v>
      </c>
      <c r="D60">
        <v>2</v>
      </c>
      <c r="E60" t="s">
        <v>16</v>
      </c>
      <c r="F60" t="s">
        <v>16</v>
      </c>
      <c r="G60" t="s">
        <v>16</v>
      </c>
      <c r="H60" s="2" t="s">
        <v>16</v>
      </c>
      <c r="I60" s="2" t="s">
        <v>16</v>
      </c>
      <c r="J60" t="s">
        <v>16</v>
      </c>
      <c r="K60" t="s">
        <v>16</v>
      </c>
      <c r="L60" t="s">
        <v>16</v>
      </c>
      <c r="M60" s="2" t="s">
        <v>16</v>
      </c>
    </row>
    <row r="61" spans="1:13" x14ac:dyDescent="0.25">
      <c r="A61" t="s">
        <v>140</v>
      </c>
      <c r="B61" t="s">
        <v>132</v>
      </c>
      <c r="C61" s="2" t="s">
        <v>141</v>
      </c>
      <c r="D61">
        <v>2</v>
      </c>
      <c r="E61" t="s">
        <v>16</v>
      </c>
      <c r="F61" t="s">
        <v>16</v>
      </c>
      <c r="G61" t="s">
        <v>16</v>
      </c>
      <c r="H61" s="2" t="s">
        <v>16</v>
      </c>
      <c r="I61" s="2" t="s">
        <v>16</v>
      </c>
      <c r="J61" t="s">
        <v>16</v>
      </c>
      <c r="K61" t="s">
        <v>16</v>
      </c>
      <c r="L61" t="s">
        <v>16</v>
      </c>
      <c r="M61" s="2" t="s">
        <v>16</v>
      </c>
    </row>
    <row r="62" spans="1:13" x14ac:dyDescent="0.25">
      <c r="A62" t="s">
        <v>142</v>
      </c>
      <c r="B62" t="s">
        <v>132</v>
      </c>
      <c r="C62" s="2" t="s">
        <v>143</v>
      </c>
      <c r="D62">
        <v>1</v>
      </c>
      <c r="E62" t="s">
        <v>16</v>
      </c>
      <c r="F62" t="s">
        <v>16</v>
      </c>
      <c r="G62" t="s">
        <v>16</v>
      </c>
      <c r="H62" s="2" t="s">
        <v>16</v>
      </c>
      <c r="I62" s="2" t="s">
        <v>16</v>
      </c>
      <c r="J62" t="s">
        <v>16</v>
      </c>
      <c r="K62" t="s">
        <v>16</v>
      </c>
      <c r="L62" t="s">
        <v>16</v>
      </c>
      <c r="M62" s="2" t="s">
        <v>16</v>
      </c>
    </row>
  </sheetData>
  <autoFilter ref="A1:M1"/>
  <conditionalFormatting sqref="E2:E62">
    <cfRule type="containsText" dxfId="0" priority="1">
      <formula>NOT(ISERROR(SEARCH("PASS",E2)))</formula>
    </cfRule>
    <cfRule type="containsText" dxfId="1" priority="2">
      <formula>NOT(ISERROR(SEARCH("FAIL",E2)))</formula>
    </cfRule>
    <cfRule type="containsText" dxfId="2" priority="3">
      <formula>NOT(ISERROR(SEARCH("BLOCKED",E2)))</formula>
    </cfRule>
    <cfRule type="containsText" dxfId="3" priority="4">
      <formula>NOT(ISERROR(SEARCH("SKIP",E2)))</formula>
    </cfRule>
  </conditionalFormatting>
  <dataValidations count="6">
    <dataValidation type="list" allowBlank="1" sqref="E10:E62">
      <formula1>"PASS,FAIL,BLOCKED,SKIP"</formula1>
    </dataValidation>
    <dataValidation type="list" allowBlank="1" sqref="E2:E62">
      <formula1>"PASS,FAIL,BLOCKED,SKIP"</formula1>
    </dataValidation>
    <dataValidation type="list" allowBlank="1" sqref="K10:K62">
      <formula1>"Critical,High,Medium,Low"</formula1>
    </dataValidation>
    <dataValidation type="list" allowBlank="1" sqref="K2:K62">
      <formula1>"Critical,High,Medium,Low"</formula1>
    </dataValidation>
    <dataValidation type="list" allowBlank="1" sqref="L10:L62">
      <formula1>"Open,In Progress,Fixed,Won't Fix"</formula1>
    </dataValidation>
    <dataValidation type="list" allowBlank="1" sqref="L2:L62">
      <formula1>"Open,In Progress,Fixed,Won't Fix"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8" customWidth="1"/>
    <col min="2" max="2" width="18" customWidth="1"/>
  </cols>
  <sheetData>
    <row r="1" spans="1:2" s="3" customFormat="1" x14ac:dyDescent="0.25">
      <c r="A1" s="3" t="s">
        <v>144</v>
      </c>
      <c r="B1" s="3" t="s">
        <v>145</v>
      </c>
    </row>
    <row r="2" spans="1:2" x14ac:dyDescent="0.25">
      <c r="A2" t="s">
        <v>146</v>
      </c>
      <c r="B2" s="4">
        <v>61</v>
      </c>
    </row>
    <row r="3" spans="1:2" x14ac:dyDescent="0.25">
      <c r="A3" t="s">
        <v>147</v>
      </c>
      <c r="B3" s="4">
        <f>COUNTIF(Tests!E2:E62,"PASS")</f>
      </c>
    </row>
    <row r="4" spans="1:2" x14ac:dyDescent="0.25">
      <c r="A4" t="s">
        <v>148</v>
      </c>
      <c r="B4" s="4">
        <f>COUNTIF(Tests!E2:E62,"FAIL")</f>
      </c>
    </row>
    <row r="5" spans="1:2" x14ac:dyDescent="0.25">
      <c r="A5" t="s">
        <v>149</v>
      </c>
      <c r="B5" s="4">
        <f>COUNTIF(Tests!E2:E62,"BLOCKED")</f>
      </c>
    </row>
    <row r="6" spans="1:2" x14ac:dyDescent="0.25">
      <c r="A6" t="s">
        <v>150</v>
      </c>
      <c r="B6" s="4">
        <f>COUNTIF(Tests!E2:E62,"SKIP")</f>
      </c>
    </row>
    <row r="7" spans="1:2" x14ac:dyDescent="0.25">
      <c r="A7" t="s">
        <v>151</v>
      </c>
      <c r="B7" s="4">
        <f>COUNTBLANK(Tests!E2:E62)</f>
      </c>
    </row>
    <row r="8" spans="1:2" x14ac:dyDescent="0.25">
      <c r="A8" t="s">
        <v>152</v>
      </c>
      <c r="B8" s="5">
        <f>IFERROR(COUNTIF(Tests!E2:E62,"PASS")/(COUNTIF(Tests!E2:E62,"PASS")+COUNTIF(Tests!E2:E62,"FAIL")+COUNTIF(Tests!E2:E62,"BLOCKED")),0)</f>
      </c>
    </row>
    <row r="9" spans="1:2" x14ac:dyDescent="0.25">
      <c r="A9" t="s">
        <v>153</v>
      </c>
      <c r="B9" s="4">
        <f>61-COUNTBLANK(Tests!E2:E62)</f>
      </c>
    </row>
    <row r="10" spans="1:2" x14ac:dyDescent="0.25">
      <c r="A10" t="s">
        <v>154</v>
      </c>
      <c r="B10" s="5">
        <f>(61-COUNTBLANK(Tests!E2:E62))/61</f>
      </c>
    </row>
    <row r="12" spans="1:2" s="6" customFormat="1" x14ac:dyDescent="0.25">
      <c r="A12" s="6" t="s">
        <v>155</v>
      </c>
      <c r="B12" s="6" t="s">
        <v>16</v>
      </c>
    </row>
    <row r="13" spans="1:2" x14ac:dyDescent="0.25">
      <c r="A13" t="s">
        <v>1</v>
      </c>
      <c r="B13" t="s">
        <v>156</v>
      </c>
    </row>
    <row r="14" spans="1:2" x14ac:dyDescent="0.25">
      <c r="A14" t="s">
        <v>14</v>
      </c>
      <c r="B14">
        <f>COUNTIFS(Tests!B2:B62,"Suite 1",Tests!E2:E62,"PASS")&amp;" / "&amp;COUNTIFS(Tests!B2:B62,"Suite 1",Tests!E2:E62,"FAIL")&amp;" / "&amp;(COUNTIF(Tests!B2:B62,"Suite 1")-COUNTIFS(Tests!B2:B62,"Suite 1",Tests!E2:E62,"PASS")-COUNTIFS(Tests!B2:B62,"Suite 1",Tests!E2:E62,"FAIL"))</f>
      </c>
    </row>
    <row r="15" spans="1:2" x14ac:dyDescent="0.25">
      <c r="A15" t="s">
        <v>24</v>
      </c>
      <c r="B15">
        <f>COUNTIFS(Tests!B2:B62,"Suite 2",Tests!E2:E62,"PASS")&amp;" / "&amp;COUNTIFS(Tests!B2:B62,"Suite 2",Tests!E2:E62,"FAIL")&amp;" / "&amp;(COUNTIF(Tests!B2:B62,"Suite 2")-COUNTIFS(Tests!B2:B62,"Suite 2",Tests!E2:E62,"PASS")-COUNTIFS(Tests!B2:B62,"Suite 2",Tests!E2:E62,"FAIL"))</f>
      </c>
    </row>
    <row r="16" spans="1:2" x14ac:dyDescent="0.25">
      <c r="A16" t="s">
        <v>59</v>
      </c>
      <c r="B16">
        <f>COUNTIFS(Tests!B2:B62,"Suite 3",Tests!E2:E62,"PASS")&amp;" / "&amp;COUNTIFS(Tests!B2:B62,"Suite 3",Tests!E2:E62,"FAIL")&amp;" / "&amp;(COUNTIF(Tests!B2:B62,"Suite 3")-COUNTIFS(Tests!B2:B62,"Suite 3",Tests!E2:E62,"PASS")-COUNTIFS(Tests!B2:B62,"Suite 3",Tests!E2:E62,"FAIL"))</f>
      </c>
    </row>
    <row r="17" spans="1:2" x14ac:dyDescent="0.25">
      <c r="A17" t="s">
        <v>70</v>
      </c>
      <c r="B17">
        <f>COUNTIFS(Tests!B2:B62,"Suite 4",Tests!E2:E62,"PASS")&amp;" / "&amp;COUNTIFS(Tests!B2:B62,"Suite 4",Tests!E2:E62,"FAIL")&amp;" / "&amp;(COUNTIF(Tests!B2:B62,"Suite 4")-COUNTIFS(Tests!B2:B62,"Suite 4",Tests!E2:E62,"PASS")-COUNTIFS(Tests!B2:B62,"Suite 4",Tests!E2:E62,"FAIL"))</f>
      </c>
    </row>
    <row r="18" spans="1:2" x14ac:dyDescent="0.25">
      <c r="A18" t="s">
        <v>93</v>
      </c>
      <c r="B18">
        <f>COUNTIFS(Tests!B2:B62,"Suite 5",Tests!E2:E62,"PASS")&amp;" / "&amp;COUNTIFS(Tests!B2:B62,"Suite 5",Tests!E2:E62,"FAIL")&amp;" / "&amp;(COUNTIF(Tests!B2:B62,"Suite 5")-COUNTIFS(Tests!B2:B62,"Suite 5",Tests!E2:E62,"PASS")-COUNTIFS(Tests!B2:B62,"Suite 5",Tests!E2:E62,"FAIL"))</f>
      </c>
    </row>
    <row r="19" spans="1:2" x14ac:dyDescent="0.25">
      <c r="A19" t="s">
        <v>102</v>
      </c>
      <c r="B19">
        <f>COUNTIFS(Tests!B2:B62,"Suite 6",Tests!E2:E62,"PASS")&amp;" / "&amp;COUNTIFS(Tests!B2:B62,"Suite 6",Tests!E2:E62,"FAIL")&amp;" / "&amp;(COUNTIF(Tests!B2:B62,"Suite 6")-COUNTIFS(Tests!B2:B62,"Suite 6",Tests!E2:E62,"PASS")-COUNTIFS(Tests!B2:B62,"Suite 6",Tests!E2:E62,"FAIL"))</f>
      </c>
    </row>
    <row r="20" spans="1:2" x14ac:dyDescent="0.25">
      <c r="A20" t="s">
        <v>113</v>
      </c>
      <c r="B20">
        <f>COUNTIFS(Tests!B2:B62,"Suite 7",Tests!E2:E62,"PASS")&amp;" / "&amp;COUNTIFS(Tests!B2:B62,"Suite 7",Tests!E2:E62,"FAIL")&amp;" / "&amp;(COUNTIF(Tests!B2:B62,"Suite 7")-COUNTIFS(Tests!B2:B62,"Suite 7",Tests!E2:E62,"PASS")-COUNTIFS(Tests!B2:B62,"Suite 7",Tests!E2:E62,"FAIL"))</f>
      </c>
    </row>
    <row r="21" spans="1:2" x14ac:dyDescent="0.25">
      <c r="A21" t="s">
        <v>132</v>
      </c>
      <c r="B21">
        <f>COUNTIFS(Tests!B2:B62,"Suite 8",Tests!E2:E62,"PASS")&amp;" / "&amp;COUNTIFS(Tests!B2:B62,"Suite 8",Tests!E2:E62,"FAIL")&amp;" / "&amp;(COUNTIF(Tests!B2:B62,"Suite 8")-COUNTIFS(Tests!B2:B62,"Suite 8",Tests!E2:E62,"PASS")-COUNTIFS(Tests!B2:B62,"Suite 8",Tests!E2:E62,"FAIL"))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BOMATIC</dc:creator>
  <dc:title/>
  <dc:subject/>
  <dc:description/>
  <cp:keywords/>
  <cp:category/>
  <cp:lastModifiedBy>Unknown</cp:lastModifiedBy>
  <dcterms:created xsi:type="dcterms:W3CDTF">2026-05-13T19:55:02Z</dcterms:created>
  <dcterms:modified xsi:type="dcterms:W3CDTF">2026-05-13T19:55:02Z</dcterms:modified>
</cp:coreProperties>
</file>