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3896"/>
  </bookViews>
  <sheets>
    <sheet sheetId="1" name="Price Estimate" state="visible" r:id="rId4"/>
  </sheets>
  <calcPr calcId="171027"/>
</workbook>
</file>

<file path=xl/sharedStrings.xml><?xml version="1.0" encoding="utf-8"?>
<sst xmlns="http://schemas.openxmlformats.org/spreadsheetml/2006/main" count="33" uniqueCount="33">
  <si>
    <t>Mantle Price Estimate</t>
  </si>
  <si>
    <t>Mantle</t>
  </si>
  <si>
    <t>Bomatic Priced BoQ/BoM</t>
  </si>
  <si>
    <t>Montreal, Canada</t>
  </si>
  <si>
    <t>Price Estimate for planning and information purposes only and is not a binding offer from Cisco.</t>
  </si>
  <si>
    <t>Hardware</t>
  </si>
  <si>
    <t>Services</t>
  </si>
  <si>
    <t>Subscription</t>
  </si>
  <si>
    <t>Project ID:</t>
  </si>
  <si>
    <t>Deal ID:</t>
  </si>
  <si>
    <t>Price List:</t>
  </si>
  <si>
    <t>All prices are shown in SAR</t>
  </si>
  <si>
    <t>Part Number</t>
  </si>
  <si>
    <t>Smart Account Mandatory</t>
  </si>
  <si>
    <t>Description</t>
  </si>
  <si>
    <t>Service Duration (Months)</t>
  </si>
  <si>
    <t>Estimated Lead Time (Days)</t>
  </si>
  <si>
    <t>Unit List Price</t>
  </si>
  <si>
    <t>Pricing Term</t>
  </si>
  <si>
    <t>Qty</t>
  </si>
  <si>
    <t>Unit Net Price</t>
  </si>
  <si>
    <t>Disc(%)</t>
  </si>
  <si>
    <t>Extended Net Price</t>
  </si>
  <si>
    <t>Valid through:</t>
  </si>
  <si>
    <t>Product Total</t>
  </si>
  <si>
    <t>FOB Point:         None</t>
  </si>
  <si>
    <t>Service Total :</t>
  </si>
  <si>
    <t>Subscription Total</t>
  </si>
  <si>
    <t>Total Price:</t>
  </si>
  <si>
    <t>Notes</t>
  </si>
  <si>
    <t>Signed:</t>
  </si>
  <si>
    <t>Mantle Tech</t>
  </si>
  <si>
    <t>"This Price Estimate does not constitute an offer by CISCO to sell products, but is instead an invitation to issue a purchase order to CISCO until the valid date specified in this price estimate. Such a purchase order will be subject to Cisco's standard procedures, terms and conditions for the acceptance of purchase orders. This order may be subject to indirect tax (VAT, GST, sales tax or other indirect taxes), duty and freight charges even if not noted on this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</si>
</sst>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SAR] * #,##0.00_-;-[$SAR] * #,##0.00_-;_-[$SAR] * &quot;-&quot;??_-;_-@_-"/>
  </numFmts>
  <fonts count="30" x14ac:knownFonts="1">
    <font>
      <color theme="1"/>
      <family val="2"/>
      <scheme val="minor"/>
      <sz val="11"/>
      <name val="Calibri"/>
    </font>
    <font>
      <color indexed="8"/>
      <sz val="11"/>
      <name val="Aptos Narrow"/>
    </font>
    <font>
      <b/>
      <color rgb="FF111827"/>
      <family val="2"/>
      <sz val="22"/>
      <name val="Aptos Display"/>
    </font>
    <font>
      <b/>
      <color rgb="FF111827"/>
      <sz val="22"/>
      <name val="Aptos Display"/>
    </font>
    <font>
      <color rgb="FF374151"/>
      <sz val="10"/>
      <name val="Aptos"/>
    </font>
    <font>
      <b/>
      <color indexed="8"/>
      <sz val="9"/>
      <name val="Helvetica"/>
    </font>
    <font>
      <color indexed="8"/>
      <sz val="9"/>
      <name val="Helvetica"/>
    </font>
    <font>
      <b/>
      <color rgb="FF7509FD"/>
      <sz val="10"/>
      <name val="Aptos"/>
    </font>
    <font>
      <b/>
      <color rgb="FF374151"/>
      <family val="2"/>
      <sz val="8"/>
      <name val="Calibri"/>
    </font>
    <font>
      <b/>
      <color rgb="FF374151"/>
      <family val="2"/>
      <sz val="8"/>
      <name val="Aptos"/>
    </font>
    <font>
      <b/>
      <color rgb="FF374151"/>
      <family val="2"/>
      <sz val="16"/>
      <name val="Aptos Display"/>
    </font>
    <font>
      <color rgb="FF374151"/>
      <sz val="9"/>
      <name val="Aptos"/>
    </font>
    <font>
      <b/>
      <color rgb="FF374151"/>
      <family val="2"/>
      <sz val="14"/>
      <name val="Aptos Display"/>
    </font>
    <font>
      <b/>
      <color rgb="FF374151"/>
      <sz val="9"/>
      <name val="Aptos"/>
    </font>
    <font>
      <color rgb="FF374151"/>
      <family val="2"/>
      <sz val="12"/>
      <name val="Aptos"/>
    </font>
    <font>
      <color rgb="FF374151"/>
      <family val="2"/>
      <sz val="11"/>
      <name val="Aptos"/>
    </font>
    <font>
      <b/>
      <color rgb="FF2980F9"/>
      <sz val="9"/>
      <name val="Aptos"/>
    </font>
    <font>
      <b/>
      <color rgb="FFFFFFFF"/>
      <sz val="9"/>
      <name val="Aptos"/>
    </font>
    <font>
      <b/>
      <color rgb="FF111827"/>
      <sz val="9"/>
      <name val="Aptos"/>
    </font>
    <font>
      <color rgb="FF111827"/>
      <sz val="9"/>
      <name val="Aptos"/>
    </font>
    <font>
      <b/>
      <color rgb="FF2980F9"/>
      <sz val="8"/>
      <name val="Aptos"/>
    </font>
    <font>
      <color rgb="FF111827"/>
      <family val="2"/>
      <sz val="9"/>
      <name val="Aptos"/>
    </font>
    <font>
      <b/>
      <color rgb="FF374151"/>
      <sz val="10"/>
      <name val="Aptos"/>
    </font>
    <font>
      <color rgb="FF111827"/>
      <sz val="10"/>
      <name val="Aptos"/>
    </font>
    <font>
      <b/>
      <color rgb="FFFFFFFF"/>
      <sz val="11"/>
      <name val="Aptos"/>
    </font>
    <font>
      <b/>
      <color rgb="FFFFFFFF"/>
      <sz val="10"/>
      <name val="Aptos"/>
    </font>
    <font>
      <color indexed="8"/>
      <sz val="8"/>
      <name val="Calibri"/>
    </font>
    <font>
      <b/>
      <color rgb="FF111827"/>
      <sz val="10"/>
      <name val="Aptos"/>
    </font>
    <font>
      <b/>
      <color rgb="FF111827"/>
      <family val="2"/>
      <sz val="10"/>
      <name val="Aptos"/>
    </font>
    <font>
      <color rgb="FF6B7280"/>
      <sz val="8"/>
      <name val="Aptos"/>
    </font>
  </fonts>
  <fills count="14">
    <fill>
      <patternFill patternType="none"/>
    </fill>
    <fill>
      <patternFill patternType="gray125"/>
    </fill>
    <fill>
      <patternFill patternType="solid">
        <fgColor rgb="FF01D0FE"/>
      </patternFill>
    </fill>
    <fill>
      <patternFill patternType="solid">
        <fgColor rgb="FF01BFFD"/>
      </patternFill>
    </fill>
    <fill>
      <patternFill patternType="solid">
        <fgColor rgb="FF119CFD"/>
      </patternFill>
    </fill>
    <fill>
      <patternFill patternType="solid">
        <fgColor rgb="FF2980F9"/>
      </patternFill>
    </fill>
    <fill>
      <patternFill patternType="solid">
        <fgColor rgb="FF4659F9"/>
      </patternFill>
    </fill>
    <fill>
      <patternFill patternType="solid">
        <fgColor rgb="FF612DFC"/>
      </patternFill>
    </fill>
    <fill>
      <patternFill patternType="solid">
        <fgColor rgb="FF7509FD"/>
      </patternFill>
    </fill>
    <fill>
      <patternFill patternType="solid">
        <fgColor rgb="FFFFFFFF"/>
      </patternFill>
    </fill>
    <fill>
      <patternFill patternType="solid">
        <fgColor rgb="FFF3F0FF"/>
      </patternFill>
    </fill>
    <fill>
      <patternFill patternType="solid">
        <fgColor rgb="FFF7F9FC"/>
      </patternFill>
    </fill>
    <fill>
      <patternFill patternType="solid">
        <fgColor rgb="FFEEF6FF"/>
      </patternFill>
    </fill>
    <fill>
      <patternFill patternType="solid">
        <fgColor rgb="FF111827"/>
      </patternFill>
    </fill>
  </fills>
  <borders count="29">
    <border>
      <left/>
      <right/>
      <top/>
      <bottom/>
      <diagonal/>
    </border>
    <border>
      <left/>
      <right/>
      <top/>
      <bottom style="medium">
        <color indexed="8"/>
      </bottom>
      <diagonal/>
    </border>
    <border>
      <left style="thin">
        <color rgb="FFD7DCE6"/>
      </left>
      <right/>
      <top style="thin">
        <color rgb="FFD7DCE6"/>
      </top>
      <bottom style="thin">
        <color rgb="FFD7DCE6"/>
      </bottom>
      <diagonal/>
    </border>
    <border>
      <left/>
      <right/>
      <top style="thin">
        <color rgb="FFD7DCE6"/>
      </top>
      <bottom style="thin">
        <color rgb="FFD7DCE6"/>
      </bottom>
      <diagonal/>
    </border>
    <border>
      <left/>
      <right style="thin">
        <color rgb="FFD7DCE6"/>
      </right>
      <top style="thin">
        <color rgb="FFD7DCE6"/>
      </top>
      <bottom style="thin">
        <color rgb="FFD7DCE6"/>
      </bottom>
      <diagonal/>
    </border>
    <border>
      <left style="thin">
        <color rgb="FFD7DCE6"/>
      </left>
      <right/>
      <top style="thin">
        <color rgb="FFD7DCE6"/>
      </top>
      <bottom/>
      <diagonal/>
    </border>
    <border>
      <left/>
      <right/>
      <top style="thin">
        <color rgb="FFD7DCE6"/>
      </top>
      <bottom/>
      <diagonal/>
    </border>
    <border>
      <left/>
      <right style="thin">
        <color rgb="FFD7DCE6"/>
      </right>
      <top style="thin">
        <color rgb="FFD7DCE6"/>
      </top>
      <bottom/>
      <diagonal/>
    </border>
    <border>
      <left style="thin">
        <color rgb="FFD7DCE6"/>
      </left>
      <right/>
      <top/>
      <bottom/>
      <diagonal/>
    </border>
    <border>
      <left/>
      <right style="thin">
        <color rgb="FFD7DCE6"/>
      </right>
      <top/>
      <bottom/>
      <diagonal/>
    </border>
    <border>
      <left style="thin">
        <color rgb="FF111827"/>
      </left>
      <right style="thin">
        <color indexed="22"/>
      </right>
      <top style="thin">
        <color rgb="FF111827"/>
      </top>
      <bottom style="thin">
        <color rgb="FF111827"/>
      </bottom>
      <diagonal/>
    </border>
    <border>
      <left style="thin">
        <color indexed="22"/>
      </left>
      <right style="thin">
        <color indexed="22"/>
      </right>
      <top style="thin">
        <color rgb="FF111827"/>
      </top>
      <bottom style="thin">
        <color rgb="FF111827"/>
      </bottom>
      <diagonal/>
    </border>
    <border>
      <left style="thin">
        <color indexed="22"/>
      </left>
      <right style="thin">
        <color rgb="FF111827"/>
      </right>
      <top style="thin">
        <color rgb="FF111827"/>
      </top>
      <bottom style="thin">
        <color rgb="FF111827"/>
      </bottom>
      <diagonal/>
    </border>
    <border>
      <left style="thin">
        <color rgb="FFD7DCE6"/>
      </left>
      <right style="thin">
        <color indexed="22"/>
      </right>
      <top style="thin">
        <color rgb="FFD7DCE6"/>
      </top>
      <bottom style="thin">
        <color indexed="22"/>
      </bottom>
      <diagonal/>
    </border>
    <border>
      <left style="thin">
        <color indexed="22"/>
      </left>
      <right style="thin">
        <color indexed="22"/>
      </right>
      <top style="thin">
        <color rgb="FFD7DCE6"/>
      </top>
      <bottom style="thin">
        <color indexed="22"/>
      </bottom>
      <diagonal/>
    </border>
    <border>
      <left style="thin">
        <color indexed="22"/>
      </left>
      <right style="thin">
        <color rgb="FFD7DCE6"/>
      </right>
      <top style="thin">
        <color rgb="FFD7DCE6"/>
      </top>
      <bottom style="thin">
        <color indexed="22"/>
      </bottom>
      <diagonal/>
    </border>
    <border>
      <left style="thin">
        <color rgb="FFD7DCE6"/>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rgb="FFD7DCE6"/>
      </right>
      <top style="thin">
        <color indexed="22"/>
      </top>
      <bottom style="thin">
        <color indexed="22"/>
      </bottom>
      <diagonal/>
    </border>
    <border>
      <left style="thin">
        <color rgb="FF2980F9"/>
      </left>
      <right/>
      <top style="thin">
        <color rgb="FF2980F9"/>
      </top>
      <bottom style="thin">
        <color rgb="FF2980F9"/>
      </bottom>
      <diagonal/>
    </border>
    <border>
      <left style="thin">
        <color indexed="22"/>
      </left>
      <right/>
      <top style="thin">
        <color rgb="FF2980F9"/>
      </top>
      <bottom style="thin">
        <color rgb="FF2980F9"/>
      </bottom>
      <diagonal/>
    </border>
    <border>
      <left/>
      <right style="thin">
        <color rgb="FF2980F9"/>
      </right>
      <top style="thin">
        <color rgb="FF2980F9"/>
      </top>
      <bottom style="thin">
        <color rgb="FF2980F9"/>
      </bottom>
      <diagonal/>
    </border>
    <border>
      <left style="thin">
        <color rgb="FFD7DCE6"/>
      </left>
      <right style="thin">
        <color indexed="22"/>
      </right>
      <top style="thin">
        <color rgb="FFD7DCE6"/>
      </top>
      <bottom style="thin">
        <color rgb="FFD7DCE6"/>
      </bottom>
      <diagonal/>
    </border>
    <border>
      <left style="thin">
        <color indexed="22"/>
      </left>
      <right style="thin">
        <color indexed="22"/>
      </right>
      <top style="thin">
        <color rgb="FFD7DCE6"/>
      </top>
      <bottom style="thin">
        <color rgb="FFD7DCE6"/>
      </bottom>
      <diagonal/>
    </border>
    <border>
      <left style="thin">
        <color indexed="22"/>
      </left>
      <right style="thin">
        <color rgb="FFD7DCE6"/>
      </right>
      <top style="thin">
        <color rgb="FFD7DCE6"/>
      </top>
      <bottom style="thin">
        <color rgb="FFD7DCE6"/>
      </bottom>
      <diagonal/>
    </border>
    <border>
      <left style="thin">
        <color rgb="FF7509FD"/>
      </left>
      <right/>
      <top style="thin">
        <color rgb="FF7509FD"/>
      </top>
      <bottom style="thin">
        <color rgb="FF7509FD"/>
      </bottom>
      <diagonal/>
    </border>
    <border>
      <left/>
      <right/>
      <top style="thin">
        <color rgb="FF7509FD"/>
      </top>
      <bottom style="thin">
        <color rgb="FF7509FD"/>
      </bottom>
      <diagonal/>
    </border>
    <border>
      <left/>
      <right style="thin">
        <color rgb="FF7509FD"/>
      </right>
      <top style="thin">
        <color rgb="FF7509FD"/>
      </top>
      <bottom style="thin">
        <color rgb="FF7509FD"/>
      </bottom>
      <diagonal/>
    </border>
    <border>
      <left/>
      <right/>
      <top/>
      <bottom style="thin">
        <color indexed="8"/>
      </bottom>
      <diagonal/>
    </border>
  </borders>
  <cellStyleXfs count="1">
    <xf numFmtId="0" fontId="0" fillId="0" borderId="0"/>
  </cellStyleXfs>
  <cellXfs count="120">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2" fillId="9" borderId="0" xfId="0" applyFont="1" applyFill="1" applyAlignment="1">
      <alignment horizontal="center" vertical="center"/>
    </xf>
    <xf numFmtId="0" fontId="3" fillId="9" borderId="0" xfId="0" applyFont="1" applyFill="1" applyAlignment="1">
      <alignment horizontal="center" vertical="center"/>
    </xf>
    <xf numFmtId="0" fontId="4" fillId="0" borderId="0" xfId="0" applyFont="1" applyAlignment="1">
      <alignment horizontal="left" vertical="center" wrapText="1"/>
    </xf>
    <xf numFmtId="0" fontId="1" fillId="0" borderId="0" xfId="0" applyFont="1"/>
    <xf numFmtId="0" fontId="5" fillId="0" borderId="0" xfId="0" applyFont="1" applyAlignment="1">
      <alignment horizontal="left" vertical="center"/>
    </xf>
    <xf numFmtId="0" fontId="6" fillId="0" borderId="0" xfId="0" applyFont="1" applyAlignment="1">
      <alignment horizontal="left" vertical="center" wrapText="1"/>
    </xf>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7" fillId="10" borderId="2" xfId="0" applyFont="1" applyFill="1" applyBorder="1" applyAlignment="1">
      <alignment horizontal="center" vertical="center" wrapText="1"/>
    </xf>
    <xf numFmtId="0" fontId="7" fillId="10" borderId="3" xfId="0" applyFont="1" applyFill="1" applyBorder="1" applyAlignment="1">
      <alignment horizontal="center" vertical="center"/>
    </xf>
    <xf numFmtId="0" fontId="7" fillId="10" borderId="4" xfId="0" applyFont="1" applyFill="1" applyBorder="1" applyAlignment="1">
      <alignment horizontal="center" vertical="center"/>
    </xf>
    <xf numFmtId="14" fontId="8" fillId="0" borderId="0" xfId="0" applyNumberFormat="1"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1" fillId="0" borderId="0" xfId="0" applyFont="1" applyAlignment="1">
      <alignment vertical="center"/>
    </xf>
    <xf numFmtId="0" fontId="12" fillId="0" borderId="0" xfId="0" applyFont="1" applyAlignment="1">
      <alignment horizontal="left" vertical="center"/>
    </xf>
    <xf numFmtId="0" fontId="13" fillId="11" borderId="5" xfId="0" applyFont="1" applyFill="1" applyBorder="1" applyAlignment="1">
      <alignment horizontal="left" vertical="center"/>
    </xf>
    <xf numFmtId="0" fontId="11" fillId="11" borderId="6" xfId="0" applyFont="1" applyFill="1" applyBorder="1" applyAlignment="1">
      <alignment vertical="center"/>
    </xf>
    <xf numFmtId="0" fontId="11" fillId="11" borderId="7" xfId="0" applyFont="1" applyFill="1" applyBorder="1" applyAlignment="1">
      <alignment horizontal="right" vertical="center"/>
    </xf>
    <xf numFmtId="164" fontId="14" fillId="0" borderId="0" xfId="0" applyNumberFormat="1" applyFont="1" applyAlignment="1">
      <alignment horizontal="left" vertical="center"/>
    </xf>
    <xf numFmtId="164" fontId="15" fillId="0" borderId="0" xfId="0" applyNumberFormat="1" applyFont="1" applyAlignment="1">
      <alignment vertical="center"/>
    </xf>
    <xf numFmtId="0" fontId="13" fillId="11" borderId="8" xfId="0" applyFont="1" applyFill="1" applyBorder="1" applyAlignment="1">
      <alignment horizontal="left" vertical="center"/>
    </xf>
    <xf numFmtId="0" fontId="11" fillId="11" borderId="0" xfId="0" applyFont="1" applyFill="1" applyAlignment="1">
      <alignment vertical="center"/>
    </xf>
    <xf numFmtId="0" fontId="11" fillId="11" borderId="9" xfId="0" applyFont="1" applyFill="1" applyBorder="1" applyAlignment="1">
      <alignment horizontal="right" vertical="center"/>
    </xf>
    <xf numFmtId="0" fontId="11" fillId="11" borderId="8" xfId="0" applyFont="1" applyFill="1" applyBorder="1" applyAlignment="1">
      <alignment vertical="center"/>
    </xf>
    <xf numFmtId="0" fontId="11" fillId="11" borderId="9" xfId="0" applyFont="1" applyFill="1" applyBorder="1" applyAlignment="1">
      <alignment vertical="center"/>
    </xf>
    <xf numFmtId="0" fontId="16" fillId="12" borderId="2" xfId="0" applyFont="1" applyFill="1" applyBorder="1" applyAlignment="1">
      <alignment horizontal="center" vertical="center"/>
    </xf>
    <xf numFmtId="0" fontId="16" fillId="12" borderId="3" xfId="0" applyFont="1" applyFill="1" applyBorder="1" applyAlignment="1">
      <alignment horizontal="center" vertical="center"/>
    </xf>
    <xf numFmtId="0" fontId="16" fillId="12" borderId="4" xfId="0" applyFont="1" applyFill="1" applyBorder="1" applyAlignment="1">
      <alignment horizontal="center" vertical="center"/>
    </xf>
    <xf numFmtId="0" fontId="17" fillId="13" borderId="10" xfId="0" applyFont="1" applyFill="1" applyBorder="1" applyAlignment="1">
      <alignment horizontal="center" vertical="center" wrapText="1"/>
    </xf>
    <xf numFmtId="0" fontId="17" fillId="13" borderId="11"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18" fillId="9" borderId="13" xfId="0" applyFont="1" applyFill="1" applyBorder="1" applyAlignment="1">
      <alignment horizontal="left" vertical="center" wrapText="1"/>
    </xf>
    <xf numFmtId="0" fontId="19" fillId="9" borderId="14" xfId="0" applyFont="1" applyFill="1" applyBorder="1" applyAlignment="1">
      <alignment horizontal="center" vertical="center" wrapText="1"/>
    </xf>
    <xf numFmtId="0" fontId="19" fillId="9" borderId="14" xfId="0" applyFont="1" applyFill="1" applyBorder="1" applyAlignment="1">
      <alignment horizontal="left" vertical="center" wrapText="1"/>
    </xf>
    <xf numFmtId="4" fontId="19" fillId="9" borderId="14" xfId="0" applyNumberFormat="1" applyFont="1" applyFill="1" applyBorder="1" applyAlignment="1">
      <alignment horizontal="right" vertical="center" wrapText="1"/>
    </xf>
    <xf numFmtId="1" fontId="19" fillId="9" borderId="14" xfId="0" applyNumberFormat="1" applyFont="1" applyFill="1" applyBorder="1" applyAlignment="1">
      <alignment horizontal="center" vertical="center" wrapText="1"/>
    </xf>
    <xf numFmtId="2" fontId="19" fillId="9" borderId="14" xfId="0" applyNumberFormat="1" applyFont="1" applyFill="1" applyBorder="1" applyAlignment="1">
      <alignment horizontal="right" vertical="center" wrapText="1"/>
    </xf>
    <xf numFmtId="4" fontId="19" fillId="9" borderId="15" xfId="0" applyNumberFormat="1" applyFont="1" applyFill="1" applyBorder="1" applyAlignment="1">
      <alignment horizontal="right" vertical="center" wrapText="1"/>
    </xf>
    <xf numFmtId="0" fontId="19" fillId="11" borderId="16" xfId="0" applyFont="1" applyFill="1" applyBorder="1" applyAlignment="1">
      <alignment horizontal="left" vertical="center" wrapText="1"/>
    </xf>
    <xf numFmtId="0" fontId="19" fillId="11" borderId="17" xfId="0" applyFont="1" applyFill="1" applyBorder="1" applyAlignment="1">
      <alignment horizontal="center" vertical="center" wrapText="1"/>
    </xf>
    <xf numFmtId="0" fontId="19" fillId="11" borderId="17" xfId="0" applyFont="1" applyFill="1" applyBorder="1" applyAlignment="1">
      <alignment horizontal="left" vertical="center" wrapText="1"/>
    </xf>
    <xf numFmtId="4" fontId="19" fillId="11" borderId="17" xfId="0" applyNumberFormat="1" applyFont="1" applyFill="1" applyBorder="1" applyAlignment="1">
      <alignment horizontal="right" vertical="center" wrapText="1"/>
    </xf>
    <xf numFmtId="1" fontId="19" fillId="11" borderId="17" xfId="0" applyNumberFormat="1" applyFont="1" applyFill="1" applyBorder="1" applyAlignment="1">
      <alignment horizontal="center" vertical="center" wrapText="1"/>
    </xf>
    <xf numFmtId="2" fontId="19" fillId="11" borderId="17" xfId="0" applyNumberFormat="1" applyFont="1" applyFill="1" applyBorder="1" applyAlignment="1">
      <alignment horizontal="right" vertical="center" wrapText="1"/>
    </xf>
    <xf numFmtId="4" fontId="19" fillId="11" borderId="18" xfId="0" applyNumberFormat="1" applyFont="1" applyFill="1" applyBorder="1" applyAlignment="1">
      <alignment horizontal="right" vertical="center" wrapText="1"/>
    </xf>
    <xf numFmtId="0" fontId="19" fillId="9" borderId="16" xfId="0" applyFont="1" applyFill="1" applyBorder="1" applyAlignment="1">
      <alignment horizontal="left" vertical="center" wrapText="1"/>
    </xf>
    <xf numFmtId="0" fontId="19" fillId="9" borderId="17" xfId="0" applyFont="1" applyFill="1" applyBorder="1" applyAlignment="1">
      <alignment horizontal="center" vertical="center" wrapText="1"/>
    </xf>
    <xf numFmtId="0" fontId="19" fillId="9" borderId="17" xfId="0" applyFont="1" applyFill="1" applyBorder="1" applyAlignment="1">
      <alignment horizontal="left" vertical="center" wrapText="1"/>
    </xf>
    <xf numFmtId="4" fontId="19" fillId="9" borderId="17" xfId="0" applyNumberFormat="1" applyFont="1" applyFill="1" applyBorder="1" applyAlignment="1">
      <alignment horizontal="right" vertical="center" wrapText="1"/>
    </xf>
    <xf numFmtId="1" fontId="19" fillId="9" borderId="17" xfId="0" applyNumberFormat="1" applyFont="1" applyFill="1" applyBorder="1" applyAlignment="1">
      <alignment horizontal="center" vertical="center" wrapText="1"/>
    </xf>
    <xf numFmtId="2" fontId="19" fillId="9" borderId="17" xfId="0" applyNumberFormat="1" applyFont="1" applyFill="1" applyBorder="1" applyAlignment="1">
      <alignment horizontal="right" vertical="center" wrapText="1"/>
    </xf>
    <xf numFmtId="4" fontId="19" fillId="9" borderId="18" xfId="0" applyNumberFormat="1" applyFont="1" applyFill="1" applyBorder="1" applyAlignment="1">
      <alignment horizontal="right" vertical="center" wrapText="1"/>
    </xf>
    <xf numFmtId="0" fontId="20" fillId="12" borderId="19" xfId="0" applyFont="1" applyFill="1" applyBorder="1" applyAlignment="1">
      <alignment horizontal="left" vertical="center"/>
    </xf>
    <xf numFmtId="0" fontId="20" fillId="12" borderId="20" xfId="0" applyFont="1" applyFill="1" applyBorder="1" applyAlignment="1">
      <alignment horizontal="center" vertical="center"/>
    </xf>
    <xf numFmtId="0" fontId="20" fillId="12" borderId="20" xfId="0" applyFont="1" applyFill="1" applyBorder="1" applyAlignment="1">
      <alignment horizontal="left" vertical="center" wrapText="1"/>
    </xf>
    <xf numFmtId="4" fontId="20" fillId="12" borderId="20" xfId="0" applyNumberFormat="1" applyFont="1" applyFill="1" applyBorder="1" applyAlignment="1">
      <alignment horizontal="right" vertical="center"/>
    </xf>
    <xf numFmtId="1" fontId="20" fillId="12" borderId="20" xfId="0" applyNumberFormat="1" applyFont="1" applyFill="1" applyBorder="1" applyAlignment="1">
      <alignment horizontal="center" vertical="center"/>
    </xf>
    <xf numFmtId="2" fontId="20" fillId="12" borderId="20" xfId="0" applyNumberFormat="1" applyFont="1" applyFill="1" applyBorder="1" applyAlignment="1">
      <alignment horizontal="right" vertical="center"/>
    </xf>
    <xf numFmtId="4" fontId="20" fillId="12" borderId="21" xfId="0" applyNumberFormat="1" applyFont="1" applyFill="1" applyBorder="1" applyAlignment="1">
      <alignment horizontal="right" vertical="center"/>
    </xf>
    <xf numFmtId="0" fontId="18" fillId="9" borderId="16" xfId="0" applyFont="1" applyFill="1" applyBorder="1" applyAlignment="1">
      <alignment horizontal="left" vertical="center" wrapText="1"/>
    </xf>
    <xf numFmtId="0" fontId="21" fillId="11" borderId="16" xfId="0" applyFont="1" applyFill="1" applyBorder="1" applyAlignment="1">
      <alignment horizontal="left" vertical="center" wrapText="1"/>
    </xf>
    <xf numFmtId="0" fontId="21" fillId="9" borderId="16" xfId="0" applyFont="1" applyFill="1" applyBorder="1" applyAlignment="1">
      <alignment horizontal="left" vertical="center" wrapText="1"/>
    </xf>
    <xf numFmtId="0" fontId="19" fillId="9" borderId="22" xfId="0" applyFont="1" applyFill="1" applyBorder="1" applyAlignment="1">
      <alignment horizontal="left" vertical="center" wrapText="1"/>
    </xf>
    <xf numFmtId="0" fontId="19" fillId="9" borderId="23" xfId="0" applyFont="1" applyFill="1" applyBorder="1" applyAlignment="1">
      <alignment horizontal="center" vertical="center" wrapText="1"/>
    </xf>
    <xf numFmtId="0" fontId="19" fillId="9" borderId="23" xfId="0" applyFont="1" applyFill="1" applyBorder="1" applyAlignment="1">
      <alignment horizontal="left" vertical="center" wrapText="1"/>
    </xf>
    <xf numFmtId="4" fontId="19" fillId="9" borderId="23" xfId="0" applyNumberFormat="1" applyFont="1" applyFill="1" applyBorder="1" applyAlignment="1">
      <alignment horizontal="right" vertical="center" wrapText="1"/>
    </xf>
    <xf numFmtId="1" fontId="19" fillId="9" borderId="23" xfId="0" applyNumberFormat="1" applyFont="1" applyFill="1" applyBorder="1" applyAlignment="1">
      <alignment horizontal="center" vertical="center" wrapText="1"/>
    </xf>
    <xf numFmtId="2" fontId="19" fillId="9" borderId="23" xfId="0" applyNumberFormat="1" applyFont="1" applyFill="1" applyBorder="1" applyAlignment="1">
      <alignment horizontal="right" vertical="center" wrapText="1"/>
    </xf>
    <xf numFmtId="4" fontId="19" fillId="9" borderId="24" xfId="0" applyNumberFormat="1" applyFont="1" applyFill="1" applyBorder="1" applyAlignment="1">
      <alignment horizontal="right" vertical="center" wrapText="1"/>
    </xf>
    <xf numFmtId="0" fontId="20" fillId="12" borderId="20" xfId="0" applyFont="1" applyFill="1" applyBorder="1" applyAlignment="1">
      <alignment horizontal="left" vertical="center"/>
    </xf>
    <xf numFmtId="0" fontId="21" fillId="11" borderId="22" xfId="0" applyFont="1" applyFill="1" applyBorder="1" applyAlignment="1">
      <alignment horizontal="left" vertical="center" wrapText="1"/>
    </xf>
    <xf numFmtId="0" fontId="19" fillId="11" borderId="23" xfId="0" applyFont="1" applyFill="1" applyBorder="1" applyAlignment="1">
      <alignment horizontal="center" vertical="center" wrapText="1"/>
    </xf>
    <xf numFmtId="0" fontId="19" fillId="11" borderId="23" xfId="0" applyFont="1" applyFill="1" applyBorder="1" applyAlignment="1">
      <alignment horizontal="left" vertical="center" wrapText="1"/>
    </xf>
    <xf numFmtId="4" fontId="19" fillId="11" borderId="23" xfId="0" applyNumberFormat="1" applyFont="1" applyFill="1" applyBorder="1" applyAlignment="1">
      <alignment horizontal="right" vertical="center" wrapText="1"/>
    </xf>
    <xf numFmtId="1" fontId="19" fillId="11" borderId="23" xfId="0" applyNumberFormat="1" applyFont="1" applyFill="1" applyBorder="1" applyAlignment="1">
      <alignment horizontal="center" vertical="center" wrapText="1"/>
    </xf>
    <xf numFmtId="2" fontId="19" fillId="11" borderId="23" xfId="0" applyNumberFormat="1" applyFont="1" applyFill="1" applyBorder="1" applyAlignment="1">
      <alignment horizontal="right" vertical="center" wrapText="1"/>
    </xf>
    <xf numFmtId="4" fontId="19" fillId="11" borderId="24" xfId="0" applyNumberFormat="1" applyFont="1" applyFill="1" applyBorder="1" applyAlignment="1">
      <alignment horizontal="right" vertical="center" wrapText="1"/>
    </xf>
    <xf numFmtId="4" fontId="1" fillId="7" borderId="1" xfId="0" applyNumberFormat="1" applyFont="1" applyFill="1" applyBorder="1"/>
    <xf numFmtId="1" fontId="1" fillId="8" borderId="1" xfId="0" applyNumberFormat="1" applyFont="1" applyFill="1" applyBorder="1"/>
    <xf numFmtId="2" fontId="1" fillId="6" borderId="1" xfId="0" applyNumberFormat="1" applyFont="1" applyFill="1" applyBorder="1"/>
    <xf numFmtId="4" fontId="1" fillId="5" borderId="1" xfId="0" applyNumberFormat="1" applyFont="1" applyFill="1" applyBorder="1"/>
    <xf numFmtId="4" fontId="1" fillId="0" borderId="0" xfId="0" applyNumberFormat="1" applyFont="1"/>
    <xf numFmtId="1" fontId="1" fillId="0" borderId="0" xfId="0" applyNumberFormat="1" applyFont="1"/>
    <xf numFmtId="2" fontId="1" fillId="0" borderId="0" xfId="0" applyNumberFormat="1" applyFont="1"/>
    <xf numFmtId="0" fontId="13" fillId="0" borderId="0" xfId="0" applyFont="1" applyAlignment="1">
      <alignment horizontal="left" vertical="center"/>
    </xf>
    <xf numFmtId="4" fontId="22" fillId="11" borderId="5" xfId="0" applyNumberFormat="1" applyFont="1" applyFill="1" applyBorder="1" applyAlignment="1">
      <alignment horizontal="left" vertical="center"/>
    </xf>
    <xf numFmtId="2" fontId="23" fillId="11" borderId="6" xfId="0" applyNumberFormat="1" applyFont="1" applyFill="1" applyBorder="1" applyAlignment="1">
      <alignment vertical="center"/>
    </xf>
    <xf numFmtId="4" fontId="6" fillId="0" borderId="0" xfId="0" applyNumberFormat="1" applyFont="1" applyAlignment="1">
      <alignment horizontal="right" vertical="center"/>
    </xf>
    <xf numFmtId="4" fontId="22" fillId="11" borderId="8" xfId="0" applyNumberFormat="1" applyFont="1" applyFill="1" applyBorder="1" applyAlignment="1">
      <alignment horizontal="left" vertical="center"/>
    </xf>
    <xf numFmtId="2" fontId="23" fillId="11" borderId="0" xfId="0" applyNumberFormat="1" applyFont="1" applyFill="1" applyAlignment="1">
      <alignment vertical="center"/>
    </xf>
    <xf numFmtId="4" fontId="23" fillId="11" borderId="9" xfId="0" applyNumberFormat="1" applyFont="1" applyFill="1" applyBorder="1" applyAlignment="1">
      <alignment horizontal="right" vertical="center"/>
    </xf>
    <xf numFmtId="0" fontId="13" fillId="0" borderId="0" xfId="0" applyFont="1"/>
    <xf numFmtId="4" fontId="24" fillId="8" borderId="25" xfId="0" applyNumberFormat="1" applyFont="1" applyFill="1" applyBorder="1" applyAlignment="1">
      <alignment horizontal="right" vertical="center"/>
    </xf>
    <xf numFmtId="2" fontId="24" fillId="8" borderId="26" xfId="0" applyNumberFormat="1" applyFont="1" applyFill="1" applyBorder="1" applyAlignment="1">
      <alignment vertical="center"/>
    </xf>
    <xf numFmtId="4" fontId="24" fillId="8" borderId="27" xfId="0" applyNumberFormat="1" applyFont="1" applyFill="1" applyBorder="1" applyAlignment="1">
      <alignment horizontal="right" vertical="center"/>
    </xf>
    <xf numFmtId="0" fontId="25" fillId="13" borderId="0" xfId="0" applyFont="1" applyFill="1" applyAlignment="1">
      <alignment horizontal="left" vertical="center"/>
    </xf>
    <xf numFmtId="0" fontId="25" fillId="13" borderId="0" xfId="0" applyFont="1" applyFill="1"/>
    <xf numFmtId="0" fontId="26" fillId="0" borderId="0" xfId="0" applyFont="1" applyAlignment="1">
      <alignment horizontal="left" vertical="top" wrapText="1"/>
    </xf>
    <xf numFmtId="0" fontId="27" fillId="0" borderId="0" xfId="0" applyFont="1" applyAlignment="1">
      <alignment horizontal="left" vertical="center"/>
    </xf>
    <xf numFmtId="0" fontId="23" fillId="0" borderId="0" xfId="0" applyFont="1" applyAlignment="1">
      <alignment vertical="center"/>
    </xf>
    <xf numFmtId="0" fontId="23" fillId="0" borderId="28" xfId="0" applyFont="1" applyBorder="1" applyAlignment="1">
      <alignment vertical="center"/>
    </xf>
    <xf numFmtId="0" fontId="28" fillId="0" borderId="0" xfId="0" applyFont="1" applyAlignment="1">
      <alignment horizontal="center" vertical="center"/>
    </xf>
    <xf numFmtId="0" fontId="1" fillId="0" borderId="1" xfId="0" applyFont="1" applyBorder="1"/>
    <xf numFmtId="0" fontId="29" fillId="11" borderId="2" xfId="0" applyFont="1" applyFill="1" applyBorder="1" applyAlignment="1">
      <alignment horizontal="left" vertical="top" wrapText="1"/>
    </xf>
    <xf numFmtId="0" fontId="29" fillId="11" borderId="3" xfId="0" applyFont="1" applyFill="1" applyBorder="1" applyAlignment="1">
      <alignment vertical="top" wrapText="1"/>
    </xf>
    <xf numFmtId="0" fontId="29" fillId="11"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Mantle Brand">
  <a:themeElements>
    <a:clrScheme name="Mantle Brand">
      <a:dk1>
        <a:srgbClr val="111827"/>
      </a:dk1>
      <a:lt1>
        <a:srgbClr val="FFFFFF"/>
      </a:lt1>
      <a:dk2>
        <a:srgbClr val="0E2841"/>
      </a:dk2>
      <a:lt2>
        <a:srgbClr val="E5E7EB"/>
      </a:lt2>
      <a:accent1>
        <a:srgbClr val="01D0FE"/>
      </a:accent1>
      <a:accent2>
        <a:srgbClr val="01BFFD"/>
      </a:accent2>
      <a:accent3>
        <a:srgbClr val="119CFD"/>
      </a:accent3>
      <a:accent4>
        <a:srgbClr val="2980F9"/>
      </a:accent4>
      <a:accent5>
        <a:srgbClr val="4659F9"/>
      </a:accent5>
      <a:accent6>
        <a:srgbClr val="7509FD"/>
      </a:accent6>
      <a:hlink>
        <a:srgbClr val="2980F9"/>
      </a:hlink>
      <a:folHlink>
        <a:srgbClr val="612DFC"/>
      </a:folHlink>
    </a:clrScheme>
    <a:fontScheme name="Office">
      <a:majorFont>
        <a:latin typeface="Calibri"/>
        <a:ea typeface="Calibri"/>
        <a:cs typeface="Calibri"/>
      </a:majorFont>
      <a:minorFont>
        <a:latin typeface="Calibri"/>
        <a:ea typeface="Calibri"/>
        <a:cs typeface="Calibri"/>
      </a:minorFont>
    </a:fontScheme>
    <a:fmtScheme name="Mantle Brand">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
  <sheetViews>
    <sheetView workbookViewId="0" showGridLines="0" zoomScale="100" zoomScaleNormal="100">
      <selection activeCell="D13" sqref="D13"/>
    </sheetView>
  </sheetViews>
  <sheetFormatPr defaultRowHeight="14.4" outlineLevelRow="0" outlineLevelCol="0" x14ac:dyDescent="0.3" defaultColWidth="15.109375" customHeight="1"/>
  <cols>
    <col min="1" max="1" width="20" customWidth="1"/>
    <col min="2" max="2" width="16" customWidth="1"/>
    <col min="3" max="3" width="48" customWidth="1"/>
    <col min="4" max="5" width="15" customWidth="1"/>
    <col min="6" max="6" width="16" customWidth="1"/>
    <col min="7" max="7" width="11" customWidth="1"/>
    <col min="8" max="8" width="8" customWidth="1"/>
    <col min="9" max="9" width="16" customWidth="1"/>
    <col min="10" max="10" width="10" customWidth="1"/>
    <col min="11" max="11" width="18" customWidth="1"/>
    <col min="12" max="12" width="4" customWidth="1"/>
  </cols>
  <sheetData>
    <row r="1" ht="7.95" customHeight="1" spans="1:11" x14ac:dyDescent="0.25">
      <c r="A1" s="1"/>
      <c r="B1" s="2"/>
      <c r="C1" s="3"/>
      <c r="D1" s="4"/>
      <c r="E1" s="5"/>
      <c r="F1" s="6"/>
      <c r="G1" s="7"/>
      <c r="H1" s="7"/>
      <c r="I1" s="6"/>
      <c r="J1" s="5"/>
      <c r="K1" s="4"/>
    </row>
    <row r="2" ht="31.95" customHeight="1" spans="1:11" x14ac:dyDescent="0.25">
      <c r="A2" s="8" t="s">
        <v>0</v>
      </c>
      <c r="B2" s="9"/>
      <c r="C2" s="9"/>
      <c r="D2" s="9"/>
      <c r="E2" s="9"/>
      <c r="F2" s="9"/>
      <c r="G2" s="9"/>
      <c r="H2" s="9"/>
      <c r="I2" s="9"/>
      <c r="J2" s="9"/>
      <c r="K2" s="9"/>
    </row>
    <row r="3" spans="1:11" x14ac:dyDescent="0.25">
      <c r="A3" s="10" t="s">
        <v>1</v>
      </c>
      <c r="B3" s="11"/>
      <c r="C3" s="11"/>
      <c r="J3" s="12"/>
      <c r="K3" s="11"/>
    </row>
    <row r="4" spans="1:11" x14ac:dyDescent="0.25">
      <c r="A4" s="10" t="s">
        <v>2</v>
      </c>
      <c r="B4" s="11"/>
      <c r="C4" s="11"/>
      <c r="J4" s="13"/>
      <c r="K4" s="11"/>
    </row>
    <row r="5" spans="1:11" x14ac:dyDescent="0.25">
      <c r="A5" s="10" t="s">
        <v>3</v>
      </c>
      <c r="B5" s="11"/>
      <c r="C5" s="11"/>
      <c r="J5" s="13"/>
      <c r="K5" s="11"/>
    </row>
    <row r="7" ht="7.95" customHeight="1" spans="1:11" x14ac:dyDescent="0.25">
      <c r="A7" s="14"/>
      <c r="B7" s="15"/>
      <c r="C7" s="16"/>
      <c r="D7" s="17"/>
      <c r="E7" s="18"/>
      <c r="F7" s="19"/>
      <c r="G7" s="20"/>
      <c r="H7" s="20"/>
      <c r="I7" s="19"/>
      <c r="J7" s="18"/>
      <c r="K7" s="17"/>
    </row>
    <row r="8" ht="25.95" customHeight="1" spans="1:11" x14ac:dyDescent="0.25">
      <c r="A8" s="21" t="s">
        <v>4</v>
      </c>
      <c r="B8" s="22"/>
      <c r="C8" s="22"/>
      <c r="D8" s="22"/>
      <c r="E8" s="22"/>
      <c r="F8" s="22"/>
      <c r="G8" s="22"/>
      <c r="H8" s="22"/>
      <c r="I8" s="22"/>
      <c r="J8" s="22"/>
      <c r="K8" s="23"/>
    </row>
    <row r="9" spans="1:11" x14ac:dyDescent="0.25">
      <c r="A9" s="11"/>
      <c r="B9" s="11"/>
      <c r="C9" s="11"/>
      <c r="D9" s="11"/>
      <c r="E9" s="11"/>
      <c r="F9" s="11"/>
      <c r="G9" s="11"/>
      <c r="H9" s="11"/>
      <c r="I9" s="11"/>
      <c r="J9" s="11"/>
      <c r="K9" s="11"/>
    </row>
    <row r="10" ht="21" customHeight="1" spans="1:11" x14ac:dyDescent="0.25">
      <c r="A10" s="24">
        <f>TODAY()</f>
        <v>0</v>
      </c>
      <c r="B10" s="25"/>
      <c r="C10" s="26" t="s">
        <v>5</v>
      </c>
      <c r="D10" s="27"/>
      <c r="E10" s="28" t="s">
        <v>6</v>
      </c>
      <c r="F10" s="28" t="s">
        <v>7</v>
      </c>
      <c r="G10" s="27"/>
      <c r="H10" s="27"/>
      <c r="I10" s="29" t="s">
        <v>8</v>
      </c>
      <c r="J10" s="30"/>
      <c r="K10" s="31"/>
    </row>
    <row r="11" ht="15.6" customHeight="1" spans="1:11" x14ac:dyDescent="0.25">
      <c r="A11" s="27"/>
      <c r="B11" s="27"/>
      <c r="C11" s="32">
        <f>K79</f>
        <v>0</v>
      </c>
      <c r="D11" s="27"/>
      <c r="E11" s="33">
        <f>K80</f>
        <v>0</v>
      </c>
      <c r="F11" s="33">
        <f>K81</f>
        <v>0</v>
      </c>
      <c r="G11" s="27"/>
      <c r="H11" s="27"/>
      <c r="I11" s="34" t="s">
        <v>9</v>
      </c>
      <c r="J11" s="35"/>
      <c r="K11" s="36"/>
    </row>
    <row r="12" spans="1:11" x14ac:dyDescent="0.25">
      <c r="A12" s="27"/>
      <c r="B12" s="27"/>
      <c r="C12" s="27"/>
      <c r="D12" s="27"/>
      <c r="E12" s="27"/>
      <c r="F12" s="27"/>
      <c r="G12" s="27"/>
      <c r="H12" s="27"/>
      <c r="I12" s="34" t="s">
        <v>10</v>
      </c>
      <c r="J12" s="35"/>
      <c r="K12" s="36"/>
    </row>
    <row r="13" spans="1:11" x14ac:dyDescent="0.25">
      <c r="A13" s="27"/>
      <c r="B13" s="27"/>
      <c r="C13" s="27"/>
      <c r="D13" s="27"/>
      <c r="E13" s="27"/>
      <c r="F13" s="27"/>
      <c r="G13" s="27"/>
      <c r="H13" s="27"/>
      <c r="I13" s="37"/>
      <c r="J13" s="35"/>
      <c r="K13" s="38"/>
    </row>
    <row r="14" spans="1:11" x14ac:dyDescent="0.25">
      <c r="A14" s="27"/>
      <c r="B14" s="27"/>
      <c r="C14" s="27"/>
      <c r="D14" s="27"/>
      <c r="E14" s="27"/>
      <c r="F14" s="27"/>
      <c r="G14" s="27"/>
      <c r="H14" s="27"/>
      <c r="I14" s="39" t="s">
        <v>11</v>
      </c>
      <c r="J14" s="40"/>
      <c r="K14" s="41"/>
    </row>
    <row r="15" ht="36" customHeight="1" spans="1:11" x14ac:dyDescent="0.25">
      <c r="A15" s="42" t="s">
        <v>12</v>
      </c>
      <c r="B15" s="43" t="s">
        <v>13</v>
      </c>
      <c r="C15" s="43" t="s">
        <v>14</v>
      </c>
      <c r="D15" s="43" t="s">
        <v>15</v>
      </c>
      <c r="E15" s="43" t="s">
        <v>16</v>
      </c>
      <c r="F15" s="43" t="s">
        <v>17</v>
      </c>
      <c r="G15" s="43" t="s">
        <v>18</v>
      </c>
      <c r="H15" s="43" t="s">
        <v>19</v>
      </c>
      <c r="I15" s="43" t="s">
        <v>20</v>
      </c>
      <c r="J15" s="43" t="s">
        <v>21</v>
      </c>
      <c r="K15" s="44" t="s">
        <v>22</v>
      </c>
    </row>
    <row r="16" ht="22.05" customHeight="1" spans="1:11" x14ac:dyDescent="0.25">
      <c r="A16" s="45"/>
      <c r="B16" s="46"/>
      <c r="C16" s="47"/>
      <c r="D16" s="46"/>
      <c r="E16" s="46"/>
      <c r="F16" s="48"/>
      <c r="G16" s="49"/>
      <c r="H16" s="49"/>
      <c r="I16" s="48">
        <f>ROUND(F16-((F16*J16)/100),2)</f>
        <v>0</v>
      </c>
      <c r="J16" s="50"/>
      <c r="K16" s="51">
        <f>ROUND((H16 * I16),2)</f>
        <v>0</v>
      </c>
    </row>
    <row r="17" ht="22.05" customHeight="1" spans="1:11" x14ac:dyDescent="0.25">
      <c r="A17" s="52"/>
      <c r="B17" s="53"/>
      <c r="C17" s="54"/>
      <c r="D17" s="53"/>
      <c r="E17" s="53"/>
      <c r="F17" s="55"/>
      <c r="G17" s="56"/>
      <c r="H17" s="56"/>
      <c r="I17" s="55">
        <f>ROUND(F17-((F17*J17)/100),2)</f>
        <v>0</v>
      </c>
      <c r="J17" s="57"/>
      <c r="K17" s="58">
        <f>ROUND((H17 * I17),2)</f>
        <v>0</v>
      </c>
    </row>
    <row r="18" ht="22.05" customHeight="1" spans="1:11" x14ac:dyDescent="0.25">
      <c r="A18" s="59"/>
      <c r="B18" s="60"/>
      <c r="C18" s="61"/>
      <c r="D18" s="60"/>
      <c r="E18" s="60"/>
      <c r="F18" s="62"/>
      <c r="G18" s="63"/>
      <c r="H18" s="63"/>
      <c r="I18" s="62">
        <f>ROUND((ROUND(193-((193*J18)/100),2) * (36)),2)</f>
        <v>0</v>
      </c>
      <c r="J18" s="64"/>
      <c r="K18" s="65">
        <f>ROUND((ROUND(193-((193*J18)/100),2) * H18 * (36)),2)</f>
        <v>0</v>
      </c>
    </row>
    <row r="19" ht="19.95" customHeight="1" spans="1:11" x14ac:dyDescent="0.25">
      <c r="A19" s="66"/>
      <c r="B19" s="67"/>
      <c r="C19" s="68"/>
      <c r="D19" s="67"/>
      <c r="E19" s="67"/>
      <c r="F19" s="69"/>
      <c r="G19" s="67"/>
      <c r="H19" s="70"/>
      <c r="I19" s="69"/>
      <c r="J19" s="71"/>
      <c r="K19" s="72"/>
    </row>
    <row r="20" ht="22.05" customHeight="1" spans="1:11" x14ac:dyDescent="0.25">
      <c r="A20" s="59"/>
      <c r="B20" s="60"/>
      <c r="C20" s="61"/>
      <c r="D20" s="60"/>
      <c r="E20" s="60"/>
      <c r="F20" s="62"/>
      <c r="G20" s="63"/>
      <c r="H20" s="63"/>
      <c r="I20" s="62">
        <f>ROUND(F20-((F20*J20)/100),2)</f>
        <v>0</v>
      </c>
      <c r="J20" s="64"/>
      <c r="K20" s="65">
        <f>ROUND((H20 * I20),2)</f>
        <v>0</v>
      </c>
    </row>
    <row r="21" spans="1:11" x14ac:dyDescent="0.25">
      <c r="A21" s="52"/>
      <c r="B21" s="53"/>
      <c r="C21" s="54"/>
      <c r="D21" s="53"/>
      <c r="E21" s="53"/>
      <c r="F21" s="55"/>
      <c r="G21" s="56"/>
      <c r="H21" s="56"/>
      <c r="I21" s="55">
        <f>ROUND(F21-((F21*J21)/100),2)</f>
        <v>0</v>
      </c>
      <c r="J21" s="57"/>
      <c r="K21" s="58">
        <f>ROUND((H21 * I21),2)</f>
        <v>0</v>
      </c>
    </row>
    <row r="22" ht="22.05" customHeight="1" spans="1:11" x14ac:dyDescent="0.25">
      <c r="A22" s="59"/>
      <c r="B22" s="60"/>
      <c r="C22" s="61"/>
      <c r="D22" s="60"/>
      <c r="E22" s="60"/>
      <c r="F22" s="62"/>
      <c r="G22" s="63"/>
      <c r="H22" s="63"/>
      <c r="I22" s="62">
        <f>ROUND(F22-((F22*J22)/100),2)</f>
        <v>0</v>
      </c>
      <c r="J22" s="64"/>
      <c r="K22" s="65">
        <f>ROUND((H22 * I22),2)</f>
        <v>0</v>
      </c>
    </row>
    <row r="23" ht="22.05" customHeight="1" spans="1:11" x14ac:dyDescent="0.25">
      <c r="A23" s="52"/>
      <c r="B23" s="53"/>
      <c r="C23" s="54"/>
      <c r="D23" s="53"/>
      <c r="E23" s="53"/>
      <c r="F23" s="55"/>
      <c r="G23" s="56"/>
      <c r="H23" s="56"/>
      <c r="I23" s="55">
        <f>ROUND(F23-((F23*J23)/100),2)</f>
        <v>0</v>
      </c>
      <c r="J23" s="57"/>
      <c r="K23" s="58">
        <f>ROUND((H23 * I23),2)</f>
        <v>0</v>
      </c>
    </row>
    <row r="24" ht="22.05" customHeight="1" spans="1:11" x14ac:dyDescent="0.25">
      <c r="A24" s="59"/>
      <c r="B24" s="60"/>
      <c r="C24" s="61"/>
      <c r="D24" s="60"/>
      <c r="E24" s="60"/>
      <c r="F24" s="62"/>
      <c r="G24" s="63"/>
      <c r="H24" s="63"/>
      <c r="I24" s="62">
        <f>ROUND(F24-((F24*J24)/100),2)</f>
        <v>0</v>
      </c>
      <c r="J24" s="64"/>
      <c r="K24" s="65">
        <f>ROUND((H24 * I24),2)</f>
        <v>0</v>
      </c>
    </row>
    <row r="25" ht="22.05" customHeight="1" spans="1:11" x14ac:dyDescent="0.25">
      <c r="A25" s="52"/>
      <c r="B25" s="53"/>
      <c r="C25" s="54"/>
      <c r="D25" s="53"/>
      <c r="E25" s="53"/>
      <c r="F25" s="55"/>
      <c r="G25" s="56"/>
      <c r="H25" s="56"/>
      <c r="I25" s="55">
        <f>ROUND(F25-((F25*J25)/100),2)</f>
        <v>0</v>
      </c>
      <c r="J25" s="57"/>
      <c r="K25" s="58">
        <f>ROUND((H25 * I25),2)</f>
        <v>0</v>
      </c>
    </row>
    <row r="26" ht="22.05" customHeight="1" spans="1:11" x14ac:dyDescent="0.25">
      <c r="A26" s="59"/>
      <c r="B26" s="60"/>
      <c r="C26" s="61"/>
      <c r="D26" s="60"/>
      <c r="E26" s="60"/>
      <c r="F26" s="62"/>
      <c r="G26" s="63"/>
      <c r="H26" s="63"/>
      <c r="I26" s="62">
        <f>ROUND(F26-((F26*J26)/100),2)</f>
        <v>0</v>
      </c>
      <c r="J26" s="64"/>
      <c r="K26" s="65">
        <f>ROUND((H26 * I26),2)</f>
        <v>0</v>
      </c>
    </row>
    <row r="27" ht="22.05" customHeight="1" spans="1:11" x14ac:dyDescent="0.25">
      <c r="A27" s="52"/>
      <c r="B27" s="53"/>
      <c r="C27" s="54"/>
      <c r="D27" s="53"/>
      <c r="E27" s="53"/>
      <c r="F27" s="55"/>
      <c r="G27" s="56"/>
      <c r="H27" s="56"/>
      <c r="I27" s="55">
        <f>ROUND(F27-((F27*J27)/100),2)</f>
        <v>0</v>
      </c>
      <c r="J27" s="57"/>
      <c r="K27" s="58">
        <f>ROUND((H27 * I27),2)</f>
        <v>0</v>
      </c>
    </row>
    <row r="28" ht="22.05" customHeight="1" spans="1:11" x14ac:dyDescent="0.25">
      <c r="A28" s="59"/>
      <c r="B28" s="60"/>
      <c r="C28" s="61"/>
      <c r="D28" s="60"/>
      <c r="E28" s="60"/>
      <c r="F28" s="62"/>
      <c r="G28" s="63"/>
      <c r="H28" s="63"/>
      <c r="I28" s="62">
        <f>ROUND(F28-((F28*J28)/100),2)</f>
        <v>0</v>
      </c>
      <c r="J28" s="64"/>
      <c r="K28" s="65">
        <f>ROUND((H28 * I28),2)</f>
        <v>0</v>
      </c>
    </row>
    <row r="29" ht="22.05" customHeight="1" spans="1:11" x14ac:dyDescent="0.25">
      <c r="A29" s="52"/>
      <c r="B29" s="53"/>
      <c r="C29" s="54"/>
      <c r="D29" s="53"/>
      <c r="E29" s="53"/>
      <c r="F29" s="55"/>
      <c r="G29" s="56"/>
      <c r="H29" s="56"/>
      <c r="I29" s="55">
        <f>ROUND(F29-((F29*J29)/100),2)</f>
        <v>0</v>
      </c>
      <c r="J29" s="57"/>
      <c r="K29" s="58">
        <f>ROUND((H29 * I29),2)</f>
        <v>0</v>
      </c>
    </row>
    <row r="30" ht="22.05" customHeight="1" spans="1:11" x14ac:dyDescent="0.25">
      <c r="A30" s="59"/>
      <c r="B30" s="60"/>
      <c r="C30" s="61"/>
      <c r="D30" s="60"/>
      <c r="E30" s="60"/>
      <c r="F30" s="62"/>
      <c r="G30" s="63"/>
      <c r="H30" s="63"/>
      <c r="I30" s="62">
        <f>ROUND(F30-((F30*J30)/100),2)</f>
        <v>0</v>
      </c>
      <c r="J30" s="64"/>
      <c r="K30" s="65">
        <f>ROUND((H30 * I30),2)</f>
        <v>0</v>
      </c>
    </row>
    <row r="31" ht="22.05" customHeight="1" spans="1:11" x14ac:dyDescent="0.25">
      <c r="A31" s="52"/>
      <c r="B31" s="53"/>
      <c r="C31" s="54"/>
      <c r="D31" s="53"/>
      <c r="E31" s="53"/>
      <c r="F31" s="55"/>
      <c r="G31" s="56"/>
      <c r="H31" s="56"/>
      <c r="I31" s="55">
        <f>ROUND(F31-((F31*J31)/100),2)</f>
        <v>0</v>
      </c>
      <c r="J31" s="57"/>
      <c r="K31" s="58">
        <f>ROUND((H31 * I31),2)</f>
        <v>0</v>
      </c>
    </row>
    <row r="32" ht="22.05" customHeight="1" spans="1:11" x14ac:dyDescent="0.25">
      <c r="A32" s="59"/>
      <c r="B32" s="60"/>
      <c r="C32" s="61"/>
      <c r="D32" s="60"/>
      <c r="E32" s="60"/>
      <c r="F32" s="62"/>
      <c r="G32" s="63"/>
      <c r="H32" s="63"/>
      <c r="I32" s="62">
        <f>ROUND(F32-((F32*J32)/100),2)</f>
        <v>0</v>
      </c>
      <c r="J32" s="64"/>
      <c r="K32" s="65">
        <f>ROUND((H32 * I32),2)</f>
        <v>0</v>
      </c>
    </row>
    <row r="33" ht="22.05" customHeight="1" spans="1:11" x14ac:dyDescent="0.25">
      <c r="A33" s="52"/>
      <c r="B33" s="53"/>
      <c r="C33" s="54"/>
      <c r="D33" s="53"/>
      <c r="E33" s="53"/>
      <c r="F33" s="55"/>
      <c r="G33" s="56"/>
      <c r="H33" s="56"/>
      <c r="I33" s="55">
        <f>ROUND(F33-((F33*J33)/100),2)</f>
        <v>0</v>
      </c>
      <c r="J33" s="57"/>
      <c r="K33" s="58">
        <f>ROUND((H33 * I33),2)</f>
        <v>0</v>
      </c>
    </row>
    <row r="34" ht="22.05" customHeight="1" spans="1:11" x14ac:dyDescent="0.25">
      <c r="A34" s="59"/>
      <c r="B34" s="60"/>
      <c r="C34" s="61"/>
      <c r="D34" s="60"/>
      <c r="E34" s="60"/>
      <c r="F34" s="62"/>
      <c r="G34" s="63"/>
      <c r="H34" s="63"/>
      <c r="I34" s="62">
        <f>ROUND((ROUND(0-((0*J34)/100),2) * (36)),2)</f>
        <v>0</v>
      </c>
      <c r="J34" s="64"/>
      <c r="K34" s="65">
        <f>ROUND((ROUND(0-((0*J34)/100),2) * H34 * (36)),2)</f>
        <v>0</v>
      </c>
    </row>
    <row r="35" ht="19.95" customHeight="1" spans="1:11" x14ac:dyDescent="0.25">
      <c r="A35" s="66"/>
      <c r="B35" s="67"/>
      <c r="C35" s="68"/>
      <c r="D35" s="67"/>
      <c r="E35" s="67"/>
      <c r="F35" s="69"/>
      <c r="G35" s="67"/>
      <c r="H35" s="70"/>
      <c r="I35" s="69"/>
      <c r="J35" s="71"/>
      <c r="K35" s="72"/>
    </row>
    <row r="36" ht="22.05" customHeight="1" spans="1:11" x14ac:dyDescent="0.25">
      <c r="A36" s="59"/>
      <c r="B36" s="60"/>
      <c r="C36" s="61"/>
      <c r="D36" s="60"/>
      <c r="E36" s="60"/>
      <c r="F36" s="62"/>
      <c r="G36" s="63"/>
      <c r="H36" s="63"/>
      <c r="I36" s="62">
        <f>ROUND((ROUND(0-((0*J36)/100),2) * (36)),2)</f>
        <v>0</v>
      </c>
      <c r="J36" s="64"/>
      <c r="K36" s="65">
        <f>ROUND((ROUND(0-((0*J36)/100),2) * H36 * (36)),2)</f>
        <v>0</v>
      </c>
    </row>
    <row r="37" ht="19.95" customHeight="1" spans="1:11" x14ac:dyDescent="0.25">
      <c r="A37" s="66"/>
      <c r="B37" s="67"/>
      <c r="C37" s="68"/>
      <c r="D37" s="67"/>
      <c r="E37" s="67"/>
      <c r="F37" s="69"/>
      <c r="G37" s="67"/>
      <c r="H37" s="70"/>
      <c r="I37" s="69"/>
      <c r="J37" s="71"/>
      <c r="K37" s="72"/>
    </row>
    <row r="38" ht="22.05" customHeight="1" spans="1:11" x14ac:dyDescent="0.25">
      <c r="A38" s="59"/>
      <c r="B38" s="60"/>
      <c r="C38" s="61"/>
      <c r="D38" s="60"/>
      <c r="E38" s="60"/>
      <c r="F38" s="62"/>
      <c r="G38" s="63"/>
      <c r="H38" s="63"/>
      <c r="I38" s="62">
        <f>ROUND((ROUND(0-((0*J38)/100),2) * (36)),2)</f>
        <v>0</v>
      </c>
      <c r="J38" s="64"/>
      <c r="K38" s="65">
        <f>ROUND((ROUND(0-((0*J38)/100),2) * H38 * (36)),2)</f>
        <v>0</v>
      </c>
    </row>
    <row r="39" ht="19.95" customHeight="1" spans="1:11" x14ac:dyDescent="0.25">
      <c r="A39" s="66"/>
      <c r="B39" s="67"/>
      <c r="C39" s="68"/>
      <c r="D39" s="67"/>
      <c r="E39" s="67"/>
      <c r="F39" s="69"/>
      <c r="G39" s="67"/>
      <c r="H39" s="70"/>
      <c r="I39" s="69"/>
      <c r="J39" s="71"/>
      <c r="K39" s="72"/>
    </row>
    <row r="40" ht="22.05" customHeight="1" spans="1:11" x14ac:dyDescent="0.25">
      <c r="A40" s="73"/>
      <c r="B40" s="60"/>
      <c r="C40" s="61"/>
      <c r="D40" s="60"/>
      <c r="E40" s="60"/>
      <c r="F40" s="62"/>
      <c r="G40" s="63"/>
      <c r="H40" s="63"/>
      <c r="I40" s="62">
        <f>ROUND(F40-((F40*J40)/100),2)</f>
        <v>0</v>
      </c>
      <c r="J40" s="64"/>
      <c r="K40" s="65">
        <f>ROUND((H40 * I40),2)</f>
        <v>0</v>
      </c>
    </row>
    <row r="41" ht="22.05" customHeight="1" spans="1:11" x14ac:dyDescent="0.25">
      <c r="A41" s="52"/>
      <c r="B41" s="53"/>
      <c r="C41" s="54"/>
      <c r="D41" s="53"/>
      <c r="E41" s="53"/>
      <c r="F41" s="55"/>
      <c r="G41" s="56"/>
      <c r="H41" s="56"/>
      <c r="I41" s="55">
        <f>ROUND(F41-((F41*J41)/100),2)</f>
        <v>0</v>
      </c>
      <c r="J41" s="57"/>
      <c r="K41" s="58">
        <f>ROUND((H41 * I41),2)</f>
        <v>0</v>
      </c>
    </row>
    <row r="42" ht="22.05" customHeight="1" spans="1:11" x14ac:dyDescent="0.25">
      <c r="A42" s="59"/>
      <c r="B42" s="60"/>
      <c r="C42" s="61"/>
      <c r="D42" s="60"/>
      <c r="E42" s="60"/>
      <c r="F42" s="62"/>
      <c r="G42" s="63"/>
      <c r="H42" s="63"/>
      <c r="I42" s="62">
        <f>ROUND((ROUND(107-((107*J42)/100),2) * (36)),2)</f>
        <v>0</v>
      </c>
      <c r="J42" s="64"/>
      <c r="K42" s="65">
        <f>ROUND((ROUND(107-((107*J42)/100),2) * H42 * (36)),2)</f>
        <v>0</v>
      </c>
    </row>
    <row r="43" ht="19.95" customHeight="1" spans="1:11" x14ac:dyDescent="0.25">
      <c r="A43" s="66"/>
      <c r="B43" s="67"/>
      <c r="C43" s="68"/>
      <c r="D43" s="67"/>
      <c r="E43" s="67"/>
      <c r="F43" s="69"/>
      <c r="G43" s="67"/>
      <c r="H43" s="70"/>
      <c r="I43" s="69"/>
      <c r="J43" s="71"/>
      <c r="K43" s="72"/>
    </row>
    <row r="44" ht="22.05" customHeight="1" spans="1:11" x14ac:dyDescent="0.25">
      <c r="A44" s="59"/>
      <c r="B44" s="60"/>
      <c r="C44" s="61"/>
      <c r="D44" s="60"/>
      <c r="E44" s="60"/>
      <c r="F44" s="62"/>
      <c r="G44" s="63"/>
      <c r="H44" s="63"/>
      <c r="I44" s="62">
        <f>ROUND(F44-((F44*J44)/100),2)</f>
        <v>0</v>
      </c>
      <c r="J44" s="64"/>
      <c r="K44" s="65">
        <f>ROUND((H44 * I44),2)</f>
        <v>0</v>
      </c>
    </row>
    <row r="45" ht="22.05" customHeight="1" spans="1:11" x14ac:dyDescent="0.25">
      <c r="A45" s="52"/>
      <c r="B45" s="53"/>
      <c r="C45" s="54"/>
      <c r="D45" s="53"/>
      <c r="E45" s="53"/>
      <c r="F45" s="55"/>
      <c r="G45" s="56"/>
      <c r="H45" s="56"/>
      <c r="I45" s="55">
        <f>ROUND(F45-((F45*J45)/100),2)</f>
        <v>0</v>
      </c>
      <c r="J45" s="57"/>
      <c r="K45" s="58">
        <f>ROUND((H45 * I45),2)</f>
        <v>0</v>
      </c>
    </row>
    <row r="46" ht="22.05" customHeight="1" spans="1:11" x14ac:dyDescent="0.25">
      <c r="A46" s="59"/>
      <c r="B46" s="60"/>
      <c r="C46" s="61"/>
      <c r="D46" s="60"/>
      <c r="E46" s="60"/>
      <c r="F46" s="62"/>
      <c r="G46" s="63"/>
      <c r="H46" s="63"/>
      <c r="I46" s="62">
        <f>ROUND(F46-((F46*J46)/100),2)</f>
        <v>0</v>
      </c>
      <c r="J46" s="64"/>
      <c r="K46" s="65">
        <f>ROUND((H46 * I46),2)</f>
        <v>0</v>
      </c>
    </row>
    <row r="47" ht="22.05" customHeight="1" spans="1:11" x14ac:dyDescent="0.25">
      <c r="A47" s="52"/>
      <c r="B47" s="53"/>
      <c r="C47" s="54"/>
      <c r="D47" s="53"/>
      <c r="E47" s="53"/>
      <c r="F47" s="55"/>
      <c r="G47" s="56"/>
      <c r="H47" s="56"/>
      <c r="I47" s="55">
        <f>ROUND(F47-((F47*J47)/100),2)</f>
        <v>0</v>
      </c>
      <c r="J47" s="57"/>
      <c r="K47" s="58">
        <f>ROUND((H47 * I47),2)</f>
        <v>0</v>
      </c>
    </row>
    <row r="48" ht="22.05" customHeight="1" spans="1:11" x14ac:dyDescent="0.25">
      <c r="A48" s="59"/>
      <c r="B48" s="60"/>
      <c r="C48" s="61"/>
      <c r="D48" s="60"/>
      <c r="E48" s="60"/>
      <c r="F48" s="62"/>
      <c r="G48" s="63"/>
      <c r="H48" s="63"/>
      <c r="I48" s="62">
        <f>ROUND(F48-((F48*J48)/100),2)</f>
        <v>0</v>
      </c>
      <c r="J48" s="64"/>
      <c r="K48" s="65">
        <f>ROUND((H48 * I48),2)</f>
        <v>0</v>
      </c>
    </row>
    <row r="49" ht="22.05" customHeight="1" spans="1:11" x14ac:dyDescent="0.25">
      <c r="A49" s="52"/>
      <c r="B49" s="53"/>
      <c r="C49" s="54"/>
      <c r="D49" s="53"/>
      <c r="E49" s="53"/>
      <c r="F49" s="55"/>
      <c r="G49" s="56"/>
      <c r="H49" s="56"/>
      <c r="I49" s="55">
        <f>ROUND(F49-((F49*J49)/100),2)</f>
        <v>0</v>
      </c>
      <c r="J49" s="57"/>
      <c r="K49" s="58">
        <f>ROUND((H49 * I49),2)</f>
        <v>0</v>
      </c>
    </row>
    <row r="50" ht="22.05" customHeight="1" spans="1:11" x14ac:dyDescent="0.25">
      <c r="A50" s="59"/>
      <c r="B50" s="60"/>
      <c r="C50" s="61"/>
      <c r="D50" s="60"/>
      <c r="E50" s="60"/>
      <c r="F50" s="62"/>
      <c r="G50" s="63"/>
      <c r="H50" s="63"/>
      <c r="I50" s="62">
        <f>ROUND(F50-((F50*J50)/100),2)</f>
        <v>0</v>
      </c>
      <c r="J50" s="64"/>
      <c r="K50" s="65">
        <f>ROUND((H50 * I50),2)</f>
        <v>0</v>
      </c>
    </row>
    <row r="51" ht="22.05" customHeight="1" spans="1:11" x14ac:dyDescent="0.25">
      <c r="A51" s="52"/>
      <c r="B51" s="53"/>
      <c r="C51" s="54"/>
      <c r="D51" s="53"/>
      <c r="E51" s="53"/>
      <c r="F51" s="55"/>
      <c r="G51" s="56"/>
      <c r="H51" s="56"/>
      <c r="I51" s="55">
        <f>ROUND(F51-((F51*J51)/100),2)</f>
        <v>0</v>
      </c>
      <c r="J51" s="57"/>
      <c r="K51" s="58">
        <f>ROUND((H51 * I51),2)</f>
        <v>0</v>
      </c>
    </row>
    <row r="52" ht="22.05" customHeight="1" spans="1:11" x14ac:dyDescent="0.25">
      <c r="A52" s="59"/>
      <c r="B52" s="60"/>
      <c r="C52" s="61"/>
      <c r="D52" s="60"/>
      <c r="E52" s="60"/>
      <c r="F52" s="62"/>
      <c r="G52" s="63"/>
      <c r="H52" s="63"/>
      <c r="I52" s="62">
        <f>ROUND(F52-((F52*J52)/100),2)</f>
        <v>0</v>
      </c>
      <c r="J52" s="64"/>
      <c r="K52" s="65">
        <f>ROUND((H52 * I52),2)</f>
        <v>0</v>
      </c>
    </row>
    <row r="53" ht="22.05" customHeight="1" spans="1:11" x14ac:dyDescent="0.25">
      <c r="A53" s="52"/>
      <c r="B53" s="53"/>
      <c r="C53" s="54"/>
      <c r="D53" s="53"/>
      <c r="E53" s="53"/>
      <c r="F53" s="55"/>
      <c r="G53" s="56"/>
      <c r="H53" s="56"/>
      <c r="I53" s="55">
        <f>ROUND(F53-((F53*J53)/100),2)</f>
        <v>0</v>
      </c>
      <c r="J53" s="57"/>
      <c r="K53" s="58">
        <f>ROUND((H53 * I53),2)</f>
        <v>0</v>
      </c>
    </row>
    <row r="54" ht="22.05" customHeight="1" spans="1:11" x14ac:dyDescent="0.25">
      <c r="A54" s="59"/>
      <c r="B54" s="60"/>
      <c r="C54" s="61"/>
      <c r="D54" s="60"/>
      <c r="E54" s="60"/>
      <c r="F54" s="62"/>
      <c r="G54" s="63"/>
      <c r="H54" s="63"/>
      <c r="I54" s="62">
        <f>ROUND(F54-((F54*J54)/100),2)</f>
        <v>0</v>
      </c>
      <c r="J54" s="64"/>
      <c r="K54" s="65">
        <f>ROUND((H54 * I54),2)</f>
        <v>0</v>
      </c>
    </row>
    <row r="55" ht="22.05" customHeight="1" spans="1:11" x14ac:dyDescent="0.25">
      <c r="A55" s="52"/>
      <c r="B55" s="53"/>
      <c r="C55" s="54"/>
      <c r="D55" s="53"/>
      <c r="E55" s="53"/>
      <c r="F55" s="55"/>
      <c r="G55" s="56"/>
      <c r="H55" s="56"/>
      <c r="I55" s="55">
        <f>ROUND(F55-((F55*J55)/100),2)</f>
        <v>0</v>
      </c>
      <c r="J55" s="57"/>
      <c r="K55" s="58">
        <f>ROUND((H55 * I55),2)</f>
        <v>0</v>
      </c>
    </row>
    <row r="56" ht="22.05" customHeight="1" spans="1:11" x14ac:dyDescent="0.25">
      <c r="A56" s="59"/>
      <c r="B56" s="60"/>
      <c r="C56" s="61"/>
      <c r="D56" s="60"/>
      <c r="E56" s="60"/>
      <c r="F56" s="62"/>
      <c r="G56" s="63"/>
      <c r="H56" s="63"/>
      <c r="I56" s="62">
        <f>ROUND(F56-((F56*J56)/100),2)</f>
        <v>0</v>
      </c>
      <c r="J56" s="64"/>
      <c r="K56" s="65">
        <f>ROUND((H56 * I56),2)</f>
        <v>0</v>
      </c>
    </row>
    <row r="57" ht="22.05" customHeight="1" spans="1:11" x14ac:dyDescent="0.25">
      <c r="A57" s="52"/>
      <c r="B57" s="53"/>
      <c r="C57" s="54"/>
      <c r="D57" s="53"/>
      <c r="E57" s="53"/>
      <c r="F57" s="55"/>
      <c r="G57" s="56"/>
      <c r="H57" s="56"/>
      <c r="I57" s="55">
        <f>ROUND((ROUND(0-((0*J57)/100),2) * (36)),2)</f>
        <v>0</v>
      </c>
      <c r="J57" s="57"/>
      <c r="K57" s="58">
        <f>ROUND((ROUND(0-((0*J57)/100),2) * H57 * (36)),2)</f>
        <v>0</v>
      </c>
    </row>
    <row r="58" ht="19.95" customHeight="1" spans="1:11" x14ac:dyDescent="0.25">
      <c r="A58" s="66"/>
      <c r="B58" s="67"/>
      <c r="C58" s="68"/>
      <c r="D58" s="67"/>
      <c r="E58" s="67"/>
      <c r="F58" s="69"/>
      <c r="G58" s="67"/>
      <c r="H58" s="70"/>
      <c r="I58" s="69"/>
      <c r="J58" s="71"/>
      <c r="K58" s="72"/>
    </row>
    <row r="59" ht="22.05" customHeight="1" spans="1:11" x14ac:dyDescent="0.25">
      <c r="A59" s="52"/>
      <c r="B59" s="53"/>
      <c r="C59" s="54"/>
      <c r="D59" s="53"/>
      <c r="E59" s="53"/>
      <c r="F59" s="55"/>
      <c r="G59" s="56"/>
      <c r="H59" s="56"/>
      <c r="I59" s="55">
        <f>ROUND((ROUND(0-((0*J59)/100),2) * (36)),2)</f>
        <v>0</v>
      </c>
      <c r="J59" s="57"/>
      <c r="K59" s="58">
        <f>ROUND((ROUND(0-((0*J59)/100),2) * H59 * (36)),2)</f>
        <v>0</v>
      </c>
    </row>
    <row r="60" ht="19.95" customHeight="1" spans="1:11" x14ac:dyDescent="0.25">
      <c r="A60" s="66"/>
      <c r="B60" s="67"/>
      <c r="C60" s="68"/>
      <c r="D60" s="67"/>
      <c r="E60" s="67"/>
      <c r="F60" s="69"/>
      <c r="G60" s="67"/>
      <c r="H60" s="70"/>
      <c r="I60" s="69"/>
      <c r="J60" s="71"/>
      <c r="K60" s="72"/>
    </row>
    <row r="61" ht="22.05" customHeight="1" spans="1:11" x14ac:dyDescent="0.25">
      <c r="A61" s="52"/>
      <c r="B61" s="53"/>
      <c r="C61" s="54"/>
      <c r="D61" s="53"/>
      <c r="E61" s="53"/>
      <c r="F61" s="55"/>
      <c r="G61" s="56"/>
      <c r="H61" s="56"/>
      <c r="I61" s="55">
        <f>ROUND((ROUND(0-((0*J61)/100),2) * (36)),2)</f>
        <v>0</v>
      </c>
      <c r="J61" s="57"/>
      <c r="K61" s="58">
        <f>ROUND((ROUND(0-((0*J61)/100),2) * H61 * (36)),2)</f>
        <v>0</v>
      </c>
    </row>
    <row r="62" ht="19.95" customHeight="1" spans="1:11" x14ac:dyDescent="0.25">
      <c r="A62" s="66"/>
      <c r="B62" s="67"/>
      <c r="C62" s="68"/>
      <c r="D62" s="67"/>
      <c r="E62" s="67"/>
      <c r="F62" s="69"/>
      <c r="G62" s="67"/>
      <c r="H62" s="70"/>
      <c r="I62" s="69"/>
      <c r="J62" s="71"/>
      <c r="K62" s="72"/>
    </row>
    <row r="63" ht="22.05" customHeight="1" spans="1:11" x14ac:dyDescent="0.25">
      <c r="A63" s="52"/>
      <c r="B63" s="53"/>
      <c r="C63" s="54"/>
      <c r="D63" s="53"/>
      <c r="E63" s="53"/>
      <c r="F63" s="55"/>
      <c r="G63" s="56"/>
      <c r="H63" s="56"/>
      <c r="I63" s="55">
        <f>ROUND(F63-((F63*J63)/100),2)</f>
        <v>0</v>
      </c>
      <c r="J63" s="57"/>
      <c r="K63" s="58">
        <f>ROUND((H63 * I63),2)</f>
        <v>0</v>
      </c>
    </row>
    <row r="64" ht="22.05" customHeight="1" spans="1:11" x14ac:dyDescent="0.25">
      <c r="A64" s="59"/>
      <c r="B64" s="60"/>
      <c r="C64" s="61"/>
      <c r="D64" s="60"/>
      <c r="E64" s="60"/>
      <c r="F64" s="62"/>
      <c r="G64" s="63"/>
      <c r="H64" s="63"/>
      <c r="I64" s="62">
        <f>ROUND(F64-((F64*J64)/100),2)</f>
        <v>0</v>
      </c>
      <c r="J64" s="64"/>
      <c r="K64" s="65">
        <f>ROUND((H64 * I64),2)</f>
        <v>0</v>
      </c>
    </row>
    <row r="65" ht="22.05" customHeight="1" spans="1:11" x14ac:dyDescent="0.25">
      <c r="A65" s="74"/>
      <c r="B65" s="53"/>
      <c r="C65" s="54"/>
      <c r="D65" s="53"/>
      <c r="E65" s="53"/>
      <c r="F65" s="55"/>
      <c r="G65" s="56"/>
      <c r="H65" s="56"/>
      <c r="I65" s="55">
        <f>ROUND(F65-((F65*J65)/100),2)</f>
        <v>0</v>
      </c>
      <c r="J65" s="57"/>
      <c r="K65" s="58">
        <f>ROUND((H65 * I65),2)</f>
        <v>0</v>
      </c>
    </row>
    <row r="66" ht="22.05" customHeight="1" spans="1:11" x14ac:dyDescent="0.25">
      <c r="A66" s="59"/>
      <c r="B66" s="60"/>
      <c r="C66" s="61"/>
      <c r="D66" s="60"/>
      <c r="E66" s="60"/>
      <c r="F66" s="62"/>
      <c r="G66" s="63"/>
      <c r="H66" s="63"/>
      <c r="I66" s="62">
        <f>ROUND(F66-((F66*J66)/100),2)</f>
        <v>0</v>
      </c>
      <c r="J66" s="64"/>
      <c r="K66" s="65">
        <f>ROUND((H66 * I66),2)</f>
        <v>0</v>
      </c>
    </row>
    <row r="67" ht="22.05" customHeight="1" spans="1:11" x14ac:dyDescent="0.25">
      <c r="A67" s="52"/>
      <c r="B67" s="53"/>
      <c r="C67" s="54"/>
      <c r="D67" s="53"/>
      <c r="E67" s="53"/>
      <c r="F67" s="55"/>
      <c r="G67" s="56"/>
      <c r="H67" s="56"/>
      <c r="I67" s="55">
        <f>ROUND(F67-((F67*J67)/100),2)</f>
        <v>0</v>
      </c>
      <c r="J67" s="57"/>
      <c r="K67" s="58">
        <f>ROUND((H67 * I67),2)</f>
        <v>0</v>
      </c>
    </row>
    <row r="68" ht="22.05" customHeight="1" spans="1:11" x14ac:dyDescent="0.25">
      <c r="A68" s="59"/>
      <c r="B68" s="60"/>
      <c r="C68" s="61"/>
      <c r="D68" s="60"/>
      <c r="E68" s="60"/>
      <c r="F68" s="62"/>
      <c r="G68" s="63"/>
      <c r="H68" s="63"/>
      <c r="I68" s="62">
        <f>ROUND(F68-((F68*J68)/100),2)</f>
        <v>0</v>
      </c>
      <c r="J68" s="64"/>
      <c r="K68" s="65">
        <f>ROUND((H68 * I68),2)</f>
        <v>0</v>
      </c>
    </row>
    <row r="69" ht="22.05" customHeight="1" spans="1:11" x14ac:dyDescent="0.25">
      <c r="A69" s="52"/>
      <c r="B69" s="53"/>
      <c r="C69" s="54"/>
      <c r="D69" s="53"/>
      <c r="E69" s="53"/>
      <c r="F69" s="55"/>
      <c r="G69" s="56"/>
      <c r="H69" s="56"/>
      <c r="I69" s="55">
        <f>ROUND(F69-((F69*J69)/100),2)</f>
        <v>0</v>
      </c>
      <c r="J69" s="57"/>
      <c r="K69" s="58">
        <f>ROUND((H69 * I69),2)</f>
        <v>0</v>
      </c>
    </row>
    <row r="70" ht="22.05" customHeight="1" spans="1:11" x14ac:dyDescent="0.25">
      <c r="A70" s="75"/>
      <c r="B70" s="60"/>
      <c r="C70" s="61"/>
      <c r="D70" s="60"/>
      <c r="E70" s="60"/>
      <c r="F70" s="62"/>
      <c r="G70" s="63"/>
      <c r="H70" s="63"/>
      <c r="I70" s="62">
        <f>ROUND(F70-((F70*J70)/100),2)</f>
        <v>0</v>
      </c>
      <c r="J70" s="64"/>
      <c r="K70" s="65">
        <f>ROUND((H70 * I70),2)</f>
        <v>0</v>
      </c>
    </row>
    <row r="71" ht="19.95" customHeight="1" spans="1:11" x14ac:dyDescent="0.25">
      <c r="A71" s="66"/>
      <c r="B71" s="67"/>
      <c r="C71" s="68"/>
      <c r="D71" s="67"/>
      <c r="E71" s="67"/>
      <c r="F71" s="69"/>
      <c r="G71" s="67"/>
      <c r="H71" s="70"/>
      <c r="I71" s="69"/>
      <c r="J71" s="71"/>
      <c r="K71" s="72"/>
    </row>
    <row r="72" ht="22.05" customHeight="1" spans="1:11" x14ac:dyDescent="0.25">
      <c r="A72" s="76"/>
      <c r="B72" s="77"/>
      <c r="C72" s="78"/>
      <c r="D72" s="77"/>
      <c r="E72" s="77"/>
      <c r="F72" s="79"/>
      <c r="G72" s="80"/>
      <c r="H72" s="80"/>
      <c r="I72" s="79"/>
      <c r="J72" s="81"/>
      <c r="K72" s="82">
        <f>ROUND(((ROUND(F72-((F72 * J72)/100),2) * H72 * 36)/1),2)</f>
        <v>0</v>
      </c>
    </row>
    <row r="73" ht="19.95" customHeight="1" spans="1:11" x14ac:dyDescent="0.25">
      <c r="A73" s="66"/>
      <c r="B73" s="67"/>
      <c r="C73" s="83"/>
      <c r="D73" s="67"/>
      <c r="E73" s="67"/>
      <c r="F73" s="69"/>
      <c r="G73" s="67"/>
      <c r="H73" s="70"/>
      <c r="I73" s="69"/>
      <c r="J73" s="71"/>
      <c r="K73" s="72"/>
    </row>
    <row r="74" ht="22.05" customHeight="1" spans="1:11" x14ac:dyDescent="0.25">
      <c r="A74" s="76"/>
      <c r="B74" s="77"/>
      <c r="C74" s="78"/>
      <c r="D74" s="77"/>
      <c r="E74" s="77"/>
      <c r="F74" s="79"/>
      <c r="G74" s="80"/>
      <c r="H74" s="80"/>
      <c r="I74" s="79"/>
      <c r="J74" s="81"/>
      <c r="K74" s="82">
        <f>ROUND(((ROUND(F74-((F74 * J74)/100),2) * H74 * 36)/1),2)</f>
        <v>0</v>
      </c>
    </row>
    <row r="75" ht="22.05" customHeight="1" spans="1:11" x14ac:dyDescent="0.25">
      <c r="A75" s="84"/>
      <c r="B75" s="85"/>
      <c r="C75" s="86"/>
      <c r="D75" s="85"/>
      <c r="E75" s="85"/>
      <c r="F75" s="87"/>
      <c r="G75" s="88"/>
      <c r="H75" s="88"/>
      <c r="I75" s="87"/>
      <c r="J75" s="89"/>
      <c r="K75" s="90">
        <f>ROUND((H75 * I75),2)</f>
        <v>0</v>
      </c>
    </row>
    <row r="76" ht="22.05" customHeight="1" spans="1:11" x14ac:dyDescent="0.25">
      <c r="A76" s="76"/>
      <c r="B76" s="77"/>
      <c r="C76" s="78"/>
      <c r="D76" s="77"/>
      <c r="E76" s="77"/>
      <c r="F76" s="79"/>
      <c r="G76" s="80"/>
      <c r="H76" s="80"/>
      <c r="I76" s="79"/>
      <c r="J76" s="81"/>
      <c r="K76" s="82">
        <f>ROUND((H76 * I76),2)</f>
        <v>0</v>
      </c>
    </row>
    <row r="77" ht="7.95" customHeight="1" spans="1:11" x14ac:dyDescent="0.25">
      <c r="A77" s="14"/>
      <c r="B77" s="15"/>
      <c r="C77" s="16"/>
      <c r="D77" s="17"/>
      <c r="E77" s="18"/>
      <c r="F77" s="91"/>
      <c r="G77" s="20"/>
      <c r="H77" s="92"/>
      <c r="I77" s="91"/>
      <c r="J77" s="93"/>
      <c r="K77" s="94"/>
    </row>
    <row r="78" spans="6:11" x14ac:dyDescent="0.25">
      <c r="F78" s="95"/>
      <c r="H78" s="96"/>
      <c r="I78" s="95"/>
      <c r="J78" s="97"/>
      <c r="K78" s="95"/>
    </row>
    <row r="79" spans="1:11" x14ac:dyDescent="0.25">
      <c r="A79" s="98" t="s">
        <v>23</v>
      </c>
      <c r="B79" s="12"/>
      <c r="F79" s="95"/>
      <c r="H79" s="96"/>
      <c r="I79" s="99" t="s">
        <v>24</v>
      </c>
      <c r="J79" s="100"/>
      <c r="K79" s="101">
        <f>(K16+K21+K22+K23+K24+K25+K26+K27+K28+K29+K30+K31+K32+K33+K40+K45+K46+K47+K48+K49+K50+K51+K52+K53+K54+K55+K56+K63+K64+K65+K67+K68+K69+K75)</f>
        <v>0</v>
      </c>
    </row>
    <row r="80" spans="1:11" x14ac:dyDescent="0.25">
      <c r="A80" s="98" t="s">
        <v>25</v>
      </c>
      <c r="B80" s="12"/>
      <c r="F80" s="95"/>
      <c r="H80" s="96"/>
      <c r="I80" s="102" t="s">
        <v>26</v>
      </c>
      <c r="J80" s="103"/>
      <c r="K80" s="104">
        <f>(K17+K20+K41+K44+K66+K76)</f>
        <v>0</v>
      </c>
    </row>
    <row r="81" spans="1:11" x14ac:dyDescent="0.25">
      <c r="A81" s="105"/>
      <c r="F81" s="95"/>
      <c r="H81" s="96"/>
      <c r="I81" s="102" t="s">
        <v>27</v>
      </c>
      <c r="J81" s="103"/>
      <c r="K81" s="104">
        <f>(K18+K34+K36+K38+K42+K57+K59+K61+K70+K72+K74)</f>
        <v>0</v>
      </c>
    </row>
    <row r="82" spans="1:11" x14ac:dyDescent="0.25">
      <c r="A82" s="105"/>
      <c r="F82" s="95"/>
      <c r="H82" s="96"/>
      <c r="I82" s="106" t="s">
        <v>28</v>
      </c>
      <c r="J82" s="107"/>
      <c r="K82" s="108">
        <f>(K80+K79+K81)</f>
        <v>0</v>
      </c>
    </row>
    <row r="83" spans="1:11" x14ac:dyDescent="0.25">
      <c r="A83" s="109" t="s">
        <v>29</v>
      </c>
      <c r="B83" s="110"/>
      <c r="C83" s="110"/>
      <c r="D83" s="110"/>
      <c r="E83" s="110"/>
      <c r="F83" s="110"/>
      <c r="G83" s="110"/>
      <c r="H83" s="110"/>
      <c r="I83" s="110"/>
      <c r="J83" s="110"/>
      <c r="K83" s="110"/>
    </row>
    <row r="84" spans="1:11" x14ac:dyDescent="0.25">
      <c r="A84" s="111"/>
      <c r="I84" s="112" t="s">
        <v>30</v>
      </c>
      <c r="J84" s="113"/>
      <c r="K84" s="114"/>
    </row>
    <row r="85" ht="22.05" customHeight="1" spans="9:11" x14ac:dyDescent="0.25">
      <c r="I85" s="113"/>
      <c r="J85" s="113"/>
      <c r="K85" s="115" t="s">
        <v>31</v>
      </c>
    </row>
    <row r="86" ht="7.95" customHeight="1" spans="1:11" x14ac:dyDescent="0.25">
      <c r="A86" s="116"/>
      <c r="B86" s="116"/>
      <c r="C86" s="116"/>
      <c r="D86" s="116"/>
      <c r="E86" s="116"/>
      <c r="F86" s="116"/>
      <c r="G86" s="116"/>
      <c r="H86" s="116"/>
      <c r="I86" s="116"/>
      <c r="J86" s="116"/>
      <c r="K86" s="116"/>
    </row>
    <row r="87" ht="60" customHeight="1" spans="1:11" x14ac:dyDescent="0.25">
      <c r="A87" s="117" t="s">
        <v>32</v>
      </c>
      <c r="B87" s="118"/>
      <c r="C87" s="118"/>
      <c r="D87" s="118"/>
      <c r="E87" s="118"/>
      <c r="F87" s="118"/>
      <c r="G87" s="118"/>
      <c r="H87" s="118"/>
      <c r="I87" s="118"/>
      <c r="J87" s="118"/>
      <c r="K87" s="119"/>
    </row>
    <row r="88" ht="12.75" customHeight="1" x14ac:dyDescent="0.25"/>
    <row r="89" ht="12.75" customHeight="1" x14ac:dyDescent="0.25"/>
  </sheetData>
  <mergeCells count="20">
    <mergeCell ref="A2:K2"/>
    <mergeCell ref="A3:C3"/>
    <mergeCell ref="J3:K3"/>
    <mergeCell ref="A4:C4"/>
    <mergeCell ref="J4:K4"/>
    <mergeCell ref="A5:C5"/>
    <mergeCell ref="J5:K5"/>
    <mergeCell ref="A8:K9"/>
    <mergeCell ref="A10:B10"/>
    <mergeCell ref="I14:K14"/>
    <mergeCell ref="A19:K19"/>
    <mergeCell ref="A35:K35"/>
    <mergeCell ref="A37:K37"/>
    <mergeCell ref="A39:K39"/>
    <mergeCell ref="A43:K43"/>
    <mergeCell ref="A58:K58"/>
    <mergeCell ref="A60:K60"/>
    <mergeCell ref="A62:K62"/>
    <mergeCell ref="A71:K71"/>
    <mergeCell ref="A87:K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Estimate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Ali, Danish</cp:lastModifiedBy>
  <dcterms:created xsi:type="dcterms:W3CDTF">2026-05-22T14:16:27Z</dcterms:created>
  <dcterms:modified xsi:type="dcterms:W3CDTF">2026-05-21T02:26:32Z</dcterms:modified>
</cp:coreProperties>
</file>